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C745EA1E-1A00-4EC1-B3CD-1537DEA0D87C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L24" i="20" s="1" a="1"/>
  <c r="L24" i="20" s="1"/>
  <c r="I17" i="20"/>
  <c r="I18" i="20"/>
  <c r="I19" i="20"/>
  <c r="I20" i="20"/>
  <c r="I21" i="20"/>
  <c r="K7" i="20" s="1" a="1"/>
  <c r="K7" i="20" s="1"/>
  <c r="I22" i="20"/>
  <c r="I23" i="20"/>
  <c r="I24" i="20"/>
  <c r="I25" i="20"/>
  <c r="I26" i="20"/>
  <c r="K8" i="20" s="1" a="1"/>
  <c r="K8" i="20" s="1"/>
  <c r="I27" i="20"/>
  <c r="I28" i="20"/>
  <c r="I29" i="20"/>
  <c r="I30" i="20"/>
  <c r="I31" i="20"/>
  <c r="K16" i="20" s="1" a="1"/>
  <c r="K16" i="20" s="1"/>
  <c r="I32" i="20"/>
  <c r="K32" i="20" s="1" a="1"/>
  <c r="K32" i="20" s="1"/>
  <c r="I33" i="20"/>
  <c r="I34" i="20"/>
  <c r="I35" i="20"/>
  <c r="I36" i="20"/>
  <c r="I37" i="20"/>
  <c r="I38" i="20"/>
  <c r="I39" i="20"/>
  <c r="I40" i="20"/>
  <c r="I41" i="20"/>
  <c r="K76" i="20" s="1" a="1"/>
  <c r="K76" i="20" s="1"/>
  <c r="I42" i="20"/>
  <c r="I43" i="20"/>
  <c r="K43" i="20" s="1" a="1"/>
  <c r="K43" i="20" s="1"/>
  <c r="I44" i="20"/>
  <c r="I45" i="20"/>
  <c r="I46" i="20"/>
  <c r="I47" i="20"/>
  <c r="K45" i="20" s="1" a="1"/>
  <c r="K45" i="20" s="1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L56" i="20" s="1" a="1"/>
  <c r="L56" i="20" s="1"/>
  <c r="I61" i="20"/>
  <c r="I62" i="20"/>
  <c r="K52" i="20" s="1" a="1"/>
  <c r="K52" i="20" s="1"/>
  <c r="I63" i="20"/>
  <c r="I64" i="20"/>
  <c r="K64" i="20" s="1" a="1"/>
  <c r="K64" i="20" s="1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K77" i="20" s="1" a="1"/>
  <c r="K77" i="20" s="1"/>
  <c r="I78" i="20"/>
  <c r="I79" i="20"/>
  <c r="I80" i="20"/>
  <c r="I81" i="20"/>
  <c r="K109" i="20" s="1" a="1"/>
  <c r="K109" i="20" s="1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L88" i="20" s="1" a="1"/>
  <c r="L88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K110" i="20" s="1" a="1"/>
  <c r="K110" i="20" s="1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K126" i="20" s="1" a="1"/>
  <c r="K126" i="20" s="1"/>
  <c r="I127" i="20"/>
  <c r="I128" i="20"/>
  <c r="I129" i="20"/>
  <c r="K129" i="20" s="1" a="1"/>
  <c r="K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K142" i="20" s="1" a="1"/>
  <c r="K142" i="20" s="1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/>
  <c r="J44" i="20" a="1"/>
  <c r="J44" i="20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41" i="20" a="1"/>
  <c r="K41" i="20" s="1"/>
  <c r="K58" i="20" a="1"/>
  <c r="K58" i="20" s="1"/>
  <c r="K72" i="20" a="1"/>
  <c r="K72" i="20" s="1"/>
  <c r="K75" i="20" a="1"/>
  <c r="K75" i="20" s="1"/>
  <c r="K84" i="20" a="1"/>
  <c r="K84" i="20" s="1"/>
  <c r="K88" i="20" a="1"/>
  <c r="K88" i="20" s="1"/>
  <c r="K90" i="20" a="1"/>
  <c r="K90" i="20" s="1"/>
  <c r="K92" i="20" a="1"/>
  <c r="K92" i="20" s="1"/>
  <c r="K102" i="20" a="1"/>
  <c r="K102" i="20" s="1"/>
  <c r="K103" i="20" a="1"/>
  <c r="K103" i="20" s="1"/>
  <c r="K105" i="20" a="1"/>
  <c r="K105" i="20" s="1"/>
  <c r="K107" i="20" a="1"/>
  <c r="K107" i="20" s="1"/>
  <c r="K108" i="20" a="1"/>
  <c r="K108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7" i="20" a="1"/>
  <c r="K127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9" i="20" a="1"/>
  <c r="L9" i="20" s="1"/>
  <c r="L10" i="20" a="1"/>
  <c r="L10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N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N42" i="20" s="1"/>
  <c r="M43" i="20" a="1"/>
  <c r="M43" i="20" s="1"/>
  <c r="N43" i="20" s="1"/>
  <c r="M44" i="20" a="1"/>
  <c r="M44" i="20" s="1"/>
  <c r="N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N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N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N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K2" i="19" s="1" a="1"/>
  <c r="K2" i="19" s="1"/>
  <c r="H18" i="19"/>
  <c r="H19" i="19"/>
  <c r="J19" i="19" s="1" a="1"/>
  <c r="J19" i="19" s="1"/>
  <c r="H20" i="19"/>
  <c r="J20" i="19" s="1" a="1"/>
  <c r="J20" i="19" s="1"/>
  <c r="H21" i="19"/>
  <c r="H22" i="19"/>
  <c r="J22" i="19" s="1" a="1"/>
  <c r="J22" i="19" s="1"/>
  <c r="H23" i="19"/>
  <c r="H24" i="19"/>
  <c r="H25" i="19"/>
  <c r="H26" i="19"/>
  <c r="H27" i="19"/>
  <c r="H28" i="19"/>
  <c r="H29" i="19"/>
  <c r="H30" i="19"/>
  <c r="H31" i="19"/>
  <c r="H32" i="19"/>
  <c r="H33" i="19"/>
  <c r="J33" i="19" s="1" a="1"/>
  <c r="J33" i="19" s="1"/>
  <c r="H34" i="19"/>
  <c r="H35" i="19"/>
  <c r="H36" i="19"/>
  <c r="H37" i="19"/>
  <c r="H38" i="19"/>
  <c r="H39" i="19"/>
  <c r="H40" i="19"/>
  <c r="H41" i="19"/>
  <c r="J51" i="19" s="1" a="1"/>
  <c r="J51" i="19" s="1"/>
  <c r="H42" i="19"/>
  <c r="H43" i="19"/>
  <c r="H44" i="19"/>
  <c r="J31" i="19" s="1" a="1"/>
  <c r="J31" i="19" s="1"/>
  <c r="H45" i="19"/>
  <c r="H46" i="19"/>
  <c r="H47" i="19"/>
  <c r="H48" i="19"/>
  <c r="H49" i="19"/>
  <c r="H50" i="19"/>
  <c r="H51" i="19"/>
  <c r="H52" i="19"/>
  <c r="J52" i="19" s="1" a="1"/>
  <c r="J52" i="19" s="1"/>
  <c r="H53" i="19"/>
  <c r="J53" i="19" s="1" a="1"/>
  <c r="J53" i="19" s="1"/>
  <c r="H54" i="19"/>
  <c r="H55" i="19"/>
  <c r="H56" i="19"/>
  <c r="H57" i="19"/>
  <c r="H58" i="19"/>
  <c r="J58" i="19" s="1" a="1"/>
  <c r="J58" i="19" s="1"/>
  <c r="H59" i="19"/>
  <c r="H60" i="19"/>
  <c r="J60" i="19" s="1" a="1"/>
  <c r="J60" i="19" s="1"/>
  <c r="H61" i="19"/>
  <c r="K61" i="19" s="1" a="1"/>
  <c r="K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/>
  <c r="I8" i="19" a="1"/>
  <c r="I8" i="19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/>
  <c r="I40" i="19" a="1"/>
  <c r="I40" i="19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/>
  <c r="I56" i="19" a="1"/>
  <c r="I56" i="19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21" i="19" a="1"/>
  <c r="J21" i="19" s="1"/>
  <c r="J29" i="19" a="1"/>
  <c r="J29" i="19" s="1"/>
  <c r="J42" i="19" a="1"/>
  <c r="J42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61" i="19" a="1"/>
  <c r="J61" i="19" s="1"/>
  <c r="K3" i="19" a="1"/>
  <c r="K3" i="19" s="1"/>
  <c r="K4" i="19" a="1"/>
  <c r="K4" i="19" s="1"/>
  <c r="K5" i="19" a="1"/>
  <c r="K5" i="19" s="1"/>
  <c r="K7" i="19" a="1"/>
  <c r="K7" i="19" s="1"/>
  <c r="K12" i="19" a="1"/>
  <c r="K12" i="19" s="1"/>
  <c r="K14" i="19" a="1"/>
  <c r="K14" i="19" s="1"/>
  <c r="K17" i="19" a="1"/>
  <c r="K17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34" i="19" a="1"/>
  <c r="K34" i="19" s="1"/>
  <c r="K37" i="19" a="1"/>
  <c r="K37" i="19" s="1"/>
  <c r="K39" i="19" a="1"/>
  <c r="K39" i="19" s="1"/>
  <c r="K40" i="19" a="1"/>
  <c r="K40" i="19" s="1"/>
  <c r="K41" i="19" a="1"/>
  <c r="K41" i="19" s="1"/>
  <c r="K43" i="19" a="1"/>
  <c r="K43" i="19" s="1"/>
  <c r="K44" i="19" a="1"/>
  <c r="K44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M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M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M48" i="19" s="1"/>
  <c r="L49" i="19" a="1"/>
  <c r="L49" i="19" s="1"/>
  <c r="L50" i="19" a="1"/>
  <c r="L50" i="19" s="1"/>
  <c r="M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M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2" i="19" a="1"/>
  <c r="N2" i="19" s="1"/>
  <c r="N3" i="19" a="1"/>
  <c r="N3" i="19" s="1"/>
  <c r="N4" i="19" a="1"/>
  <c r="N4" i="19" s="1"/>
  <c r="N5" i="19" a="1"/>
  <c r="N5" i="19" s="1"/>
  <c r="N6" i="19" a="1"/>
  <c r="N6" i="19" s="1"/>
  <c r="N8" i="19" a="1"/>
  <c r="N8" i="19" s="1"/>
  <c r="N9" i="19" a="1"/>
  <c r="N9" i="19" s="1"/>
  <c r="N12" i="19" a="1"/>
  <c r="N12" i="19" s="1"/>
  <c r="N13" i="19" a="1"/>
  <c r="N13" i="19" s="1"/>
  <c r="N14" i="19" a="1"/>
  <c r="N14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O39" i="18" s="1" a="1"/>
  <c r="O39" i="18" s="1"/>
  <c r="M10" i="18"/>
  <c r="M11" i="18"/>
  <c r="M12" i="18"/>
  <c r="M13" i="18"/>
  <c r="M14" i="18"/>
  <c r="O40" i="18" s="1" a="1"/>
  <c r="O40" i="18" s="1"/>
  <c r="M15" i="18"/>
  <c r="M16" i="18"/>
  <c r="O76" i="18" s="1" a="1"/>
  <c r="O76" i="18" s="1"/>
  <c r="M17" i="18"/>
  <c r="O45" i="18" s="1" a="1"/>
  <c r="O45" i="18" s="1"/>
  <c r="M18" i="18"/>
  <c r="M19" i="18"/>
  <c r="M20" i="18"/>
  <c r="O50" i="18" s="1" a="1"/>
  <c r="O50" i="18" s="1"/>
  <c r="M21" i="18"/>
  <c r="M22" i="18"/>
  <c r="M23" i="18"/>
  <c r="O53" i="18" s="1" a="1"/>
  <c r="O53" i="18" s="1"/>
  <c r="M24" i="18"/>
  <c r="O84" i="18" s="1" a="1"/>
  <c r="O84" i="18" s="1"/>
  <c r="M25" i="18"/>
  <c r="O49" i="18" s="1" a="1"/>
  <c r="O49" i="18" s="1"/>
  <c r="M26" i="18"/>
  <c r="M27" i="18"/>
  <c r="M28" i="18"/>
  <c r="M29" i="18"/>
  <c r="M30" i="18"/>
  <c r="M31" i="18"/>
  <c r="M32" i="18"/>
  <c r="O54" i="18" s="1" a="1"/>
  <c r="O54" i="18" s="1"/>
  <c r="M33" i="18"/>
  <c r="M34" i="18"/>
  <c r="M35" i="18"/>
  <c r="M36" i="18"/>
  <c r="M37" i="18"/>
  <c r="M38" i="18"/>
  <c r="M39" i="18"/>
  <c r="M40" i="18"/>
  <c r="M41" i="18"/>
  <c r="M42" i="18"/>
  <c r="M43" i="18"/>
  <c r="M44" i="18"/>
  <c r="O44" i="18" s="1" a="1"/>
  <c r="O44" i="18" s="1"/>
  <c r="M45" i="18"/>
  <c r="M46" i="18"/>
  <c r="M47" i="18"/>
  <c r="M48" i="18"/>
  <c r="M49" i="18"/>
  <c r="M50" i="18"/>
  <c r="M51" i="18"/>
  <c r="M52" i="18"/>
  <c r="O52" i="18" s="1" a="1"/>
  <c r="O52" i="18" s="1"/>
  <c r="M53" i="18"/>
  <c r="M54" i="18"/>
  <c r="M55" i="18"/>
  <c r="M56" i="18"/>
  <c r="M57" i="18"/>
  <c r="M58" i="18"/>
  <c r="M59" i="18"/>
  <c r="O71" i="18" s="1" a="1"/>
  <c r="O71" i="18" s="1"/>
  <c r="M60" i="18"/>
  <c r="M61" i="18"/>
  <c r="O61" i="18" s="1" a="1"/>
  <c r="O61" i="18" s="1"/>
  <c r="M62" i="18"/>
  <c r="O62" i="18" s="1" a="1"/>
  <c r="O62" i="18" s="1"/>
  <c r="M63" i="18"/>
  <c r="M64" i="18"/>
  <c r="M65" i="18"/>
  <c r="O103" i="18" s="1" a="1"/>
  <c r="O103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O91" i="18" s="1" a="1"/>
  <c r="O91" i="18" s="1"/>
  <c r="M92" i="18"/>
  <c r="M93" i="18"/>
  <c r="O93" i="18" s="1" a="1"/>
  <c r="O93" i="18" s="1"/>
  <c r="M94" i="18"/>
  <c r="O94" i="18" s="1" a="1"/>
  <c r="O94" i="18" s="1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O123" i="18" s="1" a="1"/>
  <c r="O123" i="18" s="1"/>
  <c r="M124" i="18"/>
  <c r="M125" i="18"/>
  <c r="O125" i="18" s="1" a="1"/>
  <c r="O125" i="18" s="1"/>
  <c r="M126" i="18"/>
  <c r="O126" i="18" s="1" a="1"/>
  <c r="O126" i="18" s="1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R3" i="18" s="1"/>
  <c r="U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38" i="18" a="1"/>
  <c r="O38" i="18" s="1"/>
  <c r="O65" i="18" a="1"/>
  <c r="O65" i="18" s="1"/>
  <c r="O66" i="18" a="1"/>
  <c r="O66" i="18" s="1"/>
  <c r="O67" i="18" a="1"/>
  <c r="O67" i="18" s="1"/>
  <c r="O70" i="18" a="1"/>
  <c r="O70" i="18" s="1"/>
  <c r="O86" i="18" a="1"/>
  <c r="O86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4" i="18" a="1"/>
  <c r="O104" i="18" s="1"/>
  <c r="O105" i="18" a="1"/>
  <c r="O105" i="18" s="1"/>
  <c r="O106" i="18" a="1"/>
  <c r="O106" i="18" s="1"/>
  <c r="O107" i="18" a="1"/>
  <c r="O107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4" i="18" a="1"/>
  <c r="O124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4" i="18" a="1"/>
  <c r="P4" i="18" s="1"/>
  <c r="P6" i="18" a="1"/>
  <c r="P6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8" i="18" a="1"/>
  <c r="P38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R22" i="18" s="1"/>
  <c r="U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R38" i="18" s="1"/>
  <c r="U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R54" i="18" s="1"/>
  <c r="U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L182" i="17"/>
  <c r="L8" i="17"/>
  <c r="L9" i="17"/>
  <c r="L10" i="17"/>
  <c r="N200" i="17" s="1" a="1"/>
  <c r="N200" i="17" s="1"/>
  <c r="L11" i="17"/>
  <c r="N118" i="17" s="1" a="1"/>
  <c r="N118" i="17" s="1"/>
  <c r="L12" i="17"/>
  <c r="L13" i="17"/>
  <c r="L183" i="17"/>
  <c r="L14" i="17"/>
  <c r="L15" i="17"/>
  <c r="N120" i="17" s="1" a="1"/>
  <c r="N120" i="17" s="1"/>
  <c r="L16" i="17"/>
  <c r="L17" i="17"/>
  <c r="L18" i="17"/>
  <c r="L19" i="17"/>
  <c r="L184" i="17"/>
  <c r="L20" i="17"/>
  <c r="N122" i="17" s="1" a="1"/>
  <c r="N122" i="17" s="1"/>
  <c r="L21" i="17"/>
  <c r="L22" i="17"/>
  <c r="L23" i="17"/>
  <c r="N123" i="17" s="1" a="1"/>
  <c r="N123" i="17" s="1"/>
  <c r="L24" i="17"/>
  <c r="L25" i="17"/>
  <c r="L185" i="17"/>
  <c r="L26" i="17"/>
  <c r="O10" i="17" s="1" a="1"/>
  <c r="O10" i="17" s="1"/>
  <c r="L27" i="17"/>
  <c r="O18" i="17" s="1" a="1"/>
  <c r="O18" i="17" s="1"/>
  <c r="L28" i="17"/>
  <c r="N32" i="17" s="1" a="1"/>
  <c r="N32" i="17" s="1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N92" i="17" s="1" a="1"/>
  <c r="N92" i="17" s="1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N150" i="17" s="1" a="1"/>
  <c r="N150" i="17" s="1"/>
  <c r="L72" i="17"/>
  <c r="L73" i="17"/>
  <c r="L193" i="17"/>
  <c r="L74" i="17"/>
  <c r="N151" i="17" s="1" a="1"/>
  <c r="N151" i="17" s="1"/>
  <c r="L75" i="17"/>
  <c r="L76" i="17"/>
  <c r="L77" i="17"/>
  <c r="L78" i="17"/>
  <c r="N78" i="17" s="1" a="1"/>
  <c r="N78" i="17" s="1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N149" i="17" s="1" a="1"/>
  <c r="N149" i="17" s="1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N126" i="17" s="1" a="1"/>
  <c r="N126" i="17" s="1"/>
  <c r="L127" i="17"/>
  <c r="L202" i="17"/>
  <c r="L128" i="17"/>
  <c r="L129" i="17"/>
  <c r="L130" i="17"/>
  <c r="L131" i="17"/>
  <c r="L132" i="17"/>
  <c r="L133" i="17"/>
  <c r="L203" i="17"/>
  <c r="L134" i="17"/>
  <c r="N105" i="17" s="1" a="1"/>
  <c r="N105" i="17" s="1"/>
  <c r="L135" i="17"/>
  <c r="O34" i="17" s="1" a="1"/>
  <c r="O34" i="17" s="1"/>
  <c r="L136" i="17"/>
  <c r="N136" i="17" s="1" a="1"/>
  <c r="N136" i="17" s="1"/>
  <c r="L137" i="17"/>
  <c r="N137" i="17" s="1" a="1"/>
  <c r="N137" i="17" s="1"/>
  <c r="L138" i="17"/>
  <c r="N138" i="17" s="1" a="1"/>
  <c r="N138" i="17" s="1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N159" i="17" s="1" a="1"/>
  <c r="N159" i="17" s="1"/>
  <c r="L160" i="17"/>
  <c r="N160" i="17" s="1" a="1"/>
  <c r="N160" i="17" s="1"/>
  <c r="L161" i="17"/>
  <c r="O63" i="17" s="1" a="1"/>
  <c r="O63" i="17" s="1"/>
  <c r="L162" i="17"/>
  <c r="N162" i="17" s="1" a="1"/>
  <c r="N162" i="17" s="1"/>
  <c r="L163" i="17"/>
  <c r="N163" i="17" s="1" a="1"/>
  <c r="N163" i="17" s="1"/>
  <c r="L208" i="17"/>
  <c r="N208" i="17" s="1" a="1"/>
  <c r="N208" i="17" s="1"/>
  <c r="L164" i="17"/>
  <c r="N164" i="17" s="1" a="1"/>
  <c r="N164" i="17" s="1"/>
  <c r="L165" i="17"/>
  <c r="N165" i="17" s="1" a="1"/>
  <c r="N165" i="17" s="1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/>
  <c r="M48" i="17" a="1"/>
  <c r="M48" i="17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/>
  <c r="M77" i="17" a="1"/>
  <c r="M77" i="17" s="1"/>
  <c r="M78" i="17" a="1"/>
  <c r="M78" i="17" s="1"/>
  <c r="M79" i="17" a="1"/>
  <c r="M79" i="17" s="1"/>
  <c r="M194" i="17" a="1"/>
  <c r="M194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/>
  <c r="M94" i="17" a="1"/>
  <c r="M94" i="17" s="1"/>
  <c r="M95" i="17" a="1"/>
  <c r="M95" i="17" s="1"/>
  <c r="M96" i="17" a="1"/>
  <c r="M96" i="17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/>
  <c r="M129" i="17" a="1"/>
  <c r="M129" i="17"/>
  <c r="M130" i="17" a="1"/>
  <c r="M130" i="17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/>
  <c r="M154" i="17" a="1"/>
  <c r="M154" i="17"/>
  <c r="M155" i="17" a="1"/>
  <c r="M155" i="17" s="1"/>
  <c r="M156" i="17" a="1"/>
  <c r="M156" i="17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/>
  <c r="M178" i="17" a="1"/>
  <c r="M178" i="17" s="1"/>
  <c r="M179" i="17" a="1"/>
  <c r="M179" i="17"/>
  <c r="M180" i="17" a="1"/>
  <c r="M180" i="17" s="1"/>
  <c r="M181" i="17" a="1"/>
  <c r="M181" i="17" s="1"/>
  <c r="M211" i="17" a="1"/>
  <c r="M211" i="17" s="1"/>
  <c r="N102" i="17" a="1"/>
  <c r="N102" i="17" s="1"/>
  <c r="N143" i="17" a="1"/>
  <c r="N143" i="17" s="1"/>
  <c r="N144" i="17" a="1"/>
  <c r="N144" i="17" s="1"/>
  <c r="N205" i="17" a="1"/>
  <c r="N205" i="17" s="1"/>
  <c r="N178" i="17" a="1"/>
  <c r="N178" i="17" s="1"/>
  <c r="N179" i="17" a="1"/>
  <c r="N179" i="17" s="1"/>
  <c r="N180" i="17" a="1"/>
  <c r="N180" i="17" s="1"/>
  <c r="N181" i="17" a="1"/>
  <c r="N181" i="17" s="1"/>
  <c r="N211" i="17" a="1"/>
  <c r="N211" i="17" s="1"/>
  <c r="O2" i="17" a="1"/>
  <c r="O2" i="17" s="1"/>
  <c r="O24" i="17" a="1"/>
  <c r="O24" i="17" s="1"/>
  <c r="O25" i="17" a="1"/>
  <c r="O2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86" i="17" a="1"/>
  <c r="O186" i="17" s="1"/>
  <c r="O32" i="17" a="1"/>
  <c r="O32" i="17" s="1"/>
  <c r="O189" i="17" a="1"/>
  <c r="O189" i="17" s="1"/>
  <c r="O53" i="17" a="1"/>
  <c r="O53" i="17" s="1"/>
  <c r="O54" i="17" a="1"/>
  <c r="O54" i="17" s="1"/>
  <c r="O190" i="17" a="1"/>
  <c r="O19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91" i="17" a="1"/>
  <c r="O191" i="17" s="1"/>
  <c r="O62" i="17" a="1"/>
  <c r="O62" i="17" s="1"/>
  <c r="O75" i="17" a="1"/>
  <c r="O75" i="17" s="1"/>
  <c r="O76" i="17" a="1"/>
  <c r="O76" i="17" s="1"/>
  <c r="O77" i="17" a="1"/>
  <c r="O77" i="17" s="1"/>
  <c r="O78" i="17" a="1"/>
  <c r="O78" i="17"/>
  <c r="O79" i="17" a="1"/>
  <c r="O79" i="17" s="1"/>
  <c r="O194" i="17" a="1"/>
  <c r="O19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95" i="17" a="1"/>
  <c r="O195" i="17" s="1"/>
  <c r="O86" i="17" a="1"/>
  <c r="O86" i="17" s="1"/>
  <c r="O87" i="17" a="1"/>
  <c r="O87" i="17" s="1"/>
  <c r="O88" i="17" a="1"/>
  <c r="O88" i="17" s="1"/>
  <c r="O89" i="17" a="1"/>
  <c r="O89" i="17" s="1"/>
  <c r="O92" i="17" a="1"/>
  <c r="O92" i="17" s="1"/>
  <c r="O94" i="17" a="1"/>
  <c r="O94" i="17" s="1"/>
  <c r="O197" i="17" a="1"/>
  <c r="O197" i="17" s="1"/>
  <c r="O98" i="17" a="1"/>
  <c r="O98" i="17"/>
  <c r="O100" i="17" a="1"/>
  <c r="O100" i="17" s="1"/>
  <c r="O101" i="17" a="1"/>
  <c r="O101" i="17" s="1"/>
  <c r="O102" i="17" a="1"/>
  <c r="O102" i="17" s="1"/>
  <c r="O103" i="17" a="1"/>
  <c r="O103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3" i="17" a="1"/>
  <c r="O123" i="17" s="1"/>
  <c r="O124" i="17" a="1"/>
  <c r="O124" i="17" s="1"/>
  <c r="O125" i="17" a="1"/>
  <c r="O125" i="17" s="1"/>
  <c r="O126" i="17" a="1"/>
  <c r="O126" i="17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/>
  <c r="O211" i="17" a="1"/>
  <c r="O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 s="1"/>
  <c r="P9" i="17" a="1"/>
  <c r="P9" i="17" s="1"/>
  <c r="P10" i="17" a="1"/>
  <c r="P10" i="17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/>
  <c r="P42" i="17" a="1"/>
  <c r="P42" i="17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/>
  <c r="P61" i="17" a="1"/>
  <c r="P61" i="17" s="1"/>
  <c r="P191" i="17" a="1"/>
  <c r="P191" i="17"/>
  <c r="P62" i="17" a="1"/>
  <c r="P62" i="17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/>
  <c r="P102" i="17" a="1"/>
  <c r="P102" i="17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/>
  <c r="P116" i="17" a="1"/>
  <c r="P116" i="17" s="1"/>
  <c r="P117" i="17" a="1"/>
  <c r="P117" i="17" s="1"/>
  <c r="P118" i="17" a="1"/>
  <c r="P118" i="17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/>
  <c r="P130" i="17" a="1"/>
  <c r="P130" i="17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/>
  <c r="P172" i="17" a="1"/>
  <c r="P172" i="17" s="1"/>
  <c r="P173" i="17" a="1"/>
  <c r="P173" i="17"/>
  <c r="P174" i="17" a="1"/>
  <c r="P174" i="17" s="1"/>
  <c r="P175" i="17" a="1"/>
  <c r="P175" i="17" s="1"/>
  <c r="P210" i="17" a="1"/>
  <c r="P210" i="17" s="1"/>
  <c r="P176" i="17" a="1"/>
  <c r="P176" i="17"/>
  <c r="P177" i="17" a="1"/>
  <c r="P177" i="17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83" i="17" a="1"/>
  <c r="R18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4" i="17" a="1"/>
  <c r="R184" i="17" s="1"/>
  <c r="R20" i="17" a="1"/>
  <c r="R20" i="17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85" i="17" a="1"/>
  <c r="R18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/>
  <c r="R37" i="17" a="1"/>
  <c r="R37" i="17" s="1"/>
  <c r="R187" i="17" a="1"/>
  <c r="R18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 s="1"/>
  <c r="R148" i="17" a="1"/>
  <c r="R148" i="17" s="1"/>
  <c r="R149" i="17" a="1"/>
  <c r="R149" i="17"/>
  <c r="R150" i="17" a="1"/>
  <c r="R150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/>
  <c r="R174" i="17" a="1"/>
  <c r="R174" i="17"/>
  <c r="R175" i="17" a="1"/>
  <c r="R175" i="17" s="1"/>
  <c r="R210" i="17" a="1"/>
  <c r="R210" i="17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/>
  <c r="S15" i="17" a="1"/>
  <c r="S15" i="17" s="1"/>
  <c r="S16" i="17" a="1"/>
  <c r="S16" i="17" s="1"/>
  <c r="S17" i="17" a="1"/>
  <c r="S17" i="17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/>
  <c r="S167" i="17" a="1"/>
  <c r="S167" i="17" s="1"/>
  <c r="S168" i="17" a="1"/>
  <c r="S168" i="17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/>
  <c r="T2" i="17" a="1"/>
  <c r="T2" i="17" s="1"/>
  <c r="T3" i="17" a="1"/>
  <c r="T3" i="17" s="1"/>
  <c r="T4" i="17" a="1"/>
  <c r="T4" i="17" s="1"/>
  <c r="T5" i="17" a="1"/>
  <c r="T5" i="17"/>
  <c r="T6" i="17" a="1"/>
  <c r="T6" i="17" s="1"/>
  <c r="T7" i="17" a="1"/>
  <c r="T7" i="17" s="1"/>
  <c r="T182" i="17" a="1"/>
  <c r="T18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184" i="17" a="1"/>
  <c r="T184" i="17" s="1"/>
  <c r="T20" i="17" a="1"/>
  <c r="T20" i="17" s="1"/>
  <c r="T21" i="17" a="1"/>
  <c r="T21" i="17" s="1"/>
  <c r="T22" i="17" a="1"/>
  <c r="T22" i="17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/>
  <c r="T32" i="17" a="1"/>
  <c r="T32" i="17" s="1"/>
  <c r="T33" i="17" a="1"/>
  <c r="T33" i="17" s="1"/>
  <c r="T34" i="17" a="1"/>
  <c r="T34" i="17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/>
  <c r="T59" i="17" a="1"/>
  <c r="T59" i="17" s="1"/>
  <c r="T60" i="17" a="1"/>
  <c r="T60" i="17"/>
  <c r="T61" i="17" a="1"/>
  <c r="T61" i="17" s="1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/>
  <c r="T127" i="17" a="1"/>
  <c r="T127" i="17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/>
  <c r="T178" i="17" a="1"/>
  <c r="T178" i="17" s="1"/>
  <c r="T179" i="17" a="1"/>
  <c r="T179" i="17" s="1"/>
  <c r="T180" i="17" a="1"/>
  <c r="T180" i="17" s="1"/>
  <c r="T181" i="17" a="1"/>
  <c r="T181" i="17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/>
  <c r="U26" i="17" a="1"/>
  <c r="U26" i="17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/>
  <c r="U55" i="17" a="1"/>
  <c r="U55" i="17" s="1"/>
  <c r="U190" i="17" a="1"/>
  <c r="U19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/>
  <c r="U114" i="17" a="1"/>
  <c r="U114" i="17" s="1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/>
  <c r="U148" i="17" a="1"/>
  <c r="U148" i="17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/>
  <c r="U207" i="17" a="1"/>
  <c r="U207" i="17" s="1"/>
  <c r="U158" i="17" a="1"/>
  <c r="U158" i="17" s="1"/>
  <c r="U159" i="17" a="1"/>
  <c r="U159" i="17"/>
  <c r="U160" i="17" a="1"/>
  <c r="U160" i="17" s="1"/>
  <c r="U161" i="17" a="1"/>
  <c r="U161" i="17" s="1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/>
  <c r="U168" i="17" a="1"/>
  <c r="U168" i="17" s="1"/>
  <c r="U169" i="17" a="1"/>
  <c r="U169" i="17" s="1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/>
  <c r="U179" i="17" a="1"/>
  <c r="U179" i="17" s="1"/>
  <c r="U180" i="17" a="1"/>
  <c r="U180" i="17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/>
  <c r="V6" i="17" a="1"/>
  <c r="V6" i="17" s="1"/>
  <c r="V7" i="17" a="1"/>
  <c r="V7" i="17" s="1"/>
  <c r="V182" i="17" a="1"/>
  <c r="V182" i="17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/>
  <c r="V140" i="17" a="1"/>
  <c r="V140" i="17" s="1"/>
  <c r="V141" i="17" a="1"/>
  <c r="V141" i="17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 s="1"/>
  <c r="V166" i="17" a="1"/>
  <c r="V166" i="17" s="1"/>
  <c r="V167" i="17" a="1"/>
  <c r="V167" i="17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/>
  <c r="V173" i="17" a="1"/>
  <c r="V173" i="17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Q2" i="17" s="1"/>
  <c r="W2" i="17" s="1"/>
  <c r="X3" i="17" a="1"/>
  <c r="X3" i="17" s="1"/>
  <c r="Y3" i="17" s="1"/>
  <c r="X4" i="17" a="1"/>
  <c r="X4" i="17" s="1"/>
  <c r="X5" i="17" a="1"/>
  <c r="X5" i="17" s="1"/>
  <c r="X6" i="17" a="1"/>
  <c r="X6" i="17" s="1"/>
  <c r="Y6" i="17" s="1"/>
  <c r="X7" i="17" a="1"/>
  <c r="X7" i="17" s="1"/>
  <c r="X182" i="17" a="1"/>
  <c r="X182" i="17" s="1"/>
  <c r="Y182" i="17" s="1"/>
  <c r="X8" i="17" a="1"/>
  <c r="X8" i="17" s="1"/>
  <c r="Y8" i="17" s="1"/>
  <c r="X9" i="17" a="1"/>
  <c r="X9" i="17" s="1"/>
  <c r="X10" i="17" a="1"/>
  <c r="X10" i="17" s="1"/>
  <c r="Y10" i="17" s="1"/>
  <c r="X11" i="17" a="1"/>
  <c r="X11" i="17" s="1"/>
  <c r="X12" i="17" a="1"/>
  <c r="X12" i="17" s="1"/>
  <c r="X13" i="17" a="1"/>
  <c r="X13" i="17" s="1"/>
  <c r="Y13" i="17" s="1"/>
  <c r="X183" i="17" a="1"/>
  <c r="X183" i="17" s="1"/>
  <c r="Y18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18" i="17" a="1"/>
  <c r="X18" i="17" s="1"/>
  <c r="X19" i="17" a="1"/>
  <c r="X19" i="17" s="1"/>
  <c r="X184" i="17" a="1"/>
  <c r="X184" i="17" s="1"/>
  <c r="Y184" i="17" s="1"/>
  <c r="X20" i="17" a="1"/>
  <c r="X20" i="17" s="1"/>
  <c r="Y20" i="17" s="1"/>
  <c r="X21" i="17" a="1"/>
  <c r="X21" i="17" s="1"/>
  <c r="Y21" i="17" s="1"/>
  <c r="X22" i="17" a="1"/>
  <c r="X22" i="17" s="1"/>
  <c r="Y22" i="17" s="1"/>
  <c r="X23" i="17" a="1"/>
  <c r="X23" i="17" s="1"/>
  <c r="X24" i="17" a="1"/>
  <c r="X24" i="17" s="1"/>
  <c r="Y24" i="17" s="1"/>
  <c r="Q24" i="17" s="1"/>
  <c r="W24" i="17" s="1"/>
  <c r="X25" i="17" a="1"/>
  <c r="X25" i="17" s="1"/>
  <c r="X185" i="17" a="1"/>
  <c r="X185" i="17" s="1"/>
  <c r="X26" i="17" a="1"/>
  <c r="X26" i="17" s="1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Y30" i="17" s="1"/>
  <c r="X31" i="17" a="1"/>
  <c r="X31" i="17" s="1"/>
  <c r="Y31" i="17" s="1"/>
  <c r="X186" i="17" a="1"/>
  <c r="X186" i="17" s="1"/>
  <c r="Y186" i="17" s="1"/>
  <c r="X32" i="17" a="1"/>
  <c r="X32" i="17" s="1"/>
  <c r="X33" i="17" a="1"/>
  <c r="X33" i="17" s="1"/>
  <c r="X34" i="17" a="1"/>
  <c r="X34" i="17" s="1"/>
  <c r="Y34" i="17" s="1"/>
  <c r="X35" i="17" a="1"/>
  <c r="X35" i="17" s="1"/>
  <c r="Y35" i="17" s="1"/>
  <c r="X36" i="17" a="1"/>
  <c r="X36" i="17"/>
  <c r="Y36" i="17" s="1"/>
  <c r="X37" i="17" a="1"/>
  <c r="X37" i="17" s="1"/>
  <c r="X187" i="17" a="1"/>
  <c r="X187" i="17" s="1"/>
  <c r="Y187" i="17" s="1"/>
  <c r="X38" i="17" a="1"/>
  <c r="X38" i="17" s="1"/>
  <c r="X39" i="17" a="1"/>
  <c r="X39" i="17" s="1"/>
  <c r="X40" i="17" a="1"/>
  <c r="X40" i="17" s="1"/>
  <c r="Y40" i="17" s="1"/>
  <c r="X41" i="17" a="1"/>
  <c r="X41" i="17" s="1"/>
  <c r="Y41" i="17" s="1"/>
  <c r="X42" i="17" a="1"/>
  <c r="X42" i="17" s="1"/>
  <c r="Y42" i="17" s="1"/>
  <c r="X43" i="17" a="1"/>
  <c r="X43" i="17" s="1"/>
  <c r="Y43" i="17" s="1"/>
  <c r="X188" i="17" a="1"/>
  <c r="X188" i="17" s="1"/>
  <c r="Y188" i="17" s="1"/>
  <c r="X44" i="17" a="1"/>
  <c r="X44" i="17" s="1"/>
  <c r="Y44" i="17" s="1"/>
  <c r="X45" i="17" a="1"/>
  <c r="X45" i="17" s="1"/>
  <c r="Y45" i="17" s="1"/>
  <c r="X46" i="17" a="1"/>
  <c r="X46" i="17" s="1"/>
  <c r="Y46" i="17" s="1"/>
  <c r="X47" i="17" a="1"/>
  <c r="X47" i="17" s="1"/>
  <c r="Y47" i="17" s="1"/>
  <c r="X48" i="17" a="1"/>
  <c r="X48" i="17" s="1"/>
  <c r="Y48" i="17" s="1"/>
  <c r="X49" i="17" a="1"/>
  <c r="X49" i="17" s="1"/>
  <c r="Y49" i="17" s="1"/>
  <c r="X189" i="17" a="1"/>
  <c r="X189" i="17" s="1"/>
  <c r="Y189" i="17" s="1"/>
  <c r="X50" i="17" a="1"/>
  <c r="X50" i="17" s="1"/>
  <c r="X51" i="17" a="1"/>
  <c r="X51" i="17" s="1"/>
  <c r="Y51" i="17" s="1"/>
  <c r="X52" i="17" a="1"/>
  <c r="X52" i="17" s="1"/>
  <c r="X53" i="17" a="1"/>
  <c r="X53" i="17" s="1"/>
  <c r="Y53" i="17" s="1"/>
  <c r="Q53" i="17" s="1"/>
  <c r="W53" i="17" s="1"/>
  <c r="X54" i="17" a="1"/>
  <c r="X54" i="17" s="1"/>
  <c r="Y54" i="17" s="1"/>
  <c r="X55" i="17" a="1"/>
  <c r="X55" i="17" s="1"/>
  <c r="Y55" i="17" s="1"/>
  <c r="X190" i="17" a="1"/>
  <c r="X190" i="17" s="1"/>
  <c r="Y190" i="17" s="1"/>
  <c r="X56" i="17" a="1"/>
  <c r="X56" i="17" s="1"/>
  <c r="Y56" i="17" s="1"/>
  <c r="X57" i="17" a="1"/>
  <c r="X57" i="17" s="1"/>
  <c r="Y57" i="17" s="1"/>
  <c r="X58" i="17" a="1"/>
  <c r="X58" i="17" s="1"/>
  <c r="Y58" i="17" s="1"/>
  <c r="Q58" i="17" s="1"/>
  <c r="W58" i="17" s="1"/>
  <c r="X59" i="17" a="1"/>
  <c r="X59" i="17" s="1"/>
  <c r="Y59" i="17" s="1"/>
  <c r="X60" i="17" a="1"/>
  <c r="X60" i="17" s="1"/>
  <c r="Y60" i="17" s="1"/>
  <c r="Q60" i="17" s="1"/>
  <c r="W60" i="17" s="1"/>
  <c r="X61" i="17" a="1"/>
  <c r="X61" i="17" s="1"/>
  <c r="Y61" i="17" s="1"/>
  <c r="X191" i="17" a="1"/>
  <c r="X191" i="17" s="1"/>
  <c r="X62" i="17" a="1"/>
  <c r="X62" i="17" s="1"/>
  <c r="Y62" i="17" s="1"/>
  <c r="Q62" i="17" s="1"/>
  <c r="W62" i="17" s="1"/>
  <c r="X63" i="17" a="1"/>
  <c r="X63" i="17" s="1"/>
  <c r="Y63" i="17" s="1"/>
  <c r="X64" i="17" a="1"/>
  <c r="X64" i="17" s="1"/>
  <c r="X65" i="17" a="1"/>
  <c r="X65" i="17" s="1"/>
  <c r="Y65" i="17" s="1"/>
  <c r="X66" i="17" a="1"/>
  <c r="X66" i="17" s="1"/>
  <c r="X67" i="17" a="1"/>
  <c r="X67" i="17" s="1"/>
  <c r="Y67" i="17" s="1"/>
  <c r="X192" i="17" a="1"/>
  <c r="X192" i="17" s="1"/>
  <c r="Y192" i="17" s="1"/>
  <c r="X68" i="17" a="1"/>
  <c r="X68" i="17" s="1"/>
  <c r="Y68" i="17" s="1"/>
  <c r="X69" i="17" a="1"/>
  <c r="X69" i="17" s="1"/>
  <c r="Y69" i="17" s="1"/>
  <c r="X70" i="17" a="1"/>
  <c r="X70" i="17" s="1"/>
  <c r="Y70" i="17" s="1"/>
  <c r="X71" i="17" a="1"/>
  <c r="X71" i="17" s="1"/>
  <c r="Y71" i="17" s="1"/>
  <c r="X72" i="17" a="1"/>
  <c r="X72" i="17" s="1"/>
  <c r="Y72" i="17" s="1"/>
  <c r="X73" i="17" a="1"/>
  <c r="X73" i="17" s="1"/>
  <c r="Y73" i="17" s="1"/>
  <c r="X193" i="17" a="1"/>
  <c r="X193" i="17" s="1"/>
  <c r="Y193" i="17" s="1"/>
  <c r="X74" i="17" a="1"/>
  <c r="X74" i="17" s="1"/>
  <c r="Y74" i="17" s="1"/>
  <c r="X75" i="17" a="1"/>
  <c r="X75" i="17" s="1"/>
  <c r="Y75" i="17" s="1"/>
  <c r="X76" i="17" a="1"/>
  <c r="X76" i="17" s="1"/>
  <c r="Y76" i="17" s="1"/>
  <c r="X77" i="17" a="1"/>
  <c r="X77" i="17" s="1"/>
  <c r="Y77" i="17" s="1"/>
  <c r="X78" i="17" a="1"/>
  <c r="X78" i="17" s="1"/>
  <c r="X79" i="17" a="1"/>
  <c r="X79" i="17" s="1"/>
  <c r="Y79" i="17" s="1"/>
  <c r="X194" i="17" a="1"/>
  <c r="X194" i="17" s="1"/>
  <c r="Y194" i="17" s="1"/>
  <c r="X80" i="17" a="1"/>
  <c r="X80" i="17" s="1"/>
  <c r="Y80" i="17" s="1"/>
  <c r="Q80" i="17" s="1"/>
  <c r="W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 s="1"/>
  <c r="Y84" i="17" s="1"/>
  <c r="Q84" i="17" s="1"/>
  <c r="W84" i="17" s="1"/>
  <c r="X85" i="17" a="1"/>
  <c r="X85" i="17" s="1"/>
  <c r="Y85" i="17" s="1"/>
  <c r="X195" i="17" a="1"/>
  <c r="X195" i="17" s="1"/>
  <c r="Y195" i="17" s="1"/>
  <c r="X86" i="17" a="1"/>
  <c r="X86" i="17" s="1"/>
  <c r="Y86" i="17" s="1"/>
  <c r="X87" i="17" a="1"/>
  <c r="X87" i="17" s="1"/>
  <c r="Y87" i="17" s="1"/>
  <c r="X88" i="17" a="1"/>
  <c r="X88" i="17" s="1"/>
  <c r="Y88" i="17" s="1"/>
  <c r="Q88" i="17" s="1"/>
  <c r="W88" i="17" s="1"/>
  <c r="X89" i="17" a="1"/>
  <c r="X89" i="17" s="1"/>
  <c r="Y89" i="17" s="1"/>
  <c r="X90" i="17" a="1"/>
  <c r="X90" i="17" s="1"/>
  <c r="Y90" i="17" s="1"/>
  <c r="X91" i="17" a="1"/>
  <c r="X91" i="17" s="1"/>
  <c r="Y91" i="17" s="1"/>
  <c r="X196" i="17" a="1"/>
  <c r="X196" i="17" s="1"/>
  <c r="Y196" i="17" s="1"/>
  <c r="X92" i="17" a="1"/>
  <c r="X92" i="17" s="1"/>
  <c r="Y92" i="17" s="1"/>
  <c r="Q92" i="17" s="1"/>
  <c r="W92" i="17" s="1"/>
  <c r="X93" i="17" a="1"/>
  <c r="X93" i="17" s="1"/>
  <c r="Y93" i="17" s="1"/>
  <c r="X94" i="17" a="1"/>
  <c r="X94" i="17" s="1"/>
  <c r="X95" i="17" a="1"/>
  <c r="X95" i="17" s="1"/>
  <c r="X96" i="17" a="1"/>
  <c r="X96" i="17" s="1"/>
  <c r="Y96" i="17" s="1"/>
  <c r="X97" i="17" a="1"/>
  <c r="X97" i="17" s="1"/>
  <c r="Y97" i="17" s="1"/>
  <c r="X197" i="17" a="1"/>
  <c r="X197" i="17" s="1"/>
  <c r="X98" i="17" a="1"/>
  <c r="X98" i="17" s="1"/>
  <c r="X99" i="17" a="1"/>
  <c r="X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X198" i="17" a="1"/>
  <c r="X198" i="17" s="1"/>
  <c r="Y198" i="17" s="1"/>
  <c r="X104" i="17" a="1"/>
  <c r="X104" i="17" s="1"/>
  <c r="Y104" i="17" s="1"/>
  <c r="X105" i="17" a="1"/>
  <c r="X105" i="17" s="1"/>
  <c r="Y105" i="17" s="1"/>
  <c r="X106" i="17" a="1"/>
  <c r="X106" i="17" s="1"/>
  <c r="Y106" i="17" s="1"/>
  <c r="X107" i="17" a="1"/>
  <c r="X107" i="17" s="1"/>
  <c r="X108" i="17" a="1"/>
  <c r="X108" i="17" s="1"/>
  <c r="X109" i="17" a="1"/>
  <c r="X109" i="17" s="1"/>
  <c r="Y109" i="17" s="1"/>
  <c r="Q109" i="17" s="1"/>
  <c r="W109" i="17" s="1"/>
  <c r="X199" i="17" a="1"/>
  <c r="X199" i="17" s="1"/>
  <c r="Y199" i="17" s="1"/>
  <c r="X110" i="17" a="1"/>
  <c r="X110" i="17" s="1"/>
  <c r="Y110" i="17" s="1"/>
  <c r="Q110" i="17" s="1"/>
  <c r="W110" i="17" s="1"/>
  <c r="X111" i="17" a="1"/>
  <c r="X111" i="17" s="1"/>
  <c r="Y111" i="17" s="1"/>
  <c r="Q111" i="17" s="1"/>
  <c r="W111" i="17" s="1"/>
  <c r="X112" i="17" a="1"/>
  <c r="X112" i="17" s="1"/>
  <c r="Y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X200" i="17" a="1"/>
  <c r="X200" i="17" s="1"/>
  <c r="Y200" i="17" s="1"/>
  <c r="Q200" i="17" s="1"/>
  <c r="W200" i="17" s="1"/>
  <c r="X116" i="17" a="1"/>
  <c r="X116" i="17" s="1"/>
  <c r="Y116" i="17" s="1"/>
  <c r="X117" i="17" a="1"/>
  <c r="X117" i="17" s="1"/>
  <c r="Y117" i="17" s="1"/>
  <c r="X118" i="17" a="1"/>
  <c r="X118" i="17" s="1"/>
  <c r="Y118" i="17" s="1"/>
  <c r="Q118" i="17" s="1"/>
  <c r="W118" i="17" s="1"/>
  <c r="X119" i="17" a="1"/>
  <c r="X119" i="17" s="1"/>
  <c r="Y119" i="17" s="1"/>
  <c r="X120" i="17" a="1"/>
  <c r="X120" i="17" s="1"/>
  <c r="Y120" i="17" s="1"/>
  <c r="X121" i="17" a="1"/>
  <c r="X121" i="17" s="1"/>
  <c r="X201" i="17" a="1"/>
  <c r="X201" i="17" s="1"/>
  <c r="X122" i="17" a="1"/>
  <c r="X122" i="17" s="1"/>
  <c r="Y122" i="17" s="1"/>
  <c r="X123" i="17" a="1"/>
  <c r="X123" i="17" s="1"/>
  <c r="X124" i="17" a="1"/>
  <c r="X124" i="17" s="1"/>
  <c r="Y124" i="17" s="1"/>
  <c r="Q124" i="17" s="1"/>
  <c r="W124" i="17" s="1"/>
  <c r="X125" i="17" a="1"/>
  <c r="X125" i="17" s="1"/>
  <c r="X126" i="17" a="1"/>
  <c r="X126" i="17" s="1"/>
  <c r="X127" i="17" a="1"/>
  <c r="X127" i="17" s="1"/>
  <c r="Y127" i="17" s="1"/>
  <c r="X202" i="17" a="1"/>
  <c r="X202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Y130" i="17" s="1"/>
  <c r="Q130" i="17" s="1"/>
  <c r="W130" i="17" s="1"/>
  <c r="X131" i="17" a="1"/>
  <c r="X131" i="17" s="1"/>
  <c r="X132" i="17" a="1"/>
  <c r="X132" i="17" s="1"/>
  <c r="Y132" i="17" s="1"/>
  <c r="X133" i="17" a="1"/>
  <c r="X133" i="17" s="1"/>
  <c r="Y133" i="17" s="1"/>
  <c r="X203" i="17" a="1"/>
  <c r="X203" i="17" s="1"/>
  <c r="Y203" i="17" s="1"/>
  <c r="X134" i="17" a="1"/>
  <c r="X134" i="17" s="1"/>
  <c r="Y134" i="17" s="1"/>
  <c r="Q134" i="17" s="1"/>
  <c r="W134" i="17" s="1"/>
  <c r="X135" i="17" a="1"/>
  <c r="X135" i="17" s="1"/>
  <c r="Y135" i="17" s="1"/>
  <c r="X136" i="17" a="1"/>
  <c r="X136" i="17" s="1"/>
  <c r="Y136" i="17" s="1"/>
  <c r="X137" i="17" a="1"/>
  <c r="X137" i="17" s="1"/>
  <c r="X138" i="17" a="1"/>
  <c r="X138" i="17" s="1"/>
  <c r="Y138" i="17" s="1"/>
  <c r="X139" i="17" a="1"/>
  <c r="X139" i="17" s="1"/>
  <c r="Y139" i="17" s="1"/>
  <c r="Q139" i="17" s="1"/>
  <c r="W139" i="17" s="1"/>
  <c r="X204" i="17" a="1"/>
  <c r="X204" i="17" s="1"/>
  <c r="Y204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X143" i="17" a="1"/>
  <c r="X143" i="17" s="1"/>
  <c r="Y143" i="17" s="1"/>
  <c r="Q143" i="17" s="1"/>
  <c r="W143" i="17" s="1"/>
  <c r="X144" i="17" a="1"/>
  <c r="X144" i="17" s="1"/>
  <c r="Y144" i="17" s="1"/>
  <c r="X145" i="17" a="1"/>
  <c r="X145" i="17" s="1"/>
  <c r="Y145" i="17" s="1"/>
  <c r="X205" i="17" a="1"/>
  <c r="X205" i="17" s="1"/>
  <c r="Y205" i="17" s="1"/>
  <c r="Q205" i="17" s="1"/>
  <c r="W205" i="17" s="1"/>
  <c r="X146" i="17" a="1"/>
  <c r="X146" i="17" s="1"/>
  <c r="Y146" i="17" s="1"/>
  <c r="Q146" i="17" s="1"/>
  <c r="W146" i="17" s="1"/>
  <c r="X147" i="17" a="1"/>
  <c r="X147" i="17" s="1"/>
  <c r="Y147" i="17" s="1"/>
  <c r="X148" i="17" a="1"/>
  <c r="X148" i="17" s="1"/>
  <c r="X149" i="17" a="1"/>
  <c r="X149" i="17" s="1"/>
  <c r="X150" i="17" a="1"/>
  <c r="X150" i="17" s="1"/>
  <c r="Y150" i="17" s="1"/>
  <c r="X151" i="17" a="1"/>
  <c r="X151" i="17" s="1"/>
  <c r="X206" i="17" a="1"/>
  <c r="X206" i="17" s="1"/>
  <c r="X152" i="17" a="1"/>
  <c r="X152" i="17" s="1"/>
  <c r="Y152" i="17" s="1"/>
  <c r="Q152" i="17" s="1"/>
  <c r="W152" i="17" s="1"/>
  <c r="X153" i="17" a="1"/>
  <c r="X153" i="17" s="1"/>
  <c r="Y153" i="17" s="1"/>
  <c r="Q153" i="17" s="1"/>
  <c r="W153" i="17" s="1"/>
  <c r="X154" i="17" a="1"/>
  <c r="X154" i="17" s="1"/>
  <c r="Y154" i="17" s="1"/>
  <c r="Q154" i="17" s="1"/>
  <c r="W154" i="17" s="1"/>
  <c r="X155" i="17" a="1"/>
  <c r="X155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207" i="17" a="1"/>
  <c r="X207" i="17" s="1"/>
  <c r="X158" i="17" a="1"/>
  <c r="X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Q161" i="17" s="1"/>
  <c r="W161" i="17" s="1"/>
  <c r="X162" i="17" a="1"/>
  <c r="X162" i="17" s="1"/>
  <c r="Y162" i="17" s="1"/>
  <c r="X163" i="17" a="1"/>
  <c r="X163" i="17" s="1"/>
  <c r="Y163" i="17" s="1"/>
  <c r="X208" i="17" a="1"/>
  <c r="X208" i="17" s="1"/>
  <c r="Y208" i="17" s="1"/>
  <c r="X164" i="17" a="1"/>
  <c r="X164" i="17" s="1"/>
  <c r="Y164" i="17" s="1"/>
  <c r="X165" i="17" a="1"/>
  <c r="X165" i="17" s="1"/>
  <c r="Y165" i="17" s="1"/>
  <c r="X166" i="17" a="1"/>
  <c r="X166" i="17" s="1"/>
  <c r="Y166" i="17" s="1"/>
  <c r="X167" i="17" a="1"/>
  <c r="X167" i="17" s="1"/>
  <c r="Y167" i="17" s="1"/>
  <c r="X168" i="17" a="1"/>
  <c r="X168" i="17" s="1"/>
  <c r="X169" i="17" a="1"/>
  <c r="X169" i="17" s="1"/>
  <c r="Y169" i="17" s="1"/>
  <c r="Q169" i="17" s="1"/>
  <c r="W169" i="17" s="1"/>
  <c r="X209" i="17" a="1"/>
  <c r="X209" i="17" s="1"/>
  <c r="Y209" i="17" s="1"/>
  <c r="Q209" i="17" s="1"/>
  <c r="W20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Y172" i="17" s="1"/>
  <c r="X173" i="17" a="1"/>
  <c r="X173" i="17" s="1"/>
  <c r="Y173" i="17" s="1"/>
  <c r="X174" i="17" a="1"/>
  <c r="X174" i="17" s="1"/>
  <c r="Y174" i="17" s="1"/>
  <c r="X175" i="17" a="1"/>
  <c r="X175" i="17" s="1"/>
  <c r="Y175" i="17" s="1"/>
  <c r="X210" i="17" a="1"/>
  <c r="X210" i="17" s="1"/>
  <c r="X176" i="17" a="1"/>
  <c r="X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Y179" i="17" s="1"/>
  <c r="X180" i="17" a="1"/>
  <c r="X180" i="17" s="1"/>
  <c r="Y180" i="17" s="1"/>
  <c r="Q180" i="17" s="1"/>
  <c r="W180" i="17" s="1"/>
  <c r="X181" i="17" a="1"/>
  <c r="X181" i="17" s="1"/>
  <c r="X211" i="17" a="1"/>
  <c r="X211" i="17" s="1"/>
  <c r="G2" i="16"/>
  <c r="N148" i="20" l="1"/>
  <c r="N118" i="20"/>
  <c r="N88" i="20"/>
  <c r="N34" i="20"/>
  <c r="N9" i="20"/>
  <c r="K65" i="20" a="1"/>
  <c r="K65" i="20" s="1"/>
  <c r="K33" i="20" a="1"/>
  <c r="K33" i="20" s="1"/>
  <c r="K74" i="20" a="1"/>
  <c r="K74" i="20" s="1"/>
  <c r="K40" i="20" a="1"/>
  <c r="K40" i="20" s="1"/>
  <c r="N87" i="20"/>
  <c r="N33" i="20"/>
  <c r="K106" i="20" a="1"/>
  <c r="K106" i="20" s="1"/>
  <c r="K73" i="20" a="1"/>
  <c r="K73" i="20" s="1"/>
  <c r="K39" i="20" a="1"/>
  <c r="K39" i="20" s="1"/>
  <c r="K38" i="20" a="1"/>
  <c r="K38" i="20" s="1"/>
  <c r="N145" i="20"/>
  <c r="N115" i="20"/>
  <c r="N85" i="20"/>
  <c r="N31" i="20"/>
  <c r="K13" i="20" a="1"/>
  <c r="K13" i="20" s="1"/>
  <c r="K5" i="20" a="1"/>
  <c r="K5" i="20" s="1"/>
  <c r="K104" i="20" a="1"/>
  <c r="K104" i="20" s="1"/>
  <c r="K71" i="20" a="1"/>
  <c r="K71" i="20" s="1"/>
  <c r="K37" i="20" a="1"/>
  <c r="K37" i="20" s="1"/>
  <c r="N84" i="20"/>
  <c r="N57" i="20"/>
  <c r="N27" i="20"/>
  <c r="K70" i="20" a="1"/>
  <c r="K70" i="20" s="1"/>
  <c r="K36" i="20" a="1"/>
  <c r="K36" i="20" s="1"/>
  <c r="N113" i="20"/>
  <c r="N56" i="20"/>
  <c r="K18" i="20" a="1"/>
  <c r="K18" i="20" s="1"/>
  <c r="N58" i="20"/>
  <c r="N26" i="20"/>
  <c r="K69" i="20" a="1"/>
  <c r="K69" i="20" s="1"/>
  <c r="K35" i="20" a="1"/>
  <c r="K35" i="20" s="1"/>
  <c r="K101" i="20" a="1"/>
  <c r="K101" i="20" s="1"/>
  <c r="K68" i="20" a="1"/>
  <c r="K68" i="20" s="1"/>
  <c r="K34" i="20" a="1"/>
  <c r="K34" i="20" s="1"/>
  <c r="K100" i="20" a="1"/>
  <c r="K100" i="20" s="1"/>
  <c r="K67" i="20" a="1"/>
  <c r="K67" i="20" s="1"/>
  <c r="K99" i="20" a="1"/>
  <c r="K99" i="20" s="1"/>
  <c r="K66" i="20" a="1"/>
  <c r="K66" i="20" s="1"/>
  <c r="K31" i="20" a="1"/>
  <c r="K31" i="20" s="1"/>
  <c r="N109" i="20"/>
  <c r="L12" i="20" a="1"/>
  <c r="L12" i="20" s="1"/>
  <c r="K130" i="20" a="1"/>
  <c r="K130" i="20" s="1"/>
  <c r="K98" i="20" a="1"/>
  <c r="K98" i="20" s="1"/>
  <c r="K30" i="20" a="1"/>
  <c r="K30" i="20" s="1"/>
  <c r="L11" i="20" a="1"/>
  <c r="L11" i="20" s="1"/>
  <c r="K97" i="20" a="1"/>
  <c r="K97" i="20" s="1"/>
  <c r="K63" i="20" a="1"/>
  <c r="K63" i="20" s="1"/>
  <c r="K29" i="20" a="1"/>
  <c r="K29" i="20" s="1"/>
  <c r="K128" i="20" a="1"/>
  <c r="K128" i="20" s="1"/>
  <c r="K96" i="20" a="1"/>
  <c r="K96" i="20" s="1"/>
  <c r="K62" i="20" a="1"/>
  <c r="K62" i="20" s="1"/>
  <c r="K28" i="20" a="1"/>
  <c r="K28" i="20" s="1"/>
  <c r="K95" i="20" a="1"/>
  <c r="K95" i="20" s="1"/>
  <c r="K61" i="20" a="1"/>
  <c r="K61" i="20" s="1"/>
  <c r="K27" i="20" a="1"/>
  <c r="K27" i="20" s="1"/>
  <c r="L40" i="20" a="1"/>
  <c r="L40" i="20" s="1"/>
  <c r="L8" i="20" a="1"/>
  <c r="L8" i="20" s="1"/>
  <c r="K94" i="20" a="1"/>
  <c r="K94" i="20" s="1"/>
  <c r="K60" i="20" a="1"/>
  <c r="K60" i="20" s="1"/>
  <c r="K26" i="20" a="1"/>
  <c r="K26" i="20" s="1"/>
  <c r="K93" i="20" a="1"/>
  <c r="K93" i="20" s="1"/>
  <c r="K59" i="20" a="1"/>
  <c r="K59" i="20" s="1"/>
  <c r="K25" i="20" a="1"/>
  <c r="K25" i="20" s="1"/>
  <c r="K24" i="20" a="1"/>
  <c r="K24" i="20" s="1"/>
  <c r="N133" i="20"/>
  <c r="N103" i="20"/>
  <c r="N46" i="20"/>
  <c r="N21" i="20"/>
  <c r="K49" i="20" a="1"/>
  <c r="K49" i="20" s="1"/>
  <c r="K17" i="20" a="1"/>
  <c r="K17" i="20" s="1"/>
  <c r="K91" i="20" a="1"/>
  <c r="K91" i="20" s="1"/>
  <c r="K57" i="20" a="1"/>
  <c r="K57" i="20" s="1"/>
  <c r="K23" i="20" a="1"/>
  <c r="K23" i="20" s="1"/>
  <c r="N132" i="20"/>
  <c r="N102" i="20"/>
  <c r="N73" i="20"/>
  <c r="N45" i="20"/>
  <c r="N20" i="20"/>
  <c r="K56" i="20" a="1"/>
  <c r="K56" i="20" s="1"/>
  <c r="K22" i="20" a="1"/>
  <c r="K22" i="20" s="1"/>
  <c r="N131" i="20"/>
  <c r="N101" i="20"/>
  <c r="N72" i="20"/>
  <c r="K3" i="20" a="1"/>
  <c r="K3" i="20" s="1"/>
  <c r="K89" i="20" a="1"/>
  <c r="K89" i="20" s="1"/>
  <c r="K55" i="20" a="1"/>
  <c r="K55" i="20" s="1"/>
  <c r="K21" i="20" a="1"/>
  <c r="K21" i="20" s="1"/>
  <c r="N12" i="20"/>
  <c r="K54" i="20" a="1"/>
  <c r="K54" i="20" s="1"/>
  <c r="K20" i="20" a="1"/>
  <c r="K20" i="20" s="1"/>
  <c r="N129" i="20"/>
  <c r="N99" i="20"/>
  <c r="N18" i="20"/>
  <c r="K81" i="20" a="1"/>
  <c r="K81" i="20" s="1"/>
  <c r="N11" i="20"/>
  <c r="K87" i="20" a="1"/>
  <c r="K87" i="20" s="1"/>
  <c r="K53" i="20" a="1"/>
  <c r="K53" i="20" s="1"/>
  <c r="N138" i="20"/>
  <c r="N74" i="20"/>
  <c r="N10" i="20"/>
  <c r="K86" i="20" a="1"/>
  <c r="K86" i="20" s="1"/>
  <c r="K15" i="20" a="1"/>
  <c r="K15" i="20" s="1"/>
  <c r="K85" i="20" a="1"/>
  <c r="K85" i="20" s="1"/>
  <c r="K51" i="20" a="1"/>
  <c r="K51" i="20" s="1"/>
  <c r="K14" i="20" a="1"/>
  <c r="K14" i="20" s="1"/>
  <c r="K50" i="20" a="1"/>
  <c r="K50" i="20" s="1"/>
  <c r="K12" i="20" a="1"/>
  <c r="K12" i="20" s="1"/>
  <c r="N41" i="20"/>
  <c r="K2" i="20" a="1"/>
  <c r="K2" i="20" s="1"/>
  <c r="N7" i="20"/>
  <c r="K83" i="20" a="1"/>
  <c r="K83" i="20" s="1"/>
  <c r="K48" i="20" a="1"/>
  <c r="K48" i="20" s="1"/>
  <c r="K9" i="20" a="1"/>
  <c r="K9" i="20" s="1"/>
  <c r="K82" i="20" a="1"/>
  <c r="K82" i="20" s="1"/>
  <c r="K47" i="20" a="1"/>
  <c r="K47" i="20" s="1"/>
  <c r="K80" i="20" a="1"/>
  <c r="K80" i="20" s="1"/>
  <c r="K46" i="20" a="1"/>
  <c r="K46" i="20" s="1"/>
  <c r="K79" i="20" a="1"/>
  <c r="K79" i="20" s="1"/>
  <c r="K6" i="20" a="1"/>
  <c r="K6" i="20" s="1"/>
  <c r="K111" i="20" a="1"/>
  <c r="K111" i="20" s="1"/>
  <c r="K78" i="20" a="1"/>
  <c r="K78" i="20" s="1"/>
  <c r="K44" i="20" a="1"/>
  <c r="K44" i="20" s="1"/>
  <c r="K42" i="20" a="1"/>
  <c r="K42" i="20" s="1"/>
  <c r="N117" i="20"/>
  <c r="N8" i="20"/>
  <c r="N147" i="20"/>
  <c r="N146" i="20"/>
  <c r="N116" i="20"/>
  <c r="N86" i="20"/>
  <c r="N32" i="20"/>
  <c r="N144" i="20"/>
  <c r="N114" i="20"/>
  <c r="N30" i="20"/>
  <c r="N6" i="20"/>
  <c r="N83" i="20"/>
  <c r="N142" i="20"/>
  <c r="N112" i="20"/>
  <c r="N55" i="20"/>
  <c r="N4" i="20"/>
  <c r="N141" i="20"/>
  <c r="N111" i="20"/>
  <c r="N82" i="20"/>
  <c r="N54" i="20"/>
  <c r="N140" i="20"/>
  <c r="N110" i="20"/>
  <c r="N81" i="20"/>
  <c r="N53" i="20"/>
  <c r="N52" i="20"/>
  <c r="N2" i="20"/>
  <c r="N51" i="20"/>
  <c r="N143" i="20"/>
  <c r="N80" i="20"/>
  <c r="N79" i="20"/>
  <c r="N107" i="20"/>
  <c r="N78" i="20"/>
  <c r="N29" i="20"/>
  <c r="N139" i="20"/>
  <c r="N108" i="20"/>
  <c r="N137" i="20"/>
  <c r="N77" i="20"/>
  <c r="N50" i="20"/>
  <c r="N25" i="20"/>
  <c r="N136" i="20"/>
  <c r="N76" i="20"/>
  <c r="N49" i="20"/>
  <c r="N24" i="20"/>
  <c r="N135" i="20"/>
  <c r="N105" i="20"/>
  <c r="N75" i="20"/>
  <c r="N48" i="20"/>
  <c r="N23" i="20"/>
  <c r="N5" i="20"/>
  <c r="N134" i="20"/>
  <c r="N104" i="20"/>
  <c r="N47" i="20"/>
  <c r="N22" i="20"/>
  <c r="N19" i="20"/>
  <c r="N130" i="20"/>
  <c r="N100" i="20"/>
  <c r="N71" i="20"/>
  <c r="N128" i="20"/>
  <c r="N98" i="20"/>
  <c r="N69" i="20"/>
  <c r="N17" i="20"/>
  <c r="N97" i="20"/>
  <c r="N68" i="20"/>
  <c r="N16" i="20"/>
  <c r="N127" i="20"/>
  <c r="N126" i="20"/>
  <c r="N96" i="20"/>
  <c r="N15" i="20"/>
  <c r="N94" i="20"/>
  <c r="N66" i="20"/>
  <c r="N40" i="20"/>
  <c r="N13" i="20"/>
  <c r="N70" i="20"/>
  <c r="N123" i="20"/>
  <c r="N93" i="20"/>
  <c r="N65" i="20"/>
  <c r="N39" i="20"/>
  <c r="N95" i="20"/>
  <c r="N92" i="20"/>
  <c r="N64" i="20"/>
  <c r="N38" i="20"/>
  <c r="N124" i="20"/>
  <c r="N91" i="20"/>
  <c r="N63" i="20"/>
  <c r="N37" i="20"/>
  <c r="N125" i="20"/>
  <c r="N67" i="20"/>
  <c r="N3" i="20"/>
  <c r="N151" i="20"/>
  <c r="N121" i="20"/>
  <c r="N62" i="20"/>
  <c r="N36" i="20"/>
  <c r="N35" i="20"/>
  <c r="N150" i="20"/>
  <c r="N120" i="20"/>
  <c r="N61" i="20"/>
  <c r="N14" i="20"/>
  <c r="N149" i="20"/>
  <c r="N119" i="20"/>
  <c r="N89" i="20"/>
  <c r="N60" i="20"/>
  <c r="K11" i="20" a="1"/>
  <c r="K11" i="20" s="1"/>
  <c r="K10" i="20" a="1"/>
  <c r="K10" i="20" s="1"/>
  <c r="K4" i="20" a="1"/>
  <c r="K4" i="20" s="1"/>
  <c r="K19" i="20" a="1"/>
  <c r="K19" i="20" s="1"/>
  <c r="J4" i="19" a="1"/>
  <c r="J4" i="19" s="1"/>
  <c r="M2" i="19"/>
  <c r="K31" i="19" a="1"/>
  <c r="K31" i="19" s="1"/>
  <c r="J17" i="19" a="1"/>
  <c r="J17" i="19" s="1"/>
  <c r="K29" i="19" a="1"/>
  <c r="K29" i="19" s="1"/>
  <c r="J26" i="19" a="1"/>
  <c r="J26" i="19" s="1"/>
  <c r="J59" i="19" a="1"/>
  <c r="J59" i="19" s="1"/>
  <c r="J27" i="19" a="1"/>
  <c r="J27" i="19" s="1"/>
  <c r="J44" i="19" a="1"/>
  <c r="J44" i="19" s="1"/>
  <c r="J24" i="19" a="1"/>
  <c r="J24" i="19" s="1"/>
  <c r="J57" i="19" a="1"/>
  <c r="J57" i="19" s="1"/>
  <c r="J25" i="19" a="1"/>
  <c r="J25" i="19" s="1"/>
  <c r="K18" i="19" a="1"/>
  <c r="K18" i="19" s="1"/>
  <c r="M18" i="19" s="1"/>
  <c r="J40" i="19" a="1"/>
  <c r="J40" i="19" s="1"/>
  <c r="J39" i="19" a="1"/>
  <c r="J39" i="19" s="1"/>
  <c r="K16" i="19" a="1"/>
  <c r="K16" i="19" s="1"/>
  <c r="M16" i="19" s="1"/>
  <c r="J38" i="19" a="1"/>
  <c r="J38" i="19" s="1"/>
  <c r="J37" i="19" a="1"/>
  <c r="J37" i="19" s="1"/>
  <c r="N7" i="19" a="1"/>
  <c r="N7" i="19" s="1"/>
  <c r="M55" i="19"/>
  <c r="J36" i="19" a="1"/>
  <c r="J36" i="19" s="1"/>
  <c r="K11" i="19" a="1"/>
  <c r="K11" i="19" s="1"/>
  <c r="J35" i="19" a="1"/>
  <c r="J35" i="19" s="1"/>
  <c r="K10" i="19" a="1"/>
  <c r="K10" i="19" s="1"/>
  <c r="M10" i="19" s="1"/>
  <c r="J34" i="19" a="1"/>
  <c r="J34" i="19" s="1"/>
  <c r="K46" i="19" a="1"/>
  <c r="K46" i="19" s="1"/>
  <c r="M46" i="19" s="1"/>
  <c r="K9" i="19" a="1"/>
  <c r="K9" i="19" s="1"/>
  <c r="K8" i="19" a="1"/>
  <c r="K8" i="19" s="1"/>
  <c r="J32" i="19" a="1"/>
  <c r="J32" i="19" s="1"/>
  <c r="J10" i="19" a="1"/>
  <c r="J10" i="19" s="1"/>
  <c r="M49" i="19"/>
  <c r="M17" i="19"/>
  <c r="K42" i="19" a="1"/>
  <c r="K42" i="19" s="1"/>
  <c r="K6" i="19" a="1"/>
  <c r="K6" i="19" s="1"/>
  <c r="J30" i="19" a="1"/>
  <c r="J30" i="19" s="1"/>
  <c r="K45" i="19" a="1"/>
  <c r="K45" i="19" s="1"/>
  <c r="M45" i="19" s="1"/>
  <c r="K13" i="19" a="1"/>
  <c r="K13" i="19" s="1"/>
  <c r="M13" i="19" s="1"/>
  <c r="J28" i="19" a="1"/>
  <c r="J28" i="19" s="1"/>
  <c r="J12" i="19" a="1"/>
  <c r="J12" i="19" s="1"/>
  <c r="J23" i="19" a="1"/>
  <c r="J23" i="19" s="1"/>
  <c r="J43" i="19" a="1"/>
  <c r="J43" i="19" s="1"/>
  <c r="J11" i="19" a="1"/>
  <c r="J11" i="19" s="1"/>
  <c r="K38" i="19" a="1"/>
  <c r="K38" i="19" s="1"/>
  <c r="M38" i="19" s="1"/>
  <c r="J41" i="19" a="1"/>
  <c r="J41" i="19" s="1"/>
  <c r="J9" i="19" a="1"/>
  <c r="J9" i="19" s="1"/>
  <c r="N16" i="19" a="1"/>
  <c r="N16" i="19" s="1"/>
  <c r="K36" i="19" a="1"/>
  <c r="K36" i="19" s="1"/>
  <c r="M36" i="19" s="1"/>
  <c r="N15" i="19" a="1"/>
  <c r="N15" i="19" s="1"/>
  <c r="K35" i="19" a="1"/>
  <c r="K35" i="19" s="1"/>
  <c r="M35" i="19" s="1"/>
  <c r="M9" i="19"/>
  <c r="J56" i="19" a="1"/>
  <c r="J56" i="19" s="1"/>
  <c r="J18" i="19" a="1"/>
  <c r="J18" i="19" s="1"/>
  <c r="J8" i="19" a="1"/>
  <c r="J8" i="19" s="1"/>
  <c r="M8" i="19"/>
  <c r="K33" i="19" a="1"/>
  <c r="K33" i="19" s="1"/>
  <c r="M33" i="19" s="1"/>
  <c r="J55" i="19" a="1"/>
  <c r="J55" i="19" s="1"/>
  <c r="J7" i="19" a="1"/>
  <c r="J7" i="19" s="1"/>
  <c r="K32" i="19" a="1"/>
  <c r="K32" i="19" s="1"/>
  <c r="M32" i="19" s="1"/>
  <c r="J54" i="19" a="1"/>
  <c r="J54" i="19" s="1"/>
  <c r="J6" i="19" a="1"/>
  <c r="J6" i="19" s="1"/>
  <c r="N11" i="19" a="1"/>
  <c r="N11" i="19" s="1"/>
  <c r="K30" i="19" a="1"/>
  <c r="K30" i="19" s="1"/>
  <c r="J5" i="19" a="1"/>
  <c r="J5" i="19" s="1"/>
  <c r="N43" i="19" a="1"/>
  <c r="N43" i="19" s="1"/>
  <c r="N10" i="19" a="1"/>
  <c r="N10" i="19" s="1"/>
  <c r="K28" i="19" a="1"/>
  <c r="K28" i="19" s="1"/>
  <c r="M28" i="19" s="1"/>
  <c r="M4" i="19"/>
  <c r="M3" i="19"/>
  <c r="M61" i="19"/>
  <c r="M29" i="19"/>
  <c r="M59" i="19"/>
  <c r="M27" i="19"/>
  <c r="M58" i="19"/>
  <c r="M26" i="19"/>
  <c r="M60" i="19"/>
  <c r="M57" i="19"/>
  <c r="M25" i="19"/>
  <c r="M24" i="19"/>
  <c r="M23" i="19"/>
  <c r="M31" i="19"/>
  <c r="M30" i="19"/>
  <c r="M54" i="19"/>
  <c r="M22" i="19"/>
  <c r="M53" i="19"/>
  <c r="M21" i="19"/>
  <c r="M52" i="19"/>
  <c r="M20" i="19"/>
  <c r="M51" i="19"/>
  <c r="M19" i="19"/>
  <c r="M14" i="19"/>
  <c r="M43" i="19"/>
  <c r="M11" i="19"/>
  <c r="M42" i="19"/>
  <c r="M41" i="19"/>
  <c r="M40" i="19"/>
  <c r="M39" i="19"/>
  <c r="M7" i="19"/>
  <c r="M44" i="19"/>
  <c r="M6" i="19"/>
  <c r="M37" i="19"/>
  <c r="M5" i="19"/>
  <c r="J3" i="19" a="1"/>
  <c r="J3" i="19" s="1"/>
  <c r="J2" i="19" a="1"/>
  <c r="J2" i="19" s="1"/>
  <c r="J16" i="19" a="1"/>
  <c r="J16" i="19" s="1"/>
  <c r="J15" i="19" a="1"/>
  <c r="J15" i="19" s="1"/>
  <c r="J14" i="19" a="1"/>
  <c r="J14" i="19" s="1"/>
  <c r="J13" i="19" a="1"/>
  <c r="J13" i="19" s="1"/>
  <c r="K47" i="19" a="1"/>
  <c r="K47" i="19" s="1"/>
  <c r="M47" i="19" s="1"/>
  <c r="K15" i="19" a="1"/>
  <c r="K15" i="19" s="1"/>
  <c r="M15" i="19" s="1"/>
  <c r="N23" i="19" a="1"/>
  <c r="N23" i="19" s="1"/>
  <c r="O20" i="18" a="1"/>
  <c r="O20" i="18" s="1"/>
  <c r="O69" i="18" a="1"/>
  <c r="O69" i="18" s="1"/>
  <c r="O37" i="18" a="1"/>
  <c r="O37" i="18" s="1"/>
  <c r="R126" i="18"/>
  <c r="U126" i="18" s="1"/>
  <c r="R96" i="18"/>
  <c r="U96" i="18" s="1"/>
  <c r="R66" i="18"/>
  <c r="U66" i="18" s="1"/>
  <c r="O68" i="18" a="1"/>
  <c r="O68" i="18" s="1"/>
  <c r="O36" i="18" a="1"/>
  <c r="O36" i="18" s="1"/>
  <c r="O35" i="18" a="1"/>
  <c r="O35" i="18" s="1"/>
  <c r="R124" i="18"/>
  <c r="U124" i="18" s="1"/>
  <c r="R94" i="18"/>
  <c r="R64" i="18"/>
  <c r="R34" i="18"/>
  <c r="O7" i="18" a="1"/>
  <c r="O7" i="18" s="1"/>
  <c r="R150" i="18"/>
  <c r="U150" i="18" s="1"/>
  <c r="R118" i="18"/>
  <c r="U118" i="18" s="1"/>
  <c r="R86" i="18"/>
  <c r="U86" i="18" s="1"/>
  <c r="O34" i="18" a="1"/>
  <c r="O34" i="18" s="1"/>
  <c r="O19" i="18" a="1"/>
  <c r="O19" i="18" s="1"/>
  <c r="O33" i="18" a="1"/>
  <c r="O33" i="18" s="1"/>
  <c r="R92" i="18"/>
  <c r="U92" i="18" s="1"/>
  <c r="R62" i="18"/>
  <c r="U62" i="18" s="1"/>
  <c r="O64" i="18" a="1"/>
  <c r="O64" i="18" s="1"/>
  <c r="O18" i="18" a="1"/>
  <c r="O18" i="18" s="1"/>
  <c r="O95" i="18" a="1"/>
  <c r="O95" i="18" s="1"/>
  <c r="O63" i="18" a="1"/>
  <c r="O63" i="18" s="1"/>
  <c r="R60" i="18"/>
  <c r="P40" i="18" a="1"/>
  <c r="P40" i="18" s="1"/>
  <c r="P8" i="18" a="1"/>
  <c r="P8" i="18" s="1"/>
  <c r="R30" i="18"/>
  <c r="P39" i="18" a="1"/>
  <c r="P39" i="18" s="1"/>
  <c r="P7" i="18" a="1"/>
  <c r="P7" i="18" s="1"/>
  <c r="R2" i="18"/>
  <c r="O92" i="18" a="1"/>
  <c r="O92" i="18" s="1"/>
  <c r="O60" i="18" a="1"/>
  <c r="O60" i="18" s="1"/>
  <c r="R28" i="18"/>
  <c r="P37" i="18" a="1"/>
  <c r="P37" i="18" s="1"/>
  <c r="P5" i="18" a="1"/>
  <c r="P5" i="18" s="1"/>
  <c r="O59" i="18" a="1"/>
  <c r="O59" i="18" s="1"/>
  <c r="O90" i="18" a="1"/>
  <c r="O90" i="18" s="1"/>
  <c r="O58" i="18" a="1"/>
  <c r="O58" i="18" s="1"/>
  <c r="O89" i="18" a="1"/>
  <c r="O89" i="18" s="1"/>
  <c r="O57" i="18" a="1"/>
  <c r="O57" i="18" s="1"/>
  <c r="O88" i="18" a="1"/>
  <c r="O88" i="18" s="1"/>
  <c r="O56" i="18" a="1"/>
  <c r="O56" i="18" s="1"/>
  <c r="O87" i="18" a="1"/>
  <c r="O87" i="18" s="1"/>
  <c r="O55" i="18" a="1"/>
  <c r="O55" i="18" s="1"/>
  <c r="O85" i="18" a="1"/>
  <c r="O85" i="18" s="1"/>
  <c r="O116" i="18" a="1"/>
  <c r="O116" i="18" s="1"/>
  <c r="O83" i="18" a="1"/>
  <c r="O83" i="18" s="1"/>
  <c r="O51" i="18" a="1"/>
  <c r="O51" i="18" s="1"/>
  <c r="R134" i="18"/>
  <c r="U134" i="18" s="1"/>
  <c r="R102" i="18"/>
  <c r="U102" i="18" s="1"/>
  <c r="R70" i="18"/>
  <c r="U70" i="18" s="1"/>
  <c r="O82" i="18" a="1"/>
  <c r="O82" i="18" s="1"/>
  <c r="O81" i="18" a="1"/>
  <c r="O81" i="18" s="1"/>
  <c r="O17" i="18" a="1"/>
  <c r="O17" i="18" s="1"/>
  <c r="O80" i="18" a="1"/>
  <c r="O80" i="18" s="1"/>
  <c r="O48" i="18" a="1"/>
  <c r="O48" i="18" s="1"/>
  <c r="O79" i="18" a="1"/>
  <c r="O79" i="18" s="1"/>
  <c r="O47" i="18" a="1"/>
  <c r="O47" i="18" s="1"/>
  <c r="O78" i="18" a="1"/>
  <c r="O78" i="18" s="1"/>
  <c r="O46" i="18" a="1"/>
  <c r="O46" i="18" s="1"/>
  <c r="O77" i="18" a="1"/>
  <c r="O77" i="18" s="1"/>
  <c r="R32" i="18"/>
  <c r="U32" i="18" s="1"/>
  <c r="O108" i="18" a="1"/>
  <c r="O108" i="18" s="1"/>
  <c r="O75" i="18" a="1"/>
  <c r="O75" i="18" s="1"/>
  <c r="O43" i="18" a="1"/>
  <c r="O43" i="18" s="1"/>
  <c r="O74" i="18" a="1"/>
  <c r="O74" i="18" s="1"/>
  <c r="O42" i="18" a="1"/>
  <c r="O42" i="18" s="1"/>
  <c r="O73" i="18" a="1"/>
  <c r="O73" i="18" s="1"/>
  <c r="O41" i="18" a="1"/>
  <c r="O41" i="18" s="1"/>
  <c r="O72" i="18" a="1"/>
  <c r="O72" i="18" s="1"/>
  <c r="R127" i="18"/>
  <c r="U127" i="18" s="1"/>
  <c r="R67" i="18"/>
  <c r="U67" i="18" s="1"/>
  <c r="R37" i="18"/>
  <c r="U37" i="18" s="1"/>
  <c r="R36" i="18"/>
  <c r="U36" i="18" s="1"/>
  <c r="R8" i="18"/>
  <c r="U8" i="18" s="1"/>
  <c r="R122" i="18"/>
  <c r="U122" i="18" s="1"/>
  <c r="R5" i="18"/>
  <c r="U5" i="18" s="1"/>
  <c r="R120" i="18"/>
  <c r="U120" i="18" s="1"/>
  <c r="R90" i="18"/>
  <c r="R31" i="18"/>
  <c r="U31" i="18" s="1"/>
  <c r="R125" i="18"/>
  <c r="U125" i="18" s="1"/>
  <c r="R149" i="18"/>
  <c r="U149" i="18" s="1"/>
  <c r="R88" i="18"/>
  <c r="U88" i="18" s="1"/>
  <c r="R58" i="18"/>
  <c r="U58" i="18" s="1"/>
  <c r="R29" i="18"/>
  <c r="U29" i="18" s="1"/>
  <c r="R63" i="18"/>
  <c r="U63" i="18" s="1"/>
  <c r="R16" i="18"/>
  <c r="U16" i="18" s="1"/>
  <c r="R148" i="18"/>
  <c r="U148" i="18" s="1"/>
  <c r="R87" i="18"/>
  <c r="U87" i="18" s="1"/>
  <c r="R57" i="18"/>
  <c r="U57" i="18" s="1"/>
  <c r="U64" i="18"/>
  <c r="R147" i="18"/>
  <c r="U147" i="18" s="1"/>
  <c r="R117" i="18"/>
  <c r="U117" i="18" s="1"/>
  <c r="R56" i="18"/>
  <c r="U56" i="18" s="1"/>
  <c r="R27" i="18"/>
  <c r="U27" i="18" s="1"/>
  <c r="U94" i="18"/>
  <c r="R14" i="18"/>
  <c r="U14" i="18" s="1"/>
  <c r="R146" i="18"/>
  <c r="U146" i="18" s="1"/>
  <c r="R116" i="18"/>
  <c r="U116" i="18" s="1"/>
  <c r="R55" i="18"/>
  <c r="U55" i="18" s="1"/>
  <c r="R26" i="18"/>
  <c r="U26" i="18" s="1"/>
  <c r="U60" i="18"/>
  <c r="R145" i="18"/>
  <c r="U145" i="18" s="1"/>
  <c r="R115" i="18"/>
  <c r="U115" i="18" s="1"/>
  <c r="R85" i="18"/>
  <c r="U85" i="18" s="1"/>
  <c r="R25" i="18"/>
  <c r="U25" i="18" s="1"/>
  <c r="R35" i="18"/>
  <c r="U35" i="18" s="1"/>
  <c r="R33" i="18"/>
  <c r="U33" i="18"/>
  <c r="R61" i="18"/>
  <c r="U61" i="18" s="1"/>
  <c r="U59" i="18"/>
  <c r="R59" i="18"/>
  <c r="R144" i="18"/>
  <c r="U144" i="18"/>
  <c r="R114" i="18"/>
  <c r="U114" i="18" s="1"/>
  <c r="R84" i="18"/>
  <c r="U84" i="18" s="1"/>
  <c r="R24" i="18"/>
  <c r="U24" i="18" s="1"/>
  <c r="R4" i="18"/>
  <c r="U4" i="18"/>
  <c r="R89" i="18"/>
  <c r="U89" i="18" s="1"/>
  <c r="R143" i="18"/>
  <c r="U143" i="18" s="1"/>
  <c r="R113" i="18"/>
  <c r="U113" i="18" s="1"/>
  <c r="U83" i="18"/>
  <c r="R83" i="18"/>
  <c r="R53" i="18"/>
  <c r="U53" i="18" s="1"/>
  <c r="R23" i="18"/>
  <c r="U23" i="18" s="1"/>
  <c r="U34" i="18"/>
  <c r="R142" i="18"/>
  <c r="U142" i="18" s="1"/>
  <c r="R112" i="18"/>
  <c r="U112" i="18" s="1"/>
  <c r="R82" i="18"/>
  <c r="U82" i="18" s="1"/>
  <c r="R52" i="18"/>
  <c r="U52" i="18" s="1"/>
  <c r="R95" i="18"/>
  <c r="U95" i="18" s="1"/>
  <c r="R141" i="18"/>
  <c r="U141" i="18" s="1"/>
  <c r="R111" i="18"/>
  <c r="U111" i="18" s="1"/>
  <c r="R81" i="18"/>
  <c r="U81" i="18" s="1"/>
  <c r="R51" i="18"/>
  <c r="U51" i="18" s="1"/>
  <c r="U30" i="18"/>
  <c r="R140" i="18"/>
  <c r="U140" i="18" s="1"/>
  <c r="R110" i="18"/>
  <c r="U110" i="18" s="1"/>
  <c r="R80" i="18"/>
  <c r="U80" i="18" s="1"/>
  <c r="R50" i="18"/>
  <c r="U50" i="18" s="1"/>
  <c r="R21" i="18"/>
  <c r="U21" i="18" s="1"/>
  <c r="R119" i="18"/>
  <c r="U119" i="18" s="1"/>
  <c r="U28" i="18"/>
  <c r="R139" i="18"/>
  <c r="U139" i="18" s="1"/>
  <c r="R109" i="18"/>
  <c r="U109" i="18" s="1"/>
  <c r="R79" i="18"/>
  <c r="U79" i="18" s="1"/>
  <c r="U49" i="18"/>
  <c r="R49" i="18"/>
  <c r="R20" i="18"/>
  <c r="U20" i="18" s="1"/>
  <c r="R6" i="18"/>
  <c r="U6" i="18" s="1"/>
  <c r="R138" i="18"/>
  <c r="U138" i="18" s="1"/>
  <c r="R108" i="18"/>
  <c r="U108" i="18" s="1"/>
  <c r="R78" i="18"/>
  <c r="U78" i="18" s="1"/>
  <c r="R48" i="18"/>
  <c r="U48" i="18" s="1"/>
  <c r="U19" i="18"/>
  <c r="R19" i="18"/>
  <c r="R151" i="18"/>
  <c r="U151" i="18" s="1"/>
  <c r="R107" i="18"/>
  <c r="U107" i="18"/>
  <c r="U2" i="18"/>
  <c r="R136" i="18"/>
  <c r="U136" i="18" s="1"/>
  <c r="R106" i="18"/>
  <c r="U106" i="18" s="1"/>
  <c r="R76" i="18"/>
  <c r="U76" i="18" s="1"/>
  <c r="U46" i="18"/>
  <c r="R46" i="18"/>
  <c r="R17" i="18"/>
  <c r="U17" i="18" s="1"/>
  <c r="R65" i="18"/>
  <c r="U65" i="18" s="1"/>
  <c r="R123" i="18"/>
  <c r="U123" i="18" s="1"/>
  <c r="R91" i="18"/>
  <c r="U91" i="18" s="1"/>
  <c r="R135" i="18"/>
  <c r="U135" i="18" s="1"/>
  <c r="R105" i="18"/>
  <c r="U105" i="18"/>
  <c r="R75" i="18"/>
  <c r="U75" i="18" s="1"/>
  <c r="R45" i="18"/>
  <c r="U45" i="18" s="1"/>
  <c r="R77" i="18"/>
  <c r="U77" i="18" s="1"/>
  <c r="R104" i="18"/>
  <c r="U104" i="18" s="1"/>
  <c r="R74" i="18"/>
  <c r="U74" i="18" s="1"/>
  <c r="R44" i="18"/>
  <c r="U44" i="18" s="1"/>
  <c r="R9" i="18"/>
  <c r="U9" i="18" s="1"/>
  <c r="U90" i="18"/>
  <c r="R103" i="18"/>
  <c r="U103" i="18" s="1"/>
  <c r="R73" i="18"/>
  <c r="U73" i="18" s="1"/>
  <c r="R43" i="18"/>
  <c r="U43" i="18" s="1"/>
  <c r="R15" i="18"/>
  <c r="U15" i="18" s="1"/>
  <c r="R97" i="18"/>
  <c r="U97" i="18" s="1"/>
  <c r="R7" i="18"/>
  <c r="U7" i="18" s="1"/>
  <c r="R133" i="18"/>
  <c r="U133" i="18" s="1"/>
  <c r="R72" i="18"/>
  <c r="U72" i="18" s="1"/>
  <c r="R42" i="18"/>
  <c r="U42" i="18" s="1"/>
  <c r="R132" i="18"/>
  <c r="U132" i="18" s="1"/>
  <c r="R71" i="18"/>
  <c r="U71" i="18" s="1"/>
  <c r="R41" i="18"/>
  <c r="U41" i="18" s="1"/>
  <c r="R47" i="18"/>
  <c r="U47" i="18" s="1"/>
  <c r="R131" i="18"/>
  <c r="U131" i="18" s="1"/>
  <c r="R101" i="18"/>
  <c r="U101" i="18" s="1"/>
  <c r="R40" i="18"/>
  <c r="U40" i="18"/>
  <c r="R13" i="18"/>
  <c r="U13" i="18" s="1"/>
  <c r="R137" i="18"/>
  <c r="U137" i="18" s="1"/>
  <c r="R130" i="18"/>
  <c r="U130" i="18" s="1"/>
  <c r="R100" i="18"/>
  <c r="U100" i="18" s="1"/>
  <c r="R39" i="18"/>
  <c r="U39" i="18" s="1"/>
  <c r="R12" i="18"/>
  <c r="U12" i="18" s="1"/>
  <c r="R93" i="18"/>
  <c r="U93" i="18" s="1"/>
  <c r="R121" i="18"/>
  <c r="U121" i="18" s="1"/>
  <c r="R129" i="18"/>
  <c r="U129" i="18" s="1"/>
  <c r="R99" i="18"/>
  <c r="U99" i="18" s="1"/>
  <c r="R69" i="18"/>
  <c r="U69" i="18" s="1"/>
  <c r="R11" i="18"/>
  <c r="U11" i="18" s="1"/>
  <c r="R18" i="18"/>
  <c r="U18" i="18" s="1"/>
  <c r="R128" i="18"/>
  <c r="U128" i="18" s="1"/>
  <c r="R98" i="18"/>
  <c r="U98" i="18" s="1"/>
  <c r="R68" i="18"/>
  <c r="U68" i="18" s="1"/>
  <c r="R10" i="18"/>
  <c r="U10" i="18" s="1"/>
  <c r="O16" i="18" a="1"/>
  <c r="O16" i="18" s="1"/>
  <c r="O32" i="18" a="1"/>
  <c r="O32" i="18" s="1"/>
  <c r="O15" i="18" a="1"/>
  <c r="O15" i="18" s="1"/>
  <c r="O31" i="18" a="1"/>
  <c r="O31" i="18" s="1"/>
  <c r="O14" i="18" a="1"/>
  <c r="O14" i="18" s="1"/>
  <c r="O30" i="18" a="1"/>
  <c r="O30" i="18" s="1"/>
  <c r="O13" i="18" a="1"/>
  <c r="O13" i="18" s="1"/>
  <c r="O29" i="18" a="1"/>
  <c r="O29" i="18" s="1"/>
  <c r="O12" i="18" a="1"/>
  <c r="O12" i="18" s="1"/>
  <c r="O28" i="18" a="1"/>
  <c r="O28" i="18" s="1"/>
  <c r="O11" i="18" a="1"/>
  <c r="O11" i="18" s="1"/>
  <c r="O27" i="18" a="1"/>
  <c r="O27" i="18" s="1"/>
  <c r="O10" i="18" a="1"/>
  <c r="O10" i="18" s="1"/>
  <c r="O26" i="18" a="1"/>
  <c r="O26" i="18" s="1"/>
  <c r="O25" i="18" a="1"/>
  <c r="O25" i="18" s="1"/>
  <c r="O9" i="18" a="1"/>
  <c r="O9" i="18" s="1"/>
  <c r="O8" i="18" a="1"/>
  <c r="O8" i="18" s="1"/>
  <c r="O24" i="18" a="1"/>
  <c r="O24" i="18" s="1"/>
  <c r="O23" i="18" a="1"/>
  <c r="O23" i="18" s="1"/>
  <c r="O6" i="18" a="1"/>
  <c r="O6" i="18" s="1"/>
  <c r="O22" i="18" a="1"/>
  <c r="O22" i="18" s="1"/>
  <c r="O5" i="18" a="1"/>
  <c r="O5" i="18" s="1"/>
  <c r="O21" i="18" a="1"/>
  <c r="O21" i="18" s="1"/>
  <c r="O4" i="18" a="1"/>
  <c r="O4" i="18" s="1"/>
  <c r="O3" i="18" a="1"/>
  <c r="O3" i="18" s="1"/>
  <c r="O2" i="18" a="1"/>
  <c r="O2" i="18" s="1"/>
  <c r="Y78" i="17"/>
  <c r="Q78" i="17" s="1"/>
  <c r="W78" i="17" s="1"/>
  <c r="O33" i="17" a="1"/>
  <c r="O33" i="17" s="1"/>
  <c r="O3" i="17" a="1"/>
  <c r="O3" i="17" s="1"/>
  <c r="N115" i="17" a="1"/>
  <c r="N115" i="17" s="1"/>
  <c r="N56" i="17" a="1"/>
  <c r="N56" i="17" s="1"/>
  <c r="N148" i="17" a="1"/>
  <c r="N148" i="17" s="1"/>
  <c r="N112" i="17" a="1"/>
  <c r="N112" i="17" s="1"/>
  <c r="N110" i="17" a="1"/>
  <c r="N110" i="17" s="1"/>
  <c r="N83" i="17" a="1"/>
  <c r="N83" i="17" s="1"/>
  <c r="Y23" i="17"/>
  <c r="N147" i="17" a="1"/>
  <c r="N147" i="17" s="1"/>
  <c r="N199" i="17" a="1"/>
  <c r="N199" i="17" s="1"/>
  <c r="N82" i="17" a="1"/>
  <c r="N82" i="17" s="1"/>
  <c r="Q76" i="17"/>
  <c r="W76" i="17" s="1"/>
  <c r="Y207" i="17"/>
  <c r="Q207" i="17" s="1"/>
  <c r="W207" i="17" s="1"/>
  <c r="N146" i="17" a="1"/>
  <c r="N146" i="17" s="1"/>
  <c r="N104" i="17" a="1"/>
  <c r="N104" i="17" s="1"/>
  <c r="N109" i="17" a="1"/>
  <c r="N109" i="17" s="1"/>
  <c r="N81" i="17" a="1"/>
  <c r="N81" i="17" s="1"/>
  <c r="N198" i="17" a="1"/>
  <c r="N198" i="17" s="1"/>
  <c r="N108" i="17" a="1"/>
  <c r="N108" i="17" s="1"/>
  <c r="N80" i="17" a="1"/>
  <c r="N80" i="17" s="1"/>
  <c r="N53" i="17" a="1"/>
  <c r="N53" i="17" s="1"/>
  <c r="N103" i="17" a="1"/>
  <c r="N103" i="17" s="1"/>
  <c r="N134" i="17" a="1"/>
  <c r="N134" i="17" s="1"/>
  <c r="N107" i="17" a="1"/>
  <c r="N107" i="17" s="1"/>
  <c r="N52" i="17" a="1"/>
  <c r="N52" i="17" s="1"/>
  <c r="N203" i="17" a="1"/>
  <c r="N203" i="17" s="1"/>
  <c r="N106" i="17" a="1"/>
  <c r="N106" i="17" s="1"/>
  <c r="N79" i="17" a="1"/>
  <c r="N79" i="17" s="1"/>
  <c r="N173" i="17" a="1"/>
  <c r="N173" i="17" s="1"/>
  <c r="Y99" i="17"/>
  <c r="N142" i="17" a="1"/>
  <c r="N142" i="17" s="1"/>
  <c r="N97" i="17" a="1"/>
  <c r="N97" i="17" s="1"/>
  <c r="Y7" i="17"/>
  <c r="N133" i="17" a="1"/>
  <c r="N133" i="17" s="1"/>
  <c r="N50" i="17" a="1"/>
  <c r="N50" i="17" s="1"/>
  <c r="N172" i="17" a="1"/>
  <c r="N172" i="17" s="1"/>
  <c r="N141" i="17" a="1"/>
  <c r="N141" i="17" s="1"/>
  <c r="N95" i="17" a="1"/>
  <c r="N95" i="17" s="1"/>
  <c r="N132" i="17" a="1"/>
  <c r="N132" i="17" s="1"/>
  <c r="O55" i="17" a="1"/>
  <c r="O55" i="17" s="1"/>
  <c r="O185" i="17" a="1"/>
  <c r="O185" i="17" s="1"/>
  <c r="N171" i="17" a="1"/>
  <c r="N171" i="17" s="1"/>
  <c r="N140" i="17" a="1"/>
  <c r="N140" i="17" s="1"/>
  <c r="N93" i="17" a="1"/>
  <c r="N93" i="17" s="1"/>
  <c r="N170" i="17" a="1"/>
  <c r="N170" i="17" s="1"/>
  <c r="Y125" i="17"/>
  <c r="Q125" i="17" s="1"/>
  <c r="W125" i="17" s="1"/>
  <c r="Y151" i="17"/>
  <c r="Q151" i="17" s="1"/>
  <c r="W151" i="17" s="1"/>
  <c r="Y123" i="17"/>
  <c r="Q123" i="17" s="1"/>
  <c r="W123" i="17" s="1"/>
  <c r="N204" i="17" a="1"/>
  <c r="N204" i="17" s="1"/>
  <c r="N91" i="17" a="1"/>
  <c r="N91" i="17" s="1"/>
  <c r="O15" i="17" a="1"/>
  <c r="O15" i="17" s="1"/>
  <c r="N174" i="17" a="1"/>
  <c r="N174" i="17" s="1"/>
  <c r="Y95" i="17"/>
  <c r="O52" i="17" a="1"/>
  <c r="O52" i="17" s="1"/>
  <c r="O23" i="17" a="1"/>
  <c r="O23" i="17" s="1"/>
  <c r="N209" i="17" a="1"/>
  <c r="N209" i="17" s="1"/>
  <c r="N139" i="17" a="1"/>
  <c r="N139" i="17" s="1"/>
  <c r="O51" i="17" a="1"/>
  <c r="O51" i="17" s="1"/>
  <c r="O22" i="17" a="1"/>
  <c r="O22" i="17" s="1"/>
  <c r="Q22" i="17" s="1"/>
  <c r="W22" i="17" s="1"/>
  <c r="N169" i="17" a="1"/>
  <c r="N169" i="17" s="1"/>
  <c r="N76" i="17" a="1"/>
  <c r="N76" i="17" s="1"/>
  <c r="Y210" i="17"/>
  <c r="Q210" i="17" s="1"/>
  <c r="W210" i="17" s="1"/>
  <c r="Y148" i="17"/>
  <c r="Y121" i="17"/>
  <c r="O99" i="17" a="1"/>
  <c r="O99" i="17" s="1"/>
  <c r="O50" i="17" a="1"/>
  <c r="O50" i="17" s="1"/>
  <c r="O21" i="17" a="1"/>
  <c r="O21" i="17" s="1"/>
  <c r="Q21" i="17" s="1"/>
  <c r="W21" i="17" s="1"/>
  <c r="N168" i="17" a="1"/>
  <c r="N168" i="17" s="1"/>
  <c r="N74" i="17" a="1"/>
  <c r="N74" i="17" s="1"/>
  <c r="N131" i="17" a="1"/>
  <c r="N131" i="17" s="1"/>
  <c r="O20" i="17" a="1"/>
  <c r="O20" i="17" s="1"/>
  <c r="Q20" i="17" s="1"/>
  <c r="W20" i="17" s="1"/>
  <c r="N167" i="17" a="1"/>
  <c r="N167" i="17" s="1"/>
  <c r="N67" i="17" a="1"/>
  <c r="N67" i="17" s="1"/>
  <c r="N206" i="17" a="1"/>
  <c r="N206" i="17" s="1"/>
  <c r="Y197" i="17"/>
  <c r="Y11" i="17"/>
  <c r="O49" i="17" a="1"/>
  <c r="O49" i="17" s="1"/>
  <c r="Q49" i="17" s="1"/>
  <c r="W49" i="17" s="1"/>
  <c r="O184" i="17" a="1"/>
  <c r="O184" i="17" s="1"/>
  <c r="N166" i="17" a="1"/>
  <c r="N166" i="17" s="1"/>
  <c r="N135" i="17" a="1"/>
  <c r="N135" i="17" s="1"/>
  <c r="Q63" i="17"/>
  <c r="W63" i="17" s="1"/>
  <c r="Q10" i="17"/>
  <c r="W10" i="17" s="1"/>
  <c r="O74" i="17" a="1"/>
  <c r="O74" i="17" s="1"/>
  <c r="Q74" i="17" s="1"/>
  <c r="W74" i="17" s="1"/>
  <c r="O48" i="17" a="1"/>
  <c r="O48" i="17" s="1"/>
  <c r="Q48" i="17" s="1"/>
  <c r="W48" i="17" s="1"/>
  <c r="O19" i="17" a="1"/>
  <c r="O19" i="17" s="1"/>
  <c r="N202" i="17" a="1"/>
  <c r="N202" i="17" s="1"/>
  <c r="Y9" i="17"/>
  <c r="O122" i="17" a="1"/>
  <c r="O122" i="17" s="1"/>
  <c r="Q122" i="17" s="1"/>
  <c r="W122" i="17" s="1"/>
  <c r="O97" i="17" a="1"/>
  <c r="O97" i="17" s="1"/>
  <c r="Q97" i="17" s="1"/>
  <c r="W97" i="17" s="1"/>
  <c r="O193" i="17" a="1"/>
  <c r="O193" i="17" s="1"/>
  <c r="Q193" i="17" s="1"/>
  <c r="W193" i="17" s="1"/>
  <c r="O47" i="17" a="1"/>
  <c r="O47" i="17" s="1"/>
  <c r="Q47" i="17" s="1"/>
  <c r="W47" i="17" s="1"/>
  <c r="N127" i="17" a="1"/>
  <c r="N127" i="17" s="1"/>
  <c r="Q145" i="17"/>
  <c r="W145" i="17" s="1"/>
  <c r="Q116" i="17"/>
  <c r="W116" i="17" s="1"/>
  <c r="Y191" i="17"/>
  <c r="Q191" i="17" s="1"/>
  <c r="W191" i="17" s="1"/>
  <c r="O96" i="17" a="1"/>
  <c r="O96" i="17" s="1"/>
  <c r="Q96" i="17" s="1"/>
  <c r="W96" i="17" s="1"/>
  <c r="O73" i="17" a="1"/>
  <c r="O73" i="17" s="1"/>
  <c r="Q73" i="17" s="1"/>
  <c r="W73" i="17" s="1"/>
  <c r="O46" i="17" a="1"/>
  <c r="O46" i="17" s="1"/>
  <c r="Q46" i="17" s="1"/>
  <c r="W46" i="17" s="1"/>
  <c r="O95" i="17" a="1"/>
  <c r="O95" i="17" s="1"/>
  <c r="O72" i="17" a="1"/>
  <c r="O72" i="17" s="1"/>
  <c r="Q72" i="17" s="1"/>
  <c r="W72" i="17" s="1"/>
  <c r="O45" i="17" a="1"/>
  <c r="O45" i="17" s="1"/>
  <c r="Q45" i="17" s="1"/>
  <c r="W45" i="17" s="1"/>
  <c r="O183" i="17" a="1"/>
  <c r="O183" i="17" s="1"/>
  <c r="Q183" i="17" s="1"/>
  <c r="W183" i="17" s="1"/>
  <c r="N125" i="17" a="1"/>
  <c r="N125" i="17" s="1"/>
  <c r="Q142" i="17"/>
  <c r="W142" i="17" s="1"/>
  <c r="Q34" i="17"/>
  <c r="O71" i="17" a="1"/>
  <c r="O71" i="17" s="1"/>
  <c r="Q71" i="17" s="1"/>
  <c r="W71" i="17" s="1"/>
  <c r="O44" i="17" a="1"/>
  <c r="O44" i="17" s="1"/>
  <c r="O13" i="17" a="1"/>
  <c r="O13" i="17" s="1"/>
  <c r="N124" i="17" a="1"/>
  <c r="N124" i="17" s="1"/>
  <c r="Y202" i="17"/>
  <c r="Q86" i="17"/>
  <c r="W86" i="17" s="1"/>
  <c r="O93" i="17" a="1"/>
  <c r="O93" i="17" s="1"/>
  <c r="O70" i="17" a="1"/>
  <c r="O70" i="17" s="1"/>
  <c r="O188" i="17" a="1"/>
  <c r="O188" i="17" s="1"/>
  <c r="Q188" i="17" s="1"/>
  <c r="W188" i="17" s="1"/>
  <c r="O12" i="17" a="1"/>
  <c r="O12" i="17" s="1"/>
  <c r="N161" i="17" a="1"/>
  <c r="N161" i="17" s="1"/>
  <c r="Y126" i="17"/>
  <c r="Q126" i="17" s="1"/>
  <c r="W126" i="17" s="1"/>
  <c r="Y32" i="17"/>
  <c r="O69" i="17" a="1"/>
  <c r="O69" i="17" s="1"/>
  <c r="Q69" i="17" s="1"/>
  <c r="W69" i="17" s="1"/>
  <c r="O43" i="17" a="1"/>
  <c r="O43" i="17" s="1"/>
  <c r="O11" i="17" a="1"/>
  <c r="O11" i="17" s="1"/>
  <c r="Y206" i="17"/>
  <c r="Q206" i="17" s="1"/>
  <c r="W206" i="17" s="1"/>
  <c r="O117" i="17" a="1"/>
  <c r="O117" i="17" s="1"/>
  <c r="Q117" i="17" s="1"/>
  <c r="W117" i="17" s="1"/>
  <c r="O196" i="17" a="1"/>
  <c r="O196" i="17" s="1"/>
  <c r="O68" i="17" a="1"/>
  <c r="O68" i="17" s="1"/>
  <c r="O42" i="17" a="1"/>
  <c r="O42" i="17" s="1"/>
  <c r="Q42" i="17" s="1"/>
  <c r="W42" i="17" s="1"/>
  <c r="O192" i="17" a="1"/>
  <c r="O192" i="17" s="1"/>
  <c r="Q192" i="17" s="1"/>
  <c r="W192" i="17" s="1"/>
  <c r="O41" i="17" a="1"/>
  <c r="O41" i="17" s="1"/>
  <c r="Q41" i="17" s="1"/>
  <c r="W41" i="17" s="1"/>
  <c r="O9" i="17" a="1"/>
  <c r="O9" i="17" s="1"/>
  <c r="N158" i="17" a="1"/>
  <c r="N158" i="17" s="1"/>
  <c r="N121" i="17" a="1"/>
  <c r="N121" i="17" s="1"/>
  <c r="Q184" i="17"/>
  <c r="W184" i="17" s="1"/>
  <c r="Q204" i="17"/>
  <c r="W204" i="17" s="1"/>
  <c r="O91" i="17" a="1"/>
  <c r="O91" i="17" s="1"/>
  <c r="O67" i="17" a="1"/>
  <c r="O67" i="17" s="1"/>
  <c r="Q67" i="17" s="1"/>
  <c r="W67" i="17" s="1"/>
  <c r="O40" i="17" a="1"/>
  <c r="O40" i="17" s="1"/>
  <c r="Q40" i="17" s="1"/>
  <c r="W40" i="17" s="1"/>
  <c r="O8" i="17" a="1"/>
  <c r="O8" i="17" s="1"/>
  <c r="N157" i="17" a="1"/>
  <c r="N157" i="17" s="1"/>
  <c r="Y181" i="17"/>
  <c r="Q181" i="17" s="1"/>
  <c r="W181" i="17" s="1"/>
  <c r="Q61" i="17"/>
  <c r="W61" i="17" s="1"/>
  <c r="Q199" i="17"/>
  <c r="W199" i="17" s="1"/>
  <c r="Q55" i="17"/>
  <c r="W55" i="17" s="1"/>
  <c r="O90" i="17" a="1"/>
  <c r="O90" i="17" s="1"/>
  <c r="Q90" i="17" s="1"/>
  <c r="W90" i="17" s="1"/>
  <c r="O39" i="17" a="1"/>
  <c r="O39" i="17" s="1"/>
  <c r="O182" i="17" a="1"/>
  <c r="O182" i="17" s="1"/>
  <c r="Q182" i="17" s="1"/>
  <c r="W182" i="17" s="1"/>
  <c r="N156" i="17" a="1"/>
  <c r="N156" i="17" s="1"/>
  <c r="N119" i="17" a="1"/>
  <c r="N119" i="17" s="1"/>
  <c r="Q54" i="17"/>
  <c r="W54" i="17" s="1"/>
  <c r="Q28" i="17"/>
  <c r="W28" i="17" s="1"/>
  <c r="O66" i="17" a="1"/>
  <c r="O66" i="17" s="1"/>
  <c r="O38" i="17" a="1"/>
  <c r="O38" i="17" s="1"/>
  <c r="O7" i="17" a="1"/>
  <c r="O7" i="17" s="1"/>
  <c r="N155" i="17" a="1"/>
  <c r="N155" i="17" s="1"/>
  <c r="Y108" i="17"/>
  <c r="O65" i="17" a="1"/>
  <c r="O65" i="17" s="1"/>
  <c r="Q65" i="17" s="1"/>
  <c r="W65" i="17" s="1"/>
  <c r="O187" i="17" a="1"/>
  <c r="O187" i="17" s="1"/>
  <c r="O6" i="17" a="1"/>
  <c r="O6" i="17" s="1"/>
  <c r="Q6" i="17" s="1"/>
  <c r="W6" i="17" s="1"/>
  <c r="N154" i="17" a="1"/>
  <c r="N154" i="17" s="1"/>
  <c r="N117" i="17" a="1"/>
  <c r="N117" i="17" s="1"/>
  <c r="Y107" i="17"/>
  <c r="O64" i="17" a="1"/>
  <c r="O64" i="17" s="1"/>
  <c r="O36" i="17" a="1"/>
  <c r="O36" i="17" s="1"/>
  <c r="Q36" i="17" s="1"/>
  <c r="W36" i="17" s="1"/>
  <c r="O5" i="17" a="1"/>
  <c r="O5" i="17" s="1"/>
  <c r="N116" i="17" a="1"/>
  <c r="N116" i="17" s="1"/>
  <c r="Q194" i="17"/>
  <c r="W194" i="17" s="1"/>
  <c r="Q203" i="17"/>
  <c r="W203" i="17" s="1"/>
  <c r="Q79" i="17"/>
  <c r="W79" i="17" s="1"/>
  <c r="Q51" i="17"/>
  <c r="W51" i="17" s="1"/>
  <c r="Y185" i="17"/>
  <c r="O4" i="17" a="1"/>
  <c r="O4" i="17" s="1"/>
  <c r="Q30" i="17"/>
  <c r="W30" i="17" s="1"/>
  <c r="Y201" i="17"/>
  <c r="Q201" i="17" s="1"/>
  <c r="W201" i="17" s="1"/>
  <c r="Q197" i="17"/>
  <c r="W197" i="17" s="1"/>
  <c r="Q70" i="17"/>
  <c r="W70" i="17" s="1"/>
  <c r="Q43" i="17"/>
  <c r="W43" i="17" s="1"/>
  <c r="N130" i="17" a="1"/>
  <c r="N130" i="17" s="1"/>
  <c r="N189" i="17" a="1"/>
  <c r="N189" i="17" s="1"/>
  <c r="Q174" i="17"/>
  <c r="W174" i="17" s="1"/>
  <c r="Q179" i="17"/>
  <c r="W179" i="17" s="1"/>
  <c r="Y19" i="17"/>
  <c r="Q19" i="17" s="1"/>
  <c r="W19" i="17" s="1"/>
  <c r="N128" i="17" a="1"/>
  <c r="N128" i="17" s="1"/>
  <c r="N48" i="17" a="1"/>
  <c r="N48" i="17" s="1"/>
  <c r="Y178" i="17"/>
  <c r="Q178" i="17" s="1"/>
  <c r="W178" i="17" s="1"/>
  <c r="Q68" i="17"/>
  <c r="W68" i="17" s="1"/>
  <c r="Y18" i="17"/>
  <c r="Q18" i="17" s="1"/>
  <c r="W18" i="17" s="1"/>
  <c r="N47" i="17" a="1"/>
  <c r="N47" i="17" s="1"/>
  <c r="N55" i="17" a="1"/>
  <c r="N55" i="17" s="1"/>
  <c r="N27" i="17" a="1"/>
  <c r="N27" i="17" s="1"/>
  <c r="N77" i="17" a="1"/>
  <c r="N77" i="17" s="1"/>
  <c r="N46" i="17" a="1"/>
  <c r="N46" i="17" s="1"/>
  <c r="Y94" i="17"/>
  <c r="Q94" i="17" s="1"/>
  <c r="W94" i="17" s="1"/>
  <c r="Y39" i="17"/>
  <c r="Q39" i="17" s="1"/>
  <c r="W39" i="17" s="1"/>
  <c r="N188" i="17" a="1"/>
  <c r="N188" i="17" s="1"/>
  <c r="N185" i="17" a="1"/>
  <c r="N185" i="17" s="1"/>
  <c r="N42" i="17" a="1"/>
  <c r="N42" i="17" s="1"/>
  <c r="N25" i="17" a="1"/>
  <c r="N25" i="17" s="1"/>
  <c r="Q148" i="17"/>
  <c r="W148" i="17" s="1"/>
  <c r="Q187" i="17"/>
  <c r="W187" i="17" s="1"/>
  <c r="Q15" i="17"/>
  <c r="W15" i="17" s="1"/>
  <c r="N38" i="17" a="1"/>
  <c r="N38" i="17" s="1"/>
  <c r="N2" i="17" a="1"/>
  <c r="N2" i="17" s="1"/>
  <c r="Y64" i="17"/>
  <c r="Y37" i="17"/>
  <c r="N98" i="17" a="1"/>
  <c r="N98" i="17" s="1"/>
  <c r="N193" i="17" a="1"/>
  <c r="N193" i="17" s="1"/>
  <c r="N187" i="17" a="1"/>
  <c r="N187" i="17" s="1"/>
  <c r="Y176" i="17"/>
  <c r="Q176" i="17" s="1"/>
  <c r="W176" i="17" s="1"/>
  <c r="Q91" i="17"/>
  <c r="W91" i="17" s="1"/>
  <c r="N197" i="17" a="1"/>
  <c r="N197" i="17" s="1"/>
  <c r="N72" i="17" a="1"/>
  <c r="N72" i="17" s="1"/>
  <c r="N37" i="17" a="1"/>
  <c r="N37" i="17" s="1"/>
  <c r="Q13" i="17"/>
  <c r="W13" i="17" s="1"/>
  <c r="N68" i="17" a="1"/>
  <c r="N68" i="17" s="1"/>
  <c r="N35" i="17" a="1"/>
  <c r="N35" i="17" s="1"/>
  <c r="Q172" i="17"/>
  <c r="W172" i="17" s="1"/>
  <c r="Q89" i="17"/>
  <c r="W89" i="17" s="1"/>
  <c r="Y12" i="17"/>
  <c r="Q12" i="17" s="1"/>
  <c r="W12" i="17" s="1"/>
  <c r="N201" i="17" a="1"/>
  <c r="N201" i="17" s="1"/>
  <c r="N96" i="17" a="1"/>
  <c r="N96" i="17" s="1"/>
  <c r="N192" i="17" a="1"/>
  <c r="N192" i="17" s="1"/>
  <c r="Q144" i="17"/>
  <c r="W144" i="17" s="1"/>
  <c r="N129" i="17" a="1"/>
  <c r="N129" i="17" s="1"/>
  <c r="N9" i="17" a="1"/>
  <c r="N9" i="17" s="1"/>
  <c r="Q93" i="17"/>
  <c r="W93" i="17" s="1"/>
  <c r="Q115" i="17"/>
  <c r="W115" i="17" s="1"/>
  <c r="N94" i="17" a="1"/>
  <c r="N94" i="17" s="1"/>
  <c r="N66" i="17" a="1"/>
  <c r="N66" i="17" s="1"/>
  <c r="N30" i="17" a="1"/>
  <c r="N30" i="17" s="1"/>
  <c r="Q173" i="17"/>
  <c r="W173" i="17" s="1"/>
  <c r="Q87" i="17"/>
  <c r="W87" i="17" s="1"/>
  <c r="Q59" i="17"/>
  <c r="W59" i="17" s="1"/>
  <c r="Y33" i="17"/>
  <c r="Q33" i="17" s="1"/>
  <c r="W33" i="17" s="1"/>
  <c r="N65" i="17" a="1"/>
  <c r="N65" i="17" s="1"/>
  <c r="N26" i="17" a="1"/>
  <c r="N26" i="17" s="1"/>
  <c r="Y168" i="17"/>
  <c r="Q168" i="17" s="1"/>
  <c r="W168" i="17" s="1"/>
  <c r="Q195" i="17"/>
  <c r="W195" i="17" s="1"/>
  <c r="Q32" i="17"/>
  <c r="W32" i="17" s="1"/>
  <c r="N64" i="17" a="1"/>
  <c r="N64" i="17" s="1"/>
  <c r="N23" i="17" a="1"/>
  <c r="N23" i="17" s="1"/>
  <c r="Q167" i="17"/>
  <c r="W167" i="17" s="1"/>
  <c r="Q112" i="17"/>
  <c r="W112" i="17" s="1"/>
  <c r="Q85" i="17"/>
  <c r="W85" i="17" s="1"/>
  <c r="Q57" i="17"/>
  <c r="W57" i="17" s="1"/>
  <c r="Q186" i="17"/>
  <c r="W186" i="17" s="1"/>
  <c r="N63" i="17" a="1"/>
  <c r="N63" i="17" s="1"/>
  <c r="N22" i="17" a="1"/>
  <c r="N22" i="17" s="1"/>
  <c r="Q31" i="17"/>
  <c r="W31" i="17" s="1"/>
  <c r="Q8" i="17"/>
  <c r="W8" i="17" s="1"/>
  <c r="N62" i="17" a="1"/>
  <c r="N62" i="17" s="1"/>
  <c r="N20" i="17" a="1"/>
  <c r="N20" i="17" s="1"/>
  <c r="Y149" i="17"/>
  <c r="Q149" i="17" s="1"/>
  <c r="W149" i="17" s="1"/>
  <c r="Q166" i="17"/>
  <c r="W166" i="17" s="1"/>
  <c r="Q56" i="17"/>
  <c r="W56" i="17" s="1"/>
  <c r="Q165" i="17"/>
  <c r="W165" i="17" s="1"/>
  <c r="Q138" i="17"/>
  <c r="W138" i="17" s="1"/>
  <c r="Q190" i="17"/>
  <c r="W190" i="17" s="1"/>
  <c r="N196" i="17" a="1"/>
  <c r="N196" i="17" s="1"/>
  <c r="N191" i="17" a="1"/>
  <c r="N191" i="17" s="1"/>
  <c r="N19" i="17" a="1"/>
  <c r="N19" i="17" s="1"/>
  <c r="N61" i="17" a="1"/>
  <c r="N61" i="17" s="1"/>
  <c r="N18" i="17" a="1"/>
  <c r="N18" i="17" s="1"/>
  <c r="N210" i="17" a="1"/>
  <c r="N210" i="17" s="1"/>
  <c r="Q136" i="17"/>
  <c r="W136" i="17" s="1"/>
  <c r="Q29" i="17"/>
  <c r="W29" i="17" s="1"/>
  <c r="N90" i="17" a="1"/>
  <c r="N90" i="17" s="1"/>
  <c r="N60" i="17" a="1"/>
  <c r="N60" i="17" s="1"/>
  <c r="Q164" i="17"/>
  <c r="W164" i="17" s="1"/>
  <c r="N89" i="17" a="1"/>
  <c r="N89" i="17" s="1"/>
  <c r="N59" i="17" a="1"/>
  <c r="N59" i="17" s="1"/>
  <c r="Q162" i="17"/>
  <c r="W162" i="17" s="1"/>
  <c r="Q107" i="17"/>
  <c r="W107" i="17" s="1"/>
  <c r="Y52" i="17"/>
  <c r="Q52" i="17" s="1"/>
  <c r="W52" i="17" s="1"/>
  <c r="Q27" i="17"/>
  <c r="W27" i="17" s="1"/>
  <c r="N207" i="17" a="1"/>
  <c r="N207" i="17" s="1"/>
  <c r="N113" i="17" a="1"/>
  <c r="N113" i="17" s="1"/>
  <c r="Q26" i="17"/>
  <c r="W26" i="17" s="1"/>
  <c r="N88" i="17" a="1"/>
  <c r="N88" i="17" s="1"/>
  <c r="N58" i="17" a="1"/>
  <c r="N58" i="17" s="1"/>
  <c r="Q121" i="17"/>
  <c r="W121" i="17" s="1"/>
  <c r="Q163" i="17"/>
  <c r="W163" i="17" s="1"/>
  <c r="N87" i="17" a="1"/>
  <c r="N87" i="17" s="1"/>
  <c r="N57" i="17" a="1"/>
  <c r="N57" i="17" s="1"/>
  <c r="Q120" i="17"/>
  <c r="W120" i="17" s="1"/>
  <c r="Q77" i="17"/>
  <c r="W77" i="17" s="1"/>
  <c r="N86" i="17" a="1"/>
  <c r="N86" i="17" s="1"/>
  <c r="Q150" i="17"/>
  <c r="W150" i="17" s="1"/>
  <c r="Y137" i="17"/>
  <c r="Q137" i="17" s="1"/>
  <c r="W137" i="17" s="1"/>
  <c r="Q185" i="17"/>
  <c r="W185" i="17" s="1"/>
  <c r="Q104" i="17"/>
  <c r="W104" i="17" s="1"/>
  <c r="Y158" i="17"/>
  <c r="Q158" i="17" s="1"/>
  <c r="W158" i="17" s="1"/>
  <c r="Y131" i="17"/>
  <c r="Q131" i="17" s="1"/>
  <c r="W131" i="17" s="1"/>
  <c r="Q198" i="17"/>
  <c r="W198" i="17" s="1"/>
  <c r="Q3" i="17"/>
  <c r="W3" i="17" s="1"/>
  <c r="N111" i="17" a="1"/>
  <c r="N111" i="17" s="1"/>
  <c r="N195" i="17" a="1"/>
  <c r="N195" i="17" s="1"/>
  <c r="Y38" i="17"/>
  <c r="Q38" i="17" s="1"/>
  <c r="W38" i="17" s="1"/>
  <c r="Q135" i="17"/>
  <c r="W135" i="17" s="1"/>
  <c r="Q160" i="17"/>
  <c r="W160" i="17" s="1"/>
  <c r="Q189" i="17"/>
  <c r="W189" i="17" s="1"/>
  <c r="Y103" i="17"/>
  <c r="Q103" i="17" s="1"/>
  <c r="W103" i="17" s="1"/>
  <c r="O37" i="17" a="1"/>
  <c r="O37" i="17" s="1"/>
  <c r="O17" i="17" a="1"/>
  <c r="O17" i="17" s="1"/>
  <c r="Q17" i="17" s="1"/>
  <c r="W17" i="17" s="1"/>
  <c r="N177" i="17" a="1"/>
  <c r="N177" i="17" s="1"/>
  <c r="Q119" i="17"/>
  <c r="W119" i="17" s="1"/>
  <c r="Q108" i="17"/>
  <c r="W108" i="17" s="1"/>
  <c r="Q133" i="17"/>
  <c r="W133" i="17" s="1"/>
  <c r="Q159" i="17"/>
  <c r="W159" i="17" s="1"/>
  <c r="Y4" i="17"/>
  <c r="Q75" i="17"/>
  <c r="W75" i="17" s="1"/>
  <c r="Y102" i="17"/>
  <c r="Q102" i="17" s="1"/>
  <c r="W102" i="17" s="1"/>
  <c r="O16" i="17" a="1"/>
  <c r="O16" i="17" s="1"/>
  <c r="Q16" i="17" s="1"/>
  <c r="W16" i="17" s="1"/>
  <c r="N153" i="17" a="1"/>
  <c r="N153" i="17" s="1"/>
  <c r="Y66" i="17"/>
  <c r="Q66" i="17" s="1"/>
  <c r="W66" i="17" s="1"/>
  <c r="Q208" i="17"/>
  <c r="W208" i="17" s="1"/>
  <c r="Q106" i="17"/>
  <c r="W106" i="17" s="1"/>
  <c r="Y5" i="17"/>
  <c r="Q5" i="17" s="1"/>
  <c r="W5" i="17" s="1"/>
  <c r="Y25" i="17"/>
  <c r="Q25" i="17" s="1"/>
  <c r="W25" i="17" s="1"/>
  <c r="N176" i="17" a="1"/>
  <c r="N176" i="17" s="1"/>
  <c r="N152" i="17" a="1"/>
  <c r="N152" i="17" s="1"/>
  <c r="Q175" i="17"/>
  <c r="W175" i="17" s="1"/>
  <c r="Q105" i="17"/>
  <c r="W105" i="17" s="1"/>
  <c r="Q132" i="17"/>
  <c r="W132" i="17" s="1"/>
  <c r="Y155" i="17"/>
  <c r="Q155" i="17" s="1"/>
  <c r="W155" i="17" s="1"/>
  <c r="Q202" i="17"/>
  <c r="W202" i="17" s="1"/>
  <c r="Y100" i="17"/>
  <c r="Q100" i="17" s="1"/>
  <c r="W100" i="17" s="1"/>
  <c r="O35" i="17" a="1"/>
  <c r="O35" i="17" s="1"/>
  <c r="Q35" i="17" s="1"/>
  <c r="W35" i="17" s="1"/>
  <c r="N175" i="17" a="1"/>
  <c r="N175" i="17" s="1"/>
  <c r="N51" i="17" a="1"/>
  <c r="N51" i="17" s="1"/>
  <c r="Q196" i="17"/>
  <c r="W196" i="17" s="1"/>
  <c r="Y50" i="17"/>
  <c r="Q50" i="17" s="1"/>
  <c r="W50" i="17" s="1"/>
  <c r="Y211" i="17"/>
  <c r="Q211" i="17" s="1"/>
  <c r="W211" i="17" s="1"/>
  <c r="Q127" i="17"/>
  <c r="W127" i="17" s="1"/>
  <c r="Q44" i="17"/>
  <c r="W44" i="17" s="1"/>
  <c r="O14" i="17" a="1"/>
  <c r="O14" i="17" s="1"/>
  <c r="Q14" i="17" s="1"/>
  <c r="W14" i="17" s="1"/>
  <c r="Q147" i="17"/>
  <c r="W147" i="17" s="1"/>
  <c r="Y98" i="17"/>
  <c r="Q98" i="17" s="1"/>
  <c r="W98" i="17" s="1"/>
  <c r="W34" i="17"/>
  <c r="N114" i="17" a="1"/>
  <c r="N114" i="17" s="1"/>
  <c r="N84" i="17" a="1"/>
  <c r="N84" i="17" s="1"/>
  <c r="N54" i="17" a="1"/>
  <c r="N54" i="17" s="1"/>
  <c r="N24" i="17" a="1"/>
  <c r="N24" i="17" s="1"/>
  <c r="N8" i="17" a="1"/>
  <c r="N8" i="17" s="1"/>
  <c r="N182" i="17" a="1"/>
  <c r="N182" i="17" s="1"/>
  <c r="N6" i="17" a="1"/>
  <c r="N6" i="17" s="1"/>
  <c r="N21" i="17" a="1"/>
  <c r="N21" i="17" s="1"/>
  <c r="N5" i="17" a="1"/>
  <c r="N5" i="17" s="1"/>
  <c r="N36" i="17" a="1"/>
  <c r="N36" i="17" s="1"/>
  <c r="N184" i="17" a="1"/>
  <c r="N184" i="17" s="1"/>
  <c r="N4" i="17" a="1"/>
  <c r="N4" i="17" s="1"/>
  <c r="N34" i="17" a="1"/>
  <c r="N34" i="17" s="1"/>
  <c r="N3" i="17" a="1"/>
  <c r="N3" i="17" s="1"/>
  <c r="N194" i="17" a="1"/>
  <c r="N194" i="17" s="1"/>
  <c r="N49" i="17" a="1"/>
  <c r="N49" i="17" s="1"/>
  <c r="N33" i="17" a="1"/>
  <c r="N33" i="17" s="1"/>
  <c r="N17" i="17" a="1"/>
  <c r="N17" i="17" s="1"/>
  <c r="N186" i="17" a="1"/>
  <c r="N186" i="17" s="1"/>
  <c r="N16" i="17" a="1"/>
  <c r="N16" i="17" s="1"/>
  <c r="N31" i="17" a="1"/>
  <c r="N31" i="17" s="1"/>
  <c r="N75" i="17" a="1"/>
  <c r="N75" i="17" s="1"/>
  <c r="N45" i="17" a="1"/>
  <c r="N45" i="17" s="1"/>
  <c r="N15" i="17" a="1"/>
  <c r="N15" i="17" s="1"/>
  <c r="N7" i="17" a="1"/>
  <c r="N7" i="17" s="1"/>
  <c r="N44" i="17" a="1"/>
  <c r="N44" i="17" s="1"/>
  <c r="N14" i="17" a="1"/>
  <c r="N14" i="17" s="1"/>
  <c r="N29" i="17" a="1"/>
  <c r="N29" i="17" s="1"/>
  <c r="N183" i="17" a="1"/>
  <c r="N183" i="17" s="1"/>
  <c r="N28" i="17" a="1"/>
  <c r="N28" i="17" s="1"/>
  <c r="N73" i="17" a="1"/>
  <c r="N73" i="17" s="1"/>
  <c r="N43" i="17" a="1"/>
  <c r="N43" i="17" s="1"/>
  <c r="N13" i="17" a="1"/>
  <c r="N13" i="17" s="1"/>
  <c r="N12" i="17" a="1"/>
  <c r="N12" i="17" s="1"/>
  <c r="N101" i="17" a="1"/>
  <c r="N101" i="17" s="1"/>
  <c r="N71" i="17" a="1"/>
  <c r="N71" i="17" s="1"/>
  <c r="N41" i="17" a="1"/>
  <c r="N41" i="17" s="1"/>
  <c r="N11" i="17" a="1"/>
  <c r="N11" i="17" s="1"/>
  <c r="N190" i="17" a="1"/>
  <c r="N190" i="17" s="1"/>
  <c r="N100" i="17" a="1"/>
  <c r="N100" i="17" s="1"/>
  <c r="N70" i="17" a="1"/>
  <c r="N70" i="17" s="1"/>
  <c r="N40" i="17" a="1"/>
  <c r="N40" i="17" s="1"/>
  <c r="N10" i="17" a="1"/>
  <c r="N10" i="17" s="1"/>
  <c r="N85" i="17" a="1"/>
  <c r="N85" i="17" s="1"/>
  <c r="N145" i="17" a="1"/>
  <c r="N145" i="17" s="1"/>
  <c r="N99" i="17" a="1"/>
  <c r="N99" i="17" s="1"/>
  <c r="N69" i="17" a="1"/>
  <c r="N69" i="17" s="1"/>
  <c r="N39" i="17" a="1"/>
  <c r="N39" i="17" s="1"/>
  <c r="Q11" i="17" l="1"/>
  <c r="W11" i="17" s="1"/>
  <c r="Q4" i="17"/>
  <c r="W4" i="17" s="1"/>
  <c r="Q7" i="17"/>
  <c r="W7" i="17" s="1"/>
  <c r="Q9" i="17"/>
  <c r="W9" i="17" s="1"/>
  <c r="Q23" i="17"/>
  <c r="W23" i="17" s="1"/>
  <c r="Q99" i="17"/>
  <c r="W99" i="17" s="1"/>
  <c r="Q64" i="17"/>
  <c r="W64" i="17" s="1"/>
  <c r="Q95" i="17"/>
  <c r="W95" i="17" s="1"/>
  <c r="Q37" i="17"/>
  <c r="W3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<sst xmlns="http://schemas.openxmlformats.org/spreadsheetml/2006/main" count="3064" uniqueCount="102">
  <si>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</si>
  <si>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</si>
  <si>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</si>
  <si>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</si>
  <si>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</si>
  <si>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</si>
  <si>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</si>
  <si>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</si>
  <si>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</si>
  <si>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</si>
  <si>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</si>
  <si>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</si>
  <si>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</si>
  <si>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</si>
  <si>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</si>
  <si>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</si>
  <si>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</si>
  <si>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</si>
  <si>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</si>
  <si>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</si>
  <si>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</si>
  <si>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</si>
  <si>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</si>
  <si>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</si>
  <si>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</si>
  <si>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</si>
  <si>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</si>
  <si>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</si>
  <si>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</si>
  <si>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</si>
  <si>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</si>
  <si>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</si>
  <si>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</si>
  <si>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</si>
  <si>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</si>
  <si>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</si>
  <si>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</si>
  <si>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</si>
  <si>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</si>
  <si>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</si>
  <si>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</si>
  <si>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</si>
  <si>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</si>
  <si>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</si>
  <si>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</si>
  <si>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</si>
  <si>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</si>
  <si>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</si>
  <si>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</si>
  <si>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</si>
  <si>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</si>
  <si>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</si>
  <si>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</si>
  <si>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</si>
  <si>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</si>
  <si>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</si>
  <si>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</si>
  <si>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</si>
  <si>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</si>
  <si>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</si>
  <si>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</si>
  <si>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</si>
  <si>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</si>
  <si>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</si>
  <si>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</si>
  <si>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</si>
  <si>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</si>
  <si>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</si>
  <si>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23:41:02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</si>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</sst>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6934143519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1.9086827378027801E-2" maxValue="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1" maxValue="10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12855786718954387" maxValue="4"/>
    </cacheField>
    <cacheField name="StDevOfAverage" numFmtId="0">
      <sharedItems containsSemiMixedTypes="0" containsString="0" containsNumber="1" minValue="0" maxValue="0.339532110363806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2678337363627387"/>
    </cacheField>
    <cacheField name="MinimumAverage" numFmtId="0">
      <sharedItems containsSemiMixedTypes="0" containsString="0" containsNumber="1" minValue="1.9086827378027801E-2" maxValue="4"/>
    </cacheField>
    <cacheField name="MaximumAverage" numFmtId="0">
      <sharedItems containsSemiMixedTypes="0" containsString="0" containsNumber="1" minValue="0.54186494471421698" maxValue="4"/>
    </cacheField>
    <cacheField name="SummaryHalfWidth" numFmtId="0">
      <sharedItems containsSemiMixedTypes="0" containsString="0" containsNumber="1" minValue="0" maxValue="0.126783373636273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693414351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6934259257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5.3410457711280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47771781476609498"/>
    </cacheField>
    <cacheField name="Maximum" numFmtId="0">
      <sharedItems containsSemiMixedTypes="0" containsString="0" containsNumber="1" minValue="0" maxValue="100.05428865514899"/>
    </cacheField>
    <cacheField name="NumberObservations" numFmtId="0">
      <sharedItems containsSemiMixedTypes="0" containsString="0" containsNumber="1" containsInteger="1" minValue="68" maxValue="10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2.984332962598765"/>
    </cacheField>
    <cacheField name="StDevOfAverage" numFmtId="0">
      <sharedItems containsSemiMixedTypes="0" containsString="0" containsNumber="1" minValue="0" maxValue="1.40238567369373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52365941665888183"/>
    </cacheField>
    <cacheField name="MinimumAverage" numFmtId="0">
      <sharedItems containsSemiMixedTypes="0" containsString="0" containsNumber="1" minValue="0" maxValue="10.6246746257639"/>
    </cacheField>
    <cacheField name="MaximumAverage" numFmtId="0">
      <sharedItems containsSemiMixedTypes="0" containsString="0" containsNumber="1" minValue="0" maxValue="15.341045771128099"/>
    </cacheField>
    <cacheField name="OverallMinimum" numFmtId="0">
      <sharedItems containsSemiMixedTypes="0" containsString="0" containsNumber="1" minValue="0" maxValue="9.4131072057734898E-4"/>
    </cacheField>
    <cacheField name="OverallMaximum" numFmtId="0">
      <sharedItems containsSemiMixedTypes="0" containsString="0" containsNumber="1" minValue="0" maxValue="100.05428865514899"/>
    </cacheField>
    <cacheField name="AverageNumberObservations" numFmtId="0">
      <sharedItems containsSemiMixedTypes="0" containsString="0" containsNumber="1" minValue="87.733333333333334" maxValue="89.666666666666671"/>
    </cacheField>
    <cacheField name="SummaryHalfWidth" numFmtId="0">
      <sharedItems containsSemiMixedTypes="0" containsString="0" containsNumber="1" minValue="0" maxValue="0.52365941665888183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6934259257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5780838206908899" maxValue="10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50585592210489994" maxValue="89.7"/>
    </cacheField>
    <cacheField name="StandardDeviation" numFmtId="0">
      <sharedItems containsSemiMixedTypes="0" containsString="0" containsNumber="1" minValue="6.7092108241474532E-2" maxValue="9.176181060254574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5052604945405288E-2" maxValue="3.426442319902506"/>
    </cacheField>
    <cacheField name="Minimum" numFmtId="0">
      <sharedItems containsSemiMixedTypes="0" containsString="0" containsNumber="1" minValue="0.35780838206908899" maxValue="71"/>
    </cacheField>
    <cacheField name="Maximum" numFmtId="0">
      <sharedItems containsSemiMixedTypes="0" containsString="0" containsNumber="1" minValue="0.62716275812281796" maxValue="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6934490742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3.9333333333333331" maxValue="87.733333333333334"/>
    </cacheField>
    <cacheField name="StandardDeviation" numFmtId="0">
      <sharedItems containsSemiMixedTypes="0" containsString="0" containsNumber="1" minValue="3.6853234858560651" maxValue="9.176181060254574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3761224055574077" maxValue="3.426442319902506"/>
    </cacheField>
    <cacheField name="Minimum" numFmtId="0">
      <sharedItems containsSemiMixedTypes="0" containsString="0" containsNumber="1" containsInteger="1" minValue="0" maxValue="68"/>
    </cacheField>
    <cacheField name="Maximum" numFmtId="0">
      <sharedItems containsSemiMixedTypes="0" containsString="0" containsNumber="1" containsInteger="1" minValue="16" maxValue="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1:02"/>
    <n v="1"/>
    <x v="0"/>
    <x v="0"/>
    <x v="0"/>
    <n v="2.0742850706120799"/>
    <n v="2E+20"/>
    <n v="0"/>
    <n v="8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"/>
    <x v="1"/>
    <x v="1"/>
    <x v="1"/>
    <n v="0.49383628992811102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"/>
    <x v="1"/>
    <x v="2"/>
    <x v="1"/>
    <n v="1.9753451597124501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"/>
    <x v="2"/>
    <x v="4"/>
    <x v="2"/>
    <n v="9.8939910899640396E-2"/>
    <n v="2E+20"/>
    <n v="0"/>
    <n v="4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"/>
    <x v="0"/>
    <x v="0"/>
    <x v="0"/>
    <n v="2.42158614569118"/>
    <n v="2E+20"/>
    <n v="0"/>
    <n v="7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"/>
    <x v="1"/>
    <x v="1"/>
    <x v="1"/>
    <n v="0.58966883932172098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"/>
    <x v="1"/>
    <x v="2"/>
    <x v="1"/>
    <n v="2.3586753572868799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"/>
    <x v="2"/>
    <x v="4"/>
    <x v="2"/>
    <n v="6.2910788404299797E-2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3"/>
    <x v="0"/>
    <x v="0"/>
    <x v="0"/>
    <n v="2.5277728598384699"/>
    <n v="2E+20"/>
    <n v="0"/>
    <n v="8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3"/>
    <x v="1"/>
    <x v="1"/>
    <x v="1"/>
    <n v="0.59748883134632902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3"/>
    <x v="1"/>
    <x v="2"/>
    <x v="1"/>
    <n v="2.3899553253853201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3"/>
    <x v="2"/>
    <x v="4"/>
    <x v="2"/>
    <n v="0.13781753445315401"/>
    <n v="2E+20"/>
    <n v="0"/>
    <n v="4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4"/>
    <x v="0"/>
    <x v="0"/>
    <x v="0"/>
    <n v="2.1012068888253199"/>
    <n v="2E+20"/>
    <n v="0"/>
    <n v="6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4"/>
    <x v="1"/>
    <x v="1"/>
    <x v="1"/>
    <n v="0.51132891701139904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4"/>
    <x v="1"/>
    <x v="2"/>
    <x v="1"/>
    <n v="2.0453156680456002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4"/>
    <x v="2"/>
    <x v="4"/>
    <x v="2"/>
    <n v="5.5891220779728697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5"/>
    <x v="0"/>
    <x v="0"/>
    <x v="0"/>
    <n v="1.9294350383254799"/>
    <n v="2E+20"/>
    <n v="0"/>
    <n v="6"/>
    <n v="0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5"/>
    <x v="1"/>
    <x v="1"/>
    <x v="1"/>
    <n v="0.46645552884283398"/>
    <n v="2E+20"/>
    <n v="0"/>
    <n v="1"/>
    <n v="0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5"/>
    <x v="1"/>
    <x v="2"/>
    <x v="1"/>
    <n v="1.8658221153713299"/>
    <n v="2E+20"/>
    <n v="0"/>
    <n v="4"/>
    <n v="0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5"/>
    <x v="2"/>
    <x v="4"/>
    <x v="2"/>
    <n v="6.3612922954150802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6"/>
    <x v="0"/>
    <x v="0"/>
    <x v="0"/>
    <n v="2.34318847145612"/>
    <n v="2E+20"/>
    <n v="0"/>
    <n v="7"/>
    <n v="0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6"/>
    <x v="1"/>
    <x v="1"/>
    <x v="1"/>
    <n v="0.55907458918076802"/>
    <n v="2E+20"/>
    <n v="0"/>
    <n v="1"/>
    <n v="0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6"/>
    <x v="1"/>
    <x v="2"/>
    <x v="1"/>
    <n v="2.2362983567230699"/>
    <n v="2E+20"/>
    <n v="0"/>
    <n v="4"/>
    <n v="0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6"/>
    <x v="2"/>
    <x v="4"/>
    <x v="2"/>
    <n v="0.10689011473304399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7"/>
    <x v="0"/>
    <x v="0"/>
    <x v="0"/>
    <n v="2.2819665711621302"/>
    <n v="2E+20"/>
    <n v="0"/>
    <n v="6"/>
    <n v="0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7"/>
    <x v="1"/>
    <x v="1"/>
    <x v="1"/>
    <n v="0.54170870617565103"/>
    <n v="2E+20"/>
    <n v="0"/>
    <n v="1"/>
    <n v="0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7"/>
    <x v="1"/>
    <x v="2"/>
    <x v="1"/>
    <n v="2.1668348247026001"/>
    <n v="2E+20"/>
    <n v="0"/>
    <n v="4"/>
    <n v="0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7"/>
    <x v="2"/>
    <x v="4"/>
    <x v="2"/>
    <n v="0.11513174645953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8"/>
    <x v="0"/>
    <x v="0"/>
    <x v="0"/>
    <n v="1.96904099033096"/>
    <n v="2E+20"/>
    <n v="0"/>
    <n v="7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8"/>
    <x v="1"/>
    <x v="1"/>
    <x v="1"/>
    <n v="0.47936981463695799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8"/>
    <x v="1"/>
    <x v="2"/>
    <x v="1"/>
    <n v="1.91747925854783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8"/>
    <x v="2"/>
    <x v="4"/>
    <x v="2"/>
    <n v="5.1561731783124502E-2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9"/>
    <x v="0"/>
    <x v="0"/>
    <x v="0"/>
    <n v="1.79453412932714"/>
    <n v="2E+20"/>
    <n v="0"/>
    <n v="5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9"/>
    <x v="1"/>
    <x v="1"/>
    <x v="1"/>
    <n v="0.43820879773654198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9"/>
    <x v="1"/>
    <x v="2"/>
    <x v="1"/>
    <n v="1.7528351909461699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9"/>
    <x v="2"/>
    <x v="4"/>
    <x v="2"/>
    <n v="4.1698938380970899E-2"/>
    <n v="2E+20"/>
    <n v="0"/>
    <n v="1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0"/>
    <x v="0"/>
    <x v="0"/>
    <x v="0"/>
    <n v="1.59370119386458"/>
    <n v="2E+20"/>
    <n v="0"/>
    <n v="7"/>
    <n v="0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0"/>
    <x v="1"/>
    <x v="1"/>
    <x v="1"/>
    <n v="0.37732764232190502"/>
    <n v="2E+20"/>
    <n v="0"/>
    <n v="1"/>
    <n v="0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0"/>
    <x v="1"/>
    <x v="2"/>
    <x v="1"/>
    <n v="1.5093105692876201"/>
    <n v="2E+20"/>
    <n v="0"/>
    <n v="4"/>
    <n v="0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0"/>
    <x v="2"/>
    <x v="4"/>
    <x v="2"/>
    <n v="8.4390624576964404E-2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1"/>
    <x v="0"/>
    <x v="0"/>
    <x v="0"/>
    <n v="1.9201760170898901"/>
    <n v="2E+20"/>
    <n v="0"/>
    <n v="6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1"/>
    <x v="1"/>
    <x v="1"/>
    <x v="1"/>
    <n v="0.470687915467491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1"/>
    <x v="1"/>
    <x v="2"/>
    <x v="1"/>
    <n v="1.88275166186996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1"/>
    <x v="2"/>
    <x v="4"/>
    <x v="2"/>
    <n v="3.7424355219922302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2"/>
    <x v="0"/>
    <x v="0"/>
    <x v="0"/>
    <n v="2.1213859098109999"/>
    <n v="2E+20"/>
    <n v="0"/>
    <n v="7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2"/>
    <x v="1"/>
    <x v="1"/>
    <x v="1"/>
    <n v="0.47490967560191899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2"/>
    <x v="1"/>
    <x v="2"/>
    <x v="1"/>
    <n v="1.89963870240768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2"/>
    <x v="2"/>
    <x v="4"/>
    <x v="2"/>
    <n v="0.22174720740332701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3"/>
    <x v="0"/>
    <x v="0"/>
    <x v="0"/>
    <n v="2.2410141144448099"/>
    <n v="2E+20"/>
    <n v="0"/>
    <n v="8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3"/>
    <x v="1"/>
    <x v="1"/>
    <x v="1"/>
    <n v="0.531137679397923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3"/>
    <x v="1"/>
    <x v="2"/>
    <x v="1"/>
    <n v="2.1245507175916898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3"/>
    <x v="2"/>
    <x v="4"/>
    <x v="2"/>
    <n v="0.11646339685311401"/>
    <n v="2E+20"/>
    <n v="0"/>
    <n v="4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4"/>
    <x v="0"/>
    <x v="0"/>
    <x v="0"/>
    <n v="1.9854670454958701"/>
    <n v="2E+20"/>
    <n v="0"/>
    <n v="6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4"/>
    <x v="1"/>
    <x v="1"/>
    <x v="1"/>
    <n v="0.48722159316116698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4"/>
    <x v="1"/>
    <x v="2"/>
    <x v="1"/>
    <n v="1.9488863726446699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4"/>
    <x v="2"/>
    <x v="4"/>
    <x v="2"/>
    <n v="3.65806728511981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5"/>
    <x v="0"/>
    <x v="0"/>
    <x v="0"/>
    <n v="1.8304864345591301"/>
    <n v="2E+20"/>
    <n v="0"/>
    <n v="6"/>
    <n v="0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5"/>
    <x v="1"/>
    <x v="1"/>
    <x v="1"/>
    <n v="0.44317826667955201"/>
    <n v="2E+20"/>
    <n v="0"/>
    <n v="1"/>
    <n v="0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5"/>
    <x v="1"/>
    <x v="2"/>
    <x v="1"/>
    <n v="1.7727130667182101"/>
    <n v="2E+20"/>
    <n v="0"/>
    <n v="4"/>
    <n v="0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5"/>
    <x v="2"/>
    <x v="4"/>
    <x v="2"/>
    <n v="5.7773367840928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6"/>
    <x v="0"/>
    <x v="0"/>
    <x v="0"/>
    <n v="2.5512634520645201"/>
    <n v="2E+20"/>
    <n v="0"/>
    <n v="8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6"/>
    <x v="1"/>
    <x v="1"/>
    <x v="1"/>
    <n v="0.59221413990377503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6"/>
    <x v="1"/>
    <x v="2"/>
    <x v="1"/>
    <n v="2.3688565596151001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6"/>
    <x v="2"/>
    <x v="4"/>
    <x v="2"/>
    <n v="0.18240689244941799"/>
    <n v="2E+20"/>
    <n v="0"/>
    <n v="4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7"/>
    <x v="0"/>
    <x v="0"/>
    <x v="0"/>
    <n v="1.49846325156419"/>
    <n v="2E+20"/>
    <n v="0"/>
    <n v="6"/>
    <n v="3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7"/>
    <x v="1"/>
    <x v="1"/>
    <x v="1"/>
    <n v="0.35780838206908899"/>
    <n v="2E+20"/>
    <n v="0"/>
    <n v="1"/>
    <n v="0.7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7"/>
    <x v="1"/>
    <x v="2"/>
    <x v="1"/>
    <n v="1.43123352827636"/>
    <n v="2E+20"/>
    <n v="0"/>
    <n v="4"/>
    <n v="3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7"/>
    <x v="2"/>
    <x v="4"/>
    <x v="2"/>
    <n v="6.7229723287833401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8"/>
    <x v="0"/>
    <x v="0"/>
    <x v="0"/>
    <n v="2.6783572611644502"/>
    <n v="2E+20"/>
    <n v="0"/>
    <n v="7"/>
    <n v="3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8"/>
    <x v="1"/>
    <x v="1"/>
    <x v="1"/>
    <n v="0.62716275812281796"/>
    <n v="2E+20"/>
    <n v="0"/>
    <n v="1"/>
    <n v="0.7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8"/>
    <x v="1"/>
    <x v="2"/>
    <x v="1"/>
    <n v="2.5086510324912701"/>
    <n v="2E+20"/>
    <n v="0"/>
    <n v="4"/>
    <n v="3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8"/>
    <x v="2"/>
    <x v="4"/>
    <x v="2"/>
    <n v="0.169706228673176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19"/>
    <x v="0"/>
    <x v="0"/>
    <x v="0"/>
    <n v="2.2241036422071501"/>
    <n v="2E+20"/>
    <n v="0"/>
    <n v="7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19"/>
    <x v="1"/>
    <x v="1"/>
    <x v="1"/>
    <n v="0.51830461002166195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19"/>
    <x v="1"/>
    <x v="2"/>
    <x v="1"/>
    <n v="2.07321844008665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1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19"/>
    <x v="2"/>
    <x v="4"/>
    <x v="2"/>
    <n v="0.15088520212050599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0"/>
    <x v="0"/>
    <x v="0"/>
    <x v="0"/>
    <n v="1.7809149290509201"/>
    <n v="2E+20"/>
    <n v="0"/>
    <n v="6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0"/>
    <x v="1"/>
    <x v="1"/>
    <x v="1"/>
    <n v="0.44045702541822301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0"/>
    <x v="1"/>
    <x v="2"/>
    <x v="1"/>
    <n v="1.7618281016728901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0"/>
    <x v="2"/>
    <x v="4"/>
    <x v="2"/>
    <n v="1.9086827378027801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1"/>
    <x v="0"/>
    <x v="0"/>
    <x v="0"/>
    <n v="2.08266299764967"/>
    <n v="2E+20"/>
    <n v="0"/>
    <n v="8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1"/>
    <x v="1"/>
    <x v="1"/>
    <x v="1"/>
    <n v="0.46978112824909002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1"/>
    <x v="1"/>
    <x v="2"/>
    <x v="1"/>
    <n v="1.8791245129963601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1"/>
    <x v="2"/>
    <x v="4"/>
    <x v="2"/>
    <n v="0.20353848465331301"/>
    <n v="2E+20"/>
    <n v="0"/>
    <n v="4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2"/>
    <x v="0"/>
    <x v="0"/>
    <x v="0"/>
    <n v="2.1676136801916499"/>
    <n v="2E+20"/>
    <n v="0"/>
    <n v="6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2"/>
    <x v="1"/>
    <x v="1"/>
    <x v="1"/>
    <n v="0.52601584729403195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2"/>
    <x v="1"/>
    <x v="2"/>
    <x v="1"/>
    <n v="2.10406338917613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2"/>
    <x v="2"/>
    <x v="4"/>
    <x v="2"/>
    <n v="6.3550291015521496E-2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3"/>
    <x v="0"/>
    <x v="0"/>
    <x v="0"/>
    <n v="2.0650612323971802"/>
    <n v="2E+20"/>
    <n v="0"/>
    <n v="6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3"/>
    <x v="1"/>
    <x v="1"/>
    <x v="1"/>
    <n v="0.48370842860188801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3"/>
    <x v="1"/>
    <x v="2"/>
    <x v="1"/>
    <n v="1.93483371440755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3"/>
    <x v="2"/>
    <x v="4"/>
    <x v="2"/>
    <n v="0.13022751798962501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4"/>
    <x v="0"/>
    <x v="0"/>
    <x v="0"/>
    <n v="1.82854294524135"/>
    <n v="2E+20"/>
    <n v="0"/>
    <n v="7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4"/>
    <x v="1"/>
    <x v="1"/>
    <x v="1"/>
    <n v="0.44455570602369998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4"/>
    <x v="1"/>
    <x v="2"/>
    <x v="1"/>
    <n v="1.7782228240947999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4"/>
    <x v="2"/>
    <x v="4"/>
    <x v="2"/>
    <n v="5.0320121146547298E-2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5"/>
    <x v="0"/>
    <x v="0"/>
    <x v="0"/>
    <n v="1.9561755184982901"/>
    <n v="2E+20"/>
    <n v="0"/>
    <n v="7"/>
    <n v="1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5"/>
    <x v="1"/>
    <x v="1"/>
    <x v="1"/>
    <n v="0.47396200786998299"/>
    <n v="2E+20"/>
    <n v="0"/>
    <n v="1"/>
    <n v="0.2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5"/>
    <x v="1"/>
    <x v="2"/>
    <x v="1"/>
    <n v="1.89584803147993"/>
    <n v="2E+20"/>
    <n v="0"/>
    <n v="4"/>
    <n v="1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5"/>
    <x v="2"/>
    <x v="4"/>
    <x v="2"/>
    <n v="6.0327487018357003E-2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6"/>
    <x v="0"/>
    <x v="0"/>
    <x v="0"/>
    <n v="2.1386534857439798"/>
    <n v="2E+20"/>
    <n v="0"/>
    <n v="7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6"/>
    <x v="1"/>
    <x v="1"/>
    <x v="1"/>
    <n v="0.48608350691788199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6"/>
    <x v="1"/>
    <x v="2"/>
    <x v="1"/>
    <n v="1.94433402767153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6"/>
    <x v="2"/>
    <x v="4"/>
    <x v="2"/>
    <n v="0.19431945807244899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7"/>
    <x v="0"/>
    <x v="0"/>
    <x v="0"/>
    <n v="2.6444835231125299"/>
    <n v="2E+20"/>
    <n v="0"/>
    <n v="10"/>
    <n v="5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7"/>
    <x v="1"/>
    <x v="1"/>
    <x v="1"/>
    <n v="0.58598289035519502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7"/>
    <x v="1"/>
    <x v="2"/>
    <x v="1"/>
    <n v="2.3439315614207801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7"/>
    <x v="2"/>
    <x v="4"/>
    <x v="2"/>
    <n v="0.30055196169175402"/>
    <n v="2E+20"/>
    <n v="0"/>
    <n v="6"/>
    <n v="1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8"/>
    <x v="0"/>
    <x v="0"/>
    <x v="0"/>
    <n v="2.6725031811734898"/>
    <n v="2E+20"/>
    <n v="0"/>
    <n v="7"/>
    <n v="3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8"/>
    <x v="1"/>
    <x v="1"/>
    <x v="1"/>
    <n v="0.59321522114103298"/>
    <n v="2E+20"/>
    <n v="0"/>
    <n v="1"/>
    <n v="0.7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8"/>
    <x v="1"/>
    <x v="2"/>
    <x v="1"/>
    <n v="2.3728608845641301"/>
    <n v="2E+20"/>
    <n v="0"/>
    <n v="4"/>
    <n v="3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8"/>
    <x v="2"/>
    <x v="4"/>
    <x v="2"/>
    <n v="0.29964229660935798"/>
    <n v="2E+20"/>
    <n v="0"/>
    <n v="3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29"/>
    <x v="0"/>
    <x v="0"/>
    <x v="0"/>
    <n v="2.1616679790061699"/>
    <n v="2E+20"/>
    <n v="0"/>
    <n v="6"/>
    <n v="2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29"/>
    <x v="1"/>
    <x v="1"/>
    <x v="1"/>
    <n v="0.50685598343326299"/>
    <n v="2E+20"/>
    <n v="0"/>
    <n v="1"/>
    <n v="0.5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29"/>
    <x v="1"/>
    <x v="2"/>
    <x v="1"/>
    <n v="2.0274239337330502"/>
    <n v="2E+20"/>
    <n v="0"/>
    <n v="4"/>
    <n v="2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2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29"/>
    <x v="2"/>
    <x v="4"/>
    <x v="2"/>
    <n v="0.13424404527311601"/>
    <n v="2E+20"/>
    <n v="0"/>
    <n v="2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  <r>
    <x v="0"/>
    <s v="2025-02-11 23:41:02"/>
    <n v="30"/>
    <x v="0"/>
    <x v="0"/>
    <x v="0"/>
    <n v="2.9737327083745901"/>
    <n v="2E+20"/>
    <n v="0"/>
    <n v="10"/>
    <n v="4"/>
    <n v="0"/>
    <s v="Unnamed ProjectCustomerWIPEntity"/>
    <n v="30"/>
    <n v="2.1519815556091424"/>
    <n v="0.33953211036380665"/>
    <n v="0.95"/>
    <n v="0.12678337363627387"/>
    <n v="1.49846325156419"/>
    <n v="2.9737327083745901"/>
    <n v="0.12678337363627387"/>
  </r>
  <r>
    <x v="0"/>
    <s v="2025-02-11 23:41:02"/>
    <n v="30"/>
    <x v="1"/>
    <x v="1"/>
    <x v="1"/>
    <n v="0.60796694091509296"/>
    <n v="2E+20"/>
    <n v="0"/>
    <n v="1"/>
    <n v="1"/>
    <n v="0"/>
    <s v="Unnamed ProjectService CounterInstantaneous UtilizationResource"/>
    <n v="30"/>
    <n v="0.50585592210489994"/>
    <n v="6.7092108241474532E-2"/>
    <n v="0.95"/>
    <n v="2.5052604945405288E-2"/>
    <n v="0.35780838206908899"/>
    <n v="0.62716275812281796"/>
    <n v="2.5052604945405288E-2"/>
  </r>
  <r>
    <x v="0"/>
    <s v="2025-02-11 23:41:02"/>
    <n v="30"/>
    <x v="1"/>
    <x v="2"/>
    <x v="1"/>
    <n v="2.4318677636603701"/>
    <n v="2E+20"/>
    <n v="0"/>
    <n v="4"/>
    <n v="4"/>
    <n v="0"/>
    <s v="Unnamed ProjectService CounterNumber BusyResource"/>
    <n v="30"/>
    <n v="2.0234236884195993"/>
    <n v="0.26836843296589996"/>
    <n v="0.95"/>
    <n v="0.10021041978162182"/>
    <n v="1.43123352827636"/>
    <n v="2.5086510324912701"/>
    <n v="0.10021041978162182"/>
  </r>
  <r>
    <x v="0"/>
    <s v="2025-02-11 23:41:02"/>
    <n v="3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02"/>
    <n v="30"/>
    <x v="2"/>
    <x v="4"/>
    <x v="2"/>
    <n v="0.54186494471421698"/>
    <n v="2E+20"/>
    <n v="0"/>
    <n v="6"/>
    <n v="0"/>
    <n v="0"/>
    <s v="Unnamed ProjectService Process.QueueNumber WaitingQueue"/>
    <n v="30"/>
    <n v="0.12855786718954387"/>
    <n v="0.10779060694836942"/>
    <n v="0.95"/>
    <n v="4.0249674119401432E-2"/>
    <n v="1.9086827378027801E-2"/>
    <n v="0.54186494471421698"/>
    <n v="4.024967411940143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1:02"/>
    <n v="1"/>
    <x v="0"/>
    <x v="0"/>
    <x v="0"/>
    <n v="0"/>
    <n v="2E+20"/>
    <n v="0"/>
    <n v="0"/>
    <n v="74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"/>
    <x v="0"/>
    <x v="1"/>
    <x v="0"/>
    <n v="0"/>
    <n v="2E+20"/>
    <n v="0"/>
    <n v="0"/>
    <n v="74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"/>
    <x v="0"/>
    <x v="2"/>
    <x v="0"/>
    <n v="14.3040805664799"/>
    <n v="2E+20"/>
    <n v="0.15100014105638601"/>
    <n v="61.7740849991213"/>
    <n v="74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"/>
    <x v="0"/>
    <x v="3"/>
    <x v="0"/>
    <n v="0"/>
    <n v="2E+20"/>
    <n v="0"/>
    <n v="0"/>
    <n v="74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"/>
    <x v="0"/>
    <x v="4"/>
    <x v="0"/>
    <n v="13.582086622077099"/>
    <n v="2E+20"/>
    <n v="3.7212149569540998E-2"/>
    <n v="61.7740849991213"/>
    <n v="74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"/>
    <x v="0"/>
    <x v="5"/>
    <x v="0"/>
    <n v="0.72199394440278097"/>
    <n v="2E+20"/>
    <n v="0"/>
    <n v="10.426945537697"/>
    <n v="74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"/>
    <x v="0"/>
    <x v="0"/>
    <x v="0"/>
    <n v="0"/>
    <n v="2E+20"/>
    <n v="0"/>
    <n v="0"/>
    <n v="99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"/>
    <x v="0"/>
    <x v="1"/>
    <x v="0"/>
    <n v="0"/>
    <n v="2E+20"/>
    <n v="0"/>
    <n v="0"/>
    <n v="99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"/>
    <x v="0"/>
    <x v="2"/>
    <x v="0"/>
    <n v="12.9294731307807"/>
    <n v="2E+20"/>
    <n v="0.215854320524272"/>
    <n v="96.990786851496594"/>
    <n v="99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"/>
    <x v="0"/>
    <x v="3"/>
    <x v="0"/>
    <n v="0"/>
    <n v="2E+20"/>
    <n v="0"/>
    <n v="0"/>
    <n v="99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"/>
    <x v="0"/>
    <x v="4"/>
    <x v="0"/>
    <n v="12.586323375848201"/>
    <n v="2E+20"/>
    <n v="0.215854320524272"/>
    <n v="96.990786851496594"/>
    <n v="99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"/>
    <x v="0"/>
    <x v="5"/>
    <x v="0"/>
    <n v="0.34314975493254402"/>
    <n v="2E+20"/>
    <n v="0"/>
    <n v="7.89659527763021"/>
    <n v="99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3"/>
    <x v="0"/>
    <x v="0"/>
    <x v="0"/>
    <n v="0"/>
    <n v="2E+20"/>
    <n v="0"/>
    <n v="0"/>
    <n v="105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"/>
    <x v="0"/>
    <x v="1"/>
    <x v="0"/>
    <n v="0"/>
    <n v="2E+20"/>
    <n v="0"/>
    <n v="0"/>
    <n v="105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"/>
    <x v="0"/>
    <x v="2"/>
    <x v="0"/>
    <n v="12.962415742253301"/>
    <n v="2E+20"/>
    <n v="4.9185848933236999E-2"/>
    <n v="82.518984044218897"/>
    <n v="105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3"/>
    <x v="0"/>
    <x v="3"/>
    <x v="0"/>
    <n v="0"/>
    <n v="2E+20"/>
    <n v="0"/>
    <n v="0"/>
    <n v="105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"/>
    <x v="0"/>
    <x v="4"/>
    <x v="0"/>
    <n v="12.2536398507799"/>
    <n v="2E+20"/>
    <n v="4.9185848933236999E-2"/>
    <n v="82.518984044218897"/>
    <n v="105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3"/>
    <x v="0"/>
    <x v="5"/>
    <x v="0"/>
    <n v="0.70877589147336295"/>
    <n v="2E+20"/>
    <n v="0"/>
    <n v="9.6492838871683393"/>
    <n v="105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4"/>
    <x v="0"/>
    <x v="2"/>
    <x v="0"/>
    <n v="12.6861932649471"/>
    <n v="2E+20"/>
    <n v="5.50771295359027E-2"/>
    <n v="62.754761323648196"/>
    <n v="89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4"/>
    <x v="0"/>
    <x v="4"/>
    <x v="0"/>
    <n v="12.347077992800401"/>
    <n v="2E+20"/>
    <n v="5.50771295359027E-2"/>
    <n v="62.754761323648196"/>
    <n v="89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4"/>
    <x v="0"/>
    <x v="5"/>
    <x v="0"/>
    <n v="0.33911527214666898"/>
    <n v="2E+20"/>
    <n v="0"/>
    <n v="12.1275292131703"/>
    <n v="89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5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5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5"/>
    <x v="0"/>
    <x v="2"/>
    <x v="0"/>
    <n v="10.853072090580801"/>
    <n v="2E+20"/>
    <n v="5.9956325677830997E-2"/>
    <n v="54.6155721212183"/>
    <n v="96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5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5"/>
    <x v="0"/>
    <x v="4"/>
    <x v="0"/>
    <n v="10.495249398963701"/>
    <n v="2E+20"/>
    <n v="5.9956325677830997E-2"/>
    <n v="52.389697369887003"/>
    <n v="96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5"/>
    <x v="0"/>
    <x v="5"/>
    <x v="0"/>
    <n v="0.35782269161709901"/>
    <n v="2E+20"/>
    <n v="0"/>
    <n v="8.6621539550380895"/>
    <n v="96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6"/>
    <x v="0"/>
    <x v="2"/>
    <x v="0"/>
    <n v="13.319176574592699"/>
    <n v="2E+20"/>
    <n v="3.00402467385084E-2"/>
    <n v="74.462281639032298"/>
    <n v="95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6"/>
    <x v="0"/>
    <x v="4"/>
    <x v="0"/>
    <n v="12.711590659267999"/>
    <n v="2E+20"/>
    <n v="3.00402467385084E-2"/>
    <n v="74.462281639032298"/>
    <n v="95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6"/>
    <x v="0"/>
    <x v="5"/>
    <x v="0"/>
    <n v="0.60758591532467099"/>
    <n v="2E+20"/>
    <n v="0"/>
    <n v="9.0480064126410902"/>
    <n v="95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7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7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7"/>
    <x v="0"/>
    <x v="2"/>
    <x v="0"/>
    <n v="14.328627307297101"/>
    <n v="2E+20"/>
    <n v="0.26392904206892398"/>
    <n v="55.1381611627639"/>
    <n v="86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7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7"/>
    <x v="0"/>
    <x v="4"/>
    <x v="0"/>
    <n v="13.6057070388303"/>
    <n v="2E+20"/>
    <n v="0.26392904206892398"/>
    <n v="55.1381611627639"/>
    <n v="86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7"/>
    <x v="0"/>
    <x v="5"/>
    <x v="0"/>
    <n v="0.72292026846681501"/>
    <n v="2E+20"/>
    <n v="0"/>
    <n v="10.4234576207333"/>
    <n v="86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8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8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8"/>
    <x v="0"/>
    <x v="2"/>
    <x v="0"/>
    <n v="14.4388857044089"/>
    <n v="2E+20"/>
    <n v="0.47771781476609498"/>
    <n v="87.732740654628302"/>
    <n v="7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8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8"/>
    <x v="0"/>
    <x v="4"/>
    <x v="0"/>
    <n v="14.0574701542323"/>
    <n v="2E+20"/>
    <n v="0.20508916052222001"/>
    <n v="87.732740654628302"/>
    <n v="7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8"/>
    <x v="0"/>
    <x v="5"/>
    <x v="0"/>
    <n v="0.381415550176537"/>
    <n v="2E+20"/>
    <n v="0"/>
    <n v="4.5915202688688597"/>
    <n v="7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9"/>
    <x v="0"/>
    <x v="2"/>
    <x v="0"/>
    <n v="11.1209604345544"/>
    <n v="2E+20"/>
    <n v="0.116735178188833"/>
    <n v="52.903558214902098"/>
    <n v="85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9"/>
    <x v="0"/>
    <x v="4"/>
    <x v="0"/>
    <n v="10.856049531898799"/>
    <n v="2E+20"/>
    <n v="0.116735178188833"/>
    <n v="52.903558214902098"/>
    <n v="85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9"/>
    <x v="0"/>
    <x v="5"/>
    <x v="0"/>
    <n v="0.26491090265557998"/>
    <n v="2E+20"/>
    <n v="0"/>
    <n v="5.4554364872012702"/>
    <n v="85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0"/>
    <x v="0"/>
    <x v="2"/>
    <x v="0"/>
    <n v="10.6246746257639"/>
    <n v="2E+20"/>
    <n v="0.116486524429433"/>
    <n v="48.797408723908603"/>
    <n v="81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0"/>
    <x v="0"/>
    <x v="4"/>
    <x v="0"/>
    <n v="10.0620704619175"/>
    <n v="2E+20"/>
    <n v="0.116486524429433"/>
    <n v="48.797408723908603"/>
    <n v="81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0"/>
    <x v="0"/>
    <x v="5"/>
    <x v="0"/>
    <n v="0.56260416384642897"/>
    <n v="2E+20"/>
    <n v="0"/>
    <n v="11.921911796305199"/>
    <n v="81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1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1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1"/>
    <x v="0"/>
    <x v="2"/>
    <x v="0"/>
    <n v="10.964318356779801"/>
    <n v="2E+20"/>
    <n v="3.9686277312298998E-2"/>
    <n v="47.7413493045159"/>
    <n v="90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1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1"/>
    <x v="0"/>
    <x v="4"/>
    <x v="0"/>
    <n v="10.7422857002498"/>
    <n v="2E+20"/>
    <n v="3.9686277312298998E-2"/>
    <n v="47.7413493045159"/>
    <n v="90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1"/>
    <x v="0"/>
    <x v="5"/>
    <x v="0"/>
    <n v="0.22203265652995"/>
    <n v="2E+20"/>
    <n v="0"/>
    <n v="6.3288777664303097"/>
    <n v="90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2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2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2"/>
    <x v="0"/>
    <x v="2"/>
    <x v="0"/>
    <n v="13.544073797425201"/>
    <n v="2E+20"/>
    <n v="0.156041212571424"/>
    <n v="60.917265639135202"/>
    <n v="8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2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2"/>
    <x v="0"/>
    <x v="4"/>
    <x v="0"/>
    <n v="12.101381122753001"/>
    <n v="2E+20"/>
    <n v="0.156041212571424"/>
    <n v="60.917265639135202"/>
    <n v="8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2"/>
    <x v="0"/>
    <x v="5"/>
    <x v="0"/>
    <n v="1.4426926746722499"/>
    <n v="2E+20"/>
    <n v="0"/>
    <n v="15.9647053158888"/>
    <n v="8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3"/>
    <x v="0"/>
    <x v="2"/>
    <x v="0"/>
    <n v="13.170918909354601"/>
    <n v="2E+20"/>
    <n v="0.16013659058747001"/>
    <n v="63.1704528826182"/>
    <n v="91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3"/>
    <x v="0"/>
    <x v="4"/>
    <x v="0"/>
    <n v="12.4798174335229"/>
    <n v="2E+20"/>
    <n v="0.10445113124444599"/>
    <n v="63.1704528826182"/>
    <n v="91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3"/>
    <x v="0"/>
    <x v="5"/>
    <x v="0"/>
    <n v="0.69110147583166603"/>
    <n v="2E+20"/>
    <n v="0"/>
    <n v="8.30795862351812"/>
    <n v="91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4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4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4"/>
    <x v="0"/>
    <x v="2"/>
    <x v="0"/>
    <n v="11.477352814246199"/>
    <n v="2E+20"/>
    <n v="0.28971706288103899"/>
    <n v="49.990459796134097"/>
    <n v="92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4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4"/>
    <x v="0"/>
    <x v="4"/>
    <x v="0"/>
    <n v="11.26264016925"/>
    <n v="2E+20"/>
    <n v="0.28971706288103899"/>
    <n v="49.990459796134097"/>
    <n v="92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4"/>
    <x v="0"/>
    <x v="5"/>
    <x v="0"/>
    <n v="0.21471264499616299"/>
    <n v="2E+20"/>
    <n v="0"/>
    <n v="6.0722590443829203"/>
    <n v="92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5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5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5"/>
    <x v="0"/>
    <x v="2"/>
    <x v="0"/>
    <n v="11.909188851348601"/>
    <n v="2E+20"/>
    <n v="0.28520964090860401"/>
    <n v="61.984395819979099"/>
    <n v="8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5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5"/>
    <x v="0"/>
    <x v="4"/>
    <x v="0"/>
    <n v="11.5333139280462"/>
    <n v="2E+20"/>
    <n v="0.28520964090860401"/>
    <n v="61.984395819979099"/>
    <n v="8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5"/>
    <x v="0"/>
    <x v="5"/>
    <x v="0"/>
    <n v="0.375874923302423"/>
    <n v="2E+20"/>
    <n v="0"/>
    <n v="7.1720455617736398"/>
    <n v="8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6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6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6"/>
    <x v="0"/>
    <x v="2"/>
    <x v="0"/>
    <n v="15.1148327951532"/>
    <n v="2E+20"/>
    <n v="0.25220087641042699"/>
    <n v="77.754052876489695"/>
    <n v="88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6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6"/>
    <x v="0"/>
    <x v="4"/>
    <x v="0"/>
    <n v="13.995517773304501"/>
    <n v="2E+20"/>
    <n v="0.25220087641042699"/>
    <n v="77.754052876489695"/>
    <n v="88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6"/>
    <x v="0"/>
    <x v="5"/>
    <x v="0"/>
    <n v="1.1193150218487"/>
    <n v="2E+20"/>
    <n v="0"/>
    <n v="13.481763891670999"/>
    <n v="88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7"/>
    <x v="0"/>
    <x v="2"/>
    <x v="0"/>
    <n v="11.6419540433756"/>
    <n v="2E+20"/>
    <n v="0.23505697271707501"/>
    <n v="45.846080352452198"/>
    <n v="68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7"/>
    <x v="0"/>
    <x v="4"/>
    <x v="0"/>
    <n v="11.108070946678099"/>
    <n v="2E+20"/>
    <n v="0.23505697271707501"/>
    <n v="45.846080352452198"/>
    <n v="68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7"/>
    <x v="0"/>
    <x v="5"/>
    <x v="0"/>
    <n v="0.533883096697501"/>
    <n v="2E+20"/>
    <n v="0"/>
    <n v="9.5589078129674991"/>
    <n v="68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8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8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8"/>
    <x v="0"/>
    <x v="2"/>
    <x v="0"/>
    <n v="14.439789668330601"/>
    <n v="2E+20"/>
    <n v="0.202927947091609"/>
    <n v="64.156634613119607"/>
    <n v="98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8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8"/>
    <x v="0"/>
    <x v="4"/>
    <x v="0"/>
    <n v="13.588212151140199"/>
    <n v="2E+20"/>
    <n v="0.202927947091609"/>
    <n v="64.156634613119607"/>
    <n v="98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8"/>
    <x v="0"/>
    <x v="5"/>
    <x v="0"/>
    <n v="0.851577517190376"/>
    <n v="2E+20"/>
    <n v="0"/>
    <n v="9.5094724996912596"/>
    <n v="98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9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9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9"/>
    <x v="0"/>
    <x v="2"/>
    <x v="0"/>
    <n v="14.251788591004701"/>
    <n v="2E+20"/>
    <n v="4.7480341947164099E-2"/>
    <n v="57.090490352246"/>
    <n v="84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19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19"/>
    <x v="0"/>
    <x v="4"/>
    <x v="0"/>
    <n v="13.2818122916586"/>
    <n v="2E+20"/>
    <n v="9.6095835829714798E-3"/>
    <n v="57.090490352246"/>
    <n v="84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19"/>
    <x v="0"/>
    <x v="5"/>
    <x v="0"/>
    <n v="0.96997629934610996"/>
    <n v="2E+20"/>
    <n v="0"/>
    <n v="12.111684533992401"/>
    <n v="84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0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0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0"/>
    <x v="0"/>
    <x v="2"/>
    <x v="0"/>
    <n v="11.379546499457501"/>
    <n v="2E+20"/>
    <n v="7.7513799027428804E-2"/>
    <n v="100.05428865514899"/>
    <n v="8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0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0"/>
    <x v="0"/>
    <x v="4"/>
    <x v="0"/>
    <n v="11.255367140612501"/>
    <n v="2E+20"/>
    <n v="7.7513799027428804E-2"/>
    <n v="100.05428865514899"/>
    <n v="8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0"/>
    <x v="0"/>
    <x v="5"/>
    <x v="0"/>
    <n v="0.124179358845"/>
    <n v="2E+20"/>
    <n v="0"/>
    <n v="4.4094138780946004"/>
    <n v="8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1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1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1"/>
    <x v="0"/>
    <x v="2"/>
    <x v="0"/>
    <n v="11.6576123169417"/>
    <n v="2E+20"/>
    <n v="9.8554071933563095E-2"/>
    <n v="50.744019955321001"/>
    <n v="95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1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1"/>
    <x v="0"/>
    <x v="4"/>
    <x v="0"/>
    <n v="10.500656719964899"/>
    <n v="2E+20"/>
    <n v="9.8554071933563095E-2"/>
    <n v="50.744019955321001"/>
    <n v="95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1"/>
    <x v="0"/>
    <x v="5"/>
    <x v="0"/>
    <n v="1.15695559697672"/>
    <n v="2E+20"/>
    <n v="0"/>
    <n v="21.369977742802099"/>
    <n v="95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2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2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2"/>
    <x v="0"/>
    <x v="2"/>
    <x v="0"/>
    <n v="13.993215326149601"/>
    <n v="2E+20"/>
    <n v="3.7716384103759999E-2"/>
    <n v="51.963603236794"/>
    <n v="79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2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2"/>
    <x v="0"/>
    <x v="4"/>
    <x v="0"/>
    <n v="13.564498878933"/>
    <n v="2E+20"/>
    <n v="3.7716384103759999E-2"/>
    <n v="48.358010304548799"/>
    <n v="79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2"/>
    <x v="0"/>
    <x v="5"/>
    <x v="0"/>
    <n v="0.42871644721658902"/>
    <n v="2E+20"/>
    <n v="0"/>
    <n v="14.5452105665563"/>
    <n v="79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3"/>
    <x v="0"/>
    <x v="2"/>
    <x v="0"/>
    <n v="12.214852974107499"/>
    <n v="2E+20"/>
    <n v="1.9665678949650101E-2"/>
    <n v="50.187965006880603"/>
    <n v="91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3"/>
    <x v="0"/>
    <x v="4"/>
    <x v="0"/>
    <n v="11.4420742959273"/>
    <n v="2E+20"/>
    <n v="1.9665678949650101E-2"/>
    <n v="50.187965006880603"/>
    <n v="91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3"/>
    <x v="0"/>
    <x v="5"/>
    <x v="0"/>
    <n v="0.77277867818019397"/>
    <n v="2E+20"/>
    <n v="0"/>
    <n v="14.1886295568868"/>
    <n v="91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4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4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4"/>
    <x v="0"/>
    <x v="2"/>
    <x v="0"/>
    <n v="12.912924982648899"/>
    <n v="2E+20"/>
    <n v="0.170214091922475"/>
    <n v="59.298956643035503"/>
    <n v="72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4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4"/>
    <x v="0"/>
    <x v="4"/>
    <x v="0"/>
    <n v="12.579470950742101"/>
    <n v="2E+20"/>
    <n v="0.170214091922475"/>
    <n v="59.298956643035503"/>
    <n v="72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4"/>
    <x v="0"/>
    <x v="5"/>
    <x v="0"/>
    <n v="0.33345403190678602"/>
    <n v="2E+20"/>
    <n v="0"/>
    <n v="11.1525926941608"/>
    <n v="72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5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5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5"/>
    <x v="0"/>
    <x v="2"/>
    <x v="0"/>
    <n v="11.8489429630408"/>
    <n v="2E+20"/>
    <n v="1.3540790133902201E-2"/>
    <n v="54.9888857993203"/>
    <n v="89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5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5"/>
    <x v="0"/>
    <x v="4"/>
    <x v="0"/>
    <n v="11.482911019333899"/>
    <n v="2E+20"/>
    <n v="1.3540790133902201E-2"/>
    <n v="54.9888857993203"/>
    <n v="89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5"/>
    <x v="0"/>
    <x v="5"/>
    <x v="0"/>
    <n v="0.36603194370688502"/>
    <n v="2E+20"/>
    <n v="0"/>
    <n v="10.6440123510615"/>
    <n v="89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6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6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6"/>
    <x v="0"/>
    <x v="2"/>
    <x v="0"/>
    <n v="13.853980397843401"/>
    <n v="2E+20"/>
    <n v="9.4131072057734898E-4"/>
    <n v="58.3407342307069"/>
    <n v="8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6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6"/>
    <x v="0"/>
    <x v="4"/>
    <x v="0"/>
    <n v="12.5897333212275"/>
    <n v="2E+20"/>
    <n v="9.4131072057734898E-4"/>
    <n v="58.3407342307069"/>
    <n v="8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6"/>
    <x v="0"/>
    <x v="5"/>
    <x v="0"/>
    <n v="1.2642470766159299"/>
    <n v="2E+20"/>
    <n v="0"/>
    <n v="19.7178390931339"/>
    <n v="8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7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7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7"/>
    <x v="0"/>
    <x v="2"/>
    <x v="0"/>
    <n v="15.341045771128099"/>
    <n v="2E+20"/>
    <n v="0.27298007764648002"/>
    <n v="90.806737428508796"/>
    <n v="89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7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7"/>
    <x v="0"/>
    <x v="4"/>
    <x v="0"/>
    <n v="13.6733710209132"/>
    <n v="2E+20"/>
    <n v="0.27298007764648002"/>
    <n v="90.806737428508796"/>
    <n v="89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7"/>
    <x v="0"/>
    <x v="5"/>
    <x v="0"/>
    <n v="1.6676747502148499"/>
    <n v="2E+20"/>
    <n v="0"/>
    <n v="16.985271178518499"/>
    <n v="89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8"/>
    <x v="0"/>
    <x v="0"/>
    <x v="0"/>
    <n v="0"/>
    <n v="2E+20"/>
    <n v="0"/>
    <n v="0"/>
    <n v="101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8"/>
    <x v="0"/>
    <x v="1"/>
    <x v="0"/>
    <n v="0"/>
    <n v="2E+20"/>
    <n v="0"/>
    <n v="0"/>
    <n v="101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8"/>
    <x v="0"/>
    <x v="2"/>
    <x v="0"/>
    <n v="14.172040833230801"/>
    <n v="2E+20"/>
    <n v="4.8086891328011899E-3"/>
    <n v="95.088666162328593"/>
    <n v="101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8"/>
    <x v="0"/>
    <x v="3"/>
    <x v="0"/>
    <n v="0"/>
    <n v="2E+20"/>
    <n v="0"/>
    <n v="0"/>
    <n v="101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8"/>
    <x v="0"/>
    <x v="4"/>
    <x v="0"/>
    <n v="12.569992910764901"/>
    <n v="2E+20"/>
    <n v="4.8086891328011899E-3"/>
    <n v="95.088666162328593"/>
    <n v="101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8"/>
    <x v="0"/>
    <x v="5"/>
    <x v="0"/>
    <n v="1.6020479224658799"/>
    <n v="2E+20"/>
    <n v="0"/>
    <n v="17.624146866448701"/>
    <n v="101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29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9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9"/>
    <x v="0"/>
    <x v="2"/>
    <x v="0"/>
    <n v="12.922566545815201"/>
    <n v="2E+20"/>
    <n v="5.4514153397121803E-2"/>
    <n v="82.756412132440701"/>
    <n v="87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29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29"/>
    <x v="0"/>
    <x v="4"/>
    <x v="0"/>
    <n v="12.089327644120001"/>
    <n v="2E+20"/>
    <n v="5.4514153397121803E-2"/>
    <n v="82.756412132440701"/>
    <n v="87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29"/>
    <x v="0"/>
    <x v="5"/>
    <x v="0"/>
    <n v="0.83323890169520498"/>
    <n v="2E+20"/>
    <n v="0"/>
    <n v="12.260516872417901"/>
    <n v="87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30"/>
    <x v="0"/>
    <x v="0"/>
    <x v="0"/>
    <n v="0"/>
    <n v="2E+20"/>
    <n v="0"/>
    <n v="0"/>
    <n v="103"/>
    <s v="Unnamed ProjectCustomerNVA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0"/>
    <x v="0"/>
    <x v="1"/>
    <x v="0"/>
    <n v="0"/>
    <n v="2E+20"/>
    <n v="0"/>
    <n v="0"/>
    <n v="103"/>
    <s v="Unnamed ProjectCustomerOth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0"/>
    <x v="0"/>
    <x v="2"/>
    <x v="0"/>
    <n v="15.1514829989222"/>
    <n v="2E+20"/>
    <n v="9.6221764645349595E-2"/>
    <n v="59.541203464802997"/>
    <n v="103"/>
    <s v="Unnamed ProjectCustomerTotal TimeEntity"/>
    <n v="30"/>
    <n v="12.984332962598765"/>
    <n v="1.4023856736937319"/>
    <n v="0.95"/>
    <n v="0.52365941665888183"/>
    <n v="10.6246746257639"/>
    <n v="15.341045771128099"/>
    <n v="9.4131072057734898E-4"/>
    <n v="100.05428865514899"/>
    <n v="87.733333333333334"/>
    <n v="0.52365941665888183"/>
    <n v="30"/>
    <n v="1"/>
  </r>
  <r>
    <x v="0"/>
    <s v="2025-02-11 23:41:02"/>
    <n v="30"/>
    <x v="0"/>
    <x v="3"/>
    <x v="0"/>
    <n v="0"/>
    <n v="2E+20"/>
    <n v="0"/>
    <n v="0"/>
    <n v="103"/>
    <s v="Unnamed ProjectCustomerTransfer TimeEntity"/>
    <n v="30"/>
    <n v="0"/>
    <n v="0"/>
    <n v="0.95"/>
    <n v="0"/>
    <n v="0"/>
    <n v="0"/>
    <n v="0"/>
    <n v="0"/>
    <n v="87.733333333333334"/>
    <n v="0"/>
    <n v="30"/>
    <n v="1"/>
  </r>
  <r>
    <x v="0"/>
    <s v="2025-02-11 23:41:02"/>
    <n v="30"/>
    <x v="0"/>
    <x v="4"/>
    <x v="0"/>
    <n v="12.375400253173799"/>
    <n v="2E+20"/>
    <n v="9.6221764645349595E-2"/>
    <n v="59.541203464802997"/>
    <n v="103"/>
    <s v="Unnamed ProjectCustomerVA TimeEntity"/>
    <n v="30"/>
    <n v="12.225770691964419"/>
    <n v="1.1365708300373627"/>
    <n v="0.95"/>
    <n v="0.42440252279619867"/>
    <n v="10.0620704619175"/>
    <n v="14.0574701542323"/>
    <n v="9.4131072057734898E-4"/>
    <n v="100.05428865514899"/>
    <n v="87.733333333333334"/>
    <n v="0.42440252279619867"/>
    <n v="30"/>
    <n v="1"/>
  </r>
  <r>
    <x v="0"/>
    <s v="2025-02-11 23:41:02"/>
    <n v="30"/>
    <x v="0"/>
    <x v="5"/>
    <x v="0"/>
    <n v="2.7760827457484498"/>
    <n v="2E+20"/>
    <n v="0"/>
    <n v="22.4834266125686"/>
    <n v="103"/>
    <s v="Unnamed ProjectCustomerWait TimeEntity"/>
    <n v="30"/>
    <n v="0.75856227063433712"/>
    <n v="0.56545805410039296"/>
    <n v="0.95"/>
    <n v="0.21114550748038041"/>
    <n v="0.124179358845"/>
    <n v="2.7760827457484498"/>
    <n v="0"/>
    <n v="22.4834266125686"/>
    <n v="87.733333333333334"/>
    <n v="0.21114550748038041"/>
    <n v="30"/>
    <n v="1"/>
  </r>
  <r>
    <x v="0"/>
    <s v="2025-02-11 23:41:02"/>
    <n v="1"/>
    <x v="1"/>
    <x v="6"/>
    <x v="1"/>
    <n v="0.68496861392058705"/>
    <n v="2E+20"/>
    <n v="0"/>
    <n v="10.426945537697"/>
    <n v="78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"/>
    <x v="1"/>
    <x v="6"/>
    <x v="1"/>
    <n v="0.33971825738321898"/>
    <n v="2E+20"/>
    <n v="0"/>
    <n v="7.89659527763021"/>
    <n v="100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3"/>
    <x v="1"/>
    <x v="6"/>
    <x v="1"/>
    <n v="0.70208932645946398"/>
    <n v="2E+20"/>
    <n v="0"/>
    <n v="9.6492838871683393"/>
    <n v="106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4"/>
    <x v="1"/>
    <x v="6"/>
    <x v="1"/>
    <n v="0.32452966904358599"/>
    <n v="2E+20"/>
    <n v="0"/>
    <n v="12.1275292131703"/>
    <n v="93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5"/>
    <x v="1"/>
    <x v="6"/>
    <x v="1"/>
    <n v="0.35782269161709901"/>
    <n v="2E+20"/>
    <n v="0"/>
    <n v="8.6621539550380895"/>
    <n v="96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6"/>
    <x v="1"/>
    <x v="6"/>
    <x v="1"/>
    <n v="0.60758591532467099"/>
    <n v="2E+20"/>
    <n v="0"/>
    <n v="9.0480064126410902"/>
    <n v="95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7"/>
    <x v="1"/>
    <x v="6"/>
    <x v="1"/>
    <n v="0.72292026846681501"/>
    <n v="2E+20"/>
    <n v="0"/>
    <n v="10.4234576207333"/>
    <n v="86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8"/>
    <x v="1"/>
    <x v="6"/>
    <x v="1"/>
    <n v="0.37124446883849599"/>
    <n v="2E+20"/>
    <n v="0"/>
    <n v="4.5915202688688597"/>
    <n v="75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9"/>
    <x v="1"/>
    <x v="6"/>
    <x v="1"/>
    <n v="0.258820996847406"/>
    <n v="2E+20"/>
    <n v="0"/>
    <n v="5.4554364872012702"/>
    <n v="87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0"/>
    <x v="1"/>
    <x v="6"/>
    <x v="1"/>
    <n v="0.56260416384642897"/>
    <n v="2E+20"/>
    <n v="0"/>
    <n v="11.921911796305199"/>
    <n v="81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1"/>
    <x v="1"/>
    <x v="6"/>
    <x v="1"/>
    <n v="0.21499097679529799"/>
    <n v="2E+20"/>
    <n v="0"/>
    <n v="6.3288777664303097"/>
    <n v="94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2"/>
    <x v="1"/>
    <x v="6"/>
    <x v="1"/>
    <n v="1.42551776187853"/>
    <n v="2E+20"/>
    <n v="0"/>
    <n v="15.9647053158888"/>
    <n v="84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3"/>
    <x v="1"/>
    <x v="6"/>
    <x v="1"/>
    <n v="0.68358950326827905"/>
    <n v="2E+20"/>
    <n v="0"/>
    <n v="8.30795862351812"/>
    <n v="92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4"/>
    <x v="1"/>
    <x v="6"/>
    <x v="1"/>
    <n v="0.21240390687792399"/>
    <n v="2E+20"/>
    <n v="0"/>
    <n v="6.0722590443829203"/>
    <n v="93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5"/>
    <x v="1"/>
    <x v="6"/>
    <x v="1"/>
    <n v="0.375874923302423"/>
    <n v="2E+20"/>
    <n v="0"/>
    <n v="7.1720455617736398"/>
    <n v="83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6"/>
    <x v="1"/>
    <x v="6"/>
    <x v="1"/>
    <n v="1.10673844856951"/>
    <n v="2E+20"/>
    <n v="0"/>
    <n v="13.481763891670999"/>
    <n v="89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7"/>
    <x v="1"/>
    <x v="6"/>
    <x v="1"/>
    <n v="0.51132465599197297"/>
    <n v="2E+20"/>
    <n v="0"/>
    <n v="9.5589078129674991"/>
    <n v="71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8"/>
    <x v="1"/>
    <x v="6"/>
    <x v="1"/>
    <n v="0.90734023251005103"/>
    <n v="2E+20"/>
    <n v="0"/>
    <n v="9.5094724996912596"/>
    <n v="101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19"/>
    <x v="1"/>
    <x v="6"/>
    <x v="1"/>
    <n v="0.95856481347144895"/>
    <n v="2E+20"/>
    <n v="0"/>
    <n v="12.111684533992401"/>
    <n v="85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0"/>
    <x v="1"/>
    <x v="6"/>
    <x v="1"/>
    <n v="0.121257491578059"/>
    <n v="2E+20"/>
    <n v="0"/>
    <n v="4.4094138780946004"/>
    <n v="85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1"/>
    <x v="1"/>
    <x v="6"/>
    <x v="1"/>
    <n v="1.1331008423998901"/>
    <n v="2E+20"/>
    <n v="0"/>
    <n v="21.369977742802099"/>
    <n v="97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2"/>
    <x v="1"/>
    <x v="6"/>
    <x v="1"/>
    <n v="0.41345972467929598"/>
    <n v="2E+20"/>
    <n v="0"/>
    <n v="14.5452105665563"/>
    <n v="83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3"/>
    <x v="1"/>
    <x v="6"/>
    <x v="1"/>
    <n v="0.76437890993910496"/>
    <n v="2E+20"/>
    <n v="0"/>
    <n v="14.1886295568868"/>
    <n v="92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4"/>
    <x v="1"/>
    <x v="6"/>
    <x v="1"/>
    <n v="0.35753770288336201"/>
    <n v="2E+20"/>
    <n v="0"/>
    <n v="11.1525926941608"/>
    <n v="76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5"/>
    <x v="1"/>
    <x v="6"/>
    <x v="1"/>
    <n v="0.36196492211014197"/>
    <n v="2E+20"/>
    <n v="0"/>
    <n v="10.6440123510615"/>
    <n v="90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6"/>
    <x v="1"/>
    <x v="6"/>
    <x v="1"/>
    <n v="1.2345000865779101"/>
    <n v="2E+20"/>
    <n v="0"/>
    <n v="19.7178390931339"/>
    <n v="85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7"/>
    <x v="1"/>
    <x v="6"/>
    <x v="1"/>
    <n v="1.67230788399821"/>
    <n v="2E+20"/>
    <n v="0"/>
    <n v="16.985271178518499"/>
    <n v="93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8"/>
    <x v="1"/>
    <x v="6"/>
    <x v="1"/>
    <n v="1.55583500162551"/>
    <n v="2E+20"/>
    <n v="0"/>
    <n v="17.624146866448701"/>
    <n v="104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29"/>
    <x v="1"/>
    <x v="6"/>
    <x v="1"/>
    <n v="0.81451443199419005"/>
    <n v="2E+20"/>
    <n v="0"/>
    <n v="12.260516872417901"/>
    <n v="89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  <r>
    <x v="0"/>
    <s v="2025-02-11 23:41:02"/>
    <n v="30"/>
    <x v="1"/>
    <x v="6"/>
    <x v="1"/>
    <n v="2.7346455153801599"/>
    <n v="2E+20"/>
    <n v="0"/>
    <n v="22.4834266125686"/>
    <n v="107"/>
    <s v="Unnamed ProjectService Process.QueueWaiting TimeQueue"/>
    <n v="30"/>
    <n v="0.74973840358596811"/>
    <n v="0.55760719871730724"/>
    <n v="0.95"/>
    <n v="0.20821394990153586"/>
    <n v="0.121257491578059"/>
    <n v="2.7346455153801599"/>
    <n v="0"/>
    <n v="22.4834266125686"/>
    <n v="89.666666666666671"/>
    <n v="0.20821394990153586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1:02"/>
    <n v="1"/>
    <x v="0"/>
    <x v="0"/>
    <x v="0"/>
    <n v="78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"/>
    <x v="1"/>
    <x v="1"/>
    <x v="0"/>
    <n v="74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"/>
    <x v="2"/>
    <x v="2"/>
    <x v="1"/>
    <n v="78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"/>
    <x v="3"/>
    <x v="3"/>
    <x v="1"/>
    <n v="0.493836289928111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"/>
    <x v="4"/>
    <x v="1"/>
    <x v="2"/>
    <n v="74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"/>
    <x v="0"/>
    <x v="0"/>
    <x v="0"/>
    <n v="100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"/>
    <x v="1"/>
    <x v="1"/>
    <x v="0"/>
    <n v="99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"/>
    <x v="2"/>
    <x v="2"/>
    <x v="1"/>
    <n v="100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"/>
    <x v="3"/>
    <x v="3"/>
    <x v="1"/>
    <n v="0.589668839321720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"/>
    <x v="4"/>
    <x v="1"/>
    <x v="2"/>
    <n v="99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3"/>
    <x v="0"/>
    <x v="0"/>
    <x v="0"/>
    <n v="106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3"/>
    <x v="1"/>
    <x v="1"/>
    <x v="0"/>
    <n v="105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3"/>
    <x v="2"/>
    <x v="2"/>
    <x v="1"/>
    <n v="106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3"/>
    <x v="3"/>
    <x v="3"/>
    <x v="1"/>
    <n v="0.597488831346329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3"/>
    <x v="4"/>
    <x v="1"/>
    <x v="2"/>
    <n v="105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4"/>
    <x v="0"/>
    <x v="0"/>
    <x v="0"/>
    <n v="93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4"/>
    <x v="1"/>
    <x v="1"/>
    <x v="0"/>
    <n v="89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4"/>
    <x v="2"/>
    <x v="2"/>
    <x v="1"/>
    <n v="93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4"/>
    <x v="3"/>
    <x v="3"/>
    <x v="1"/>
    <n v="0.51132891701139904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4"/>
    <x v="4"/>
    <x v="1"/>
    <x v="2"/>
    <n v="89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5"/>
    <x v="0"/>
    <x v="0"/>
    <x v="0"/>
    <n v="96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5"/>
    <x v="1"/>
    <x v="1"/>
    <x v="0"/>
    <n v="96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5"/>
    <x v="2"/>
    <x v="2"/>
    <x v="1"/>
    <n v="96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5"/>
    <x v="3"/>
    <x v="3"/>
    <x v="1"/>
    <n v="0.466455528842833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5"/>
    <x v="4"/>
    <x v="1"/>
    <x v="2"/>
    <n v="96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6"/>
    <x v="0"/>
    <x v="0"/>
    <x v="0"/>
    <n v="95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6"/>
    <x v="1"/>
    <x v="1"/>
    <x v="0"/>
    <n v="95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6"/>
    <x v="2"/>
    <x v="2"/>
    <x v="1"/>
    <n v="95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6"/>
    <x v="3"/>
    <x v="3"/>
    <x v="1"/>
    <n v="0.559074589180768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6"/>
    <x v="4"/>
    <x v="1"/>
    <x v="2"/>
    <n v="95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7"/>
    <x v="0"/>
    <x v="0"/>
    <x v="0"/>
    <n v="86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7"/>
    <x v="1"/>
    <x v="1"/>
    <x v="0"/>
    <n v="86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7"/>
    <x v="2"/>
    <x v="2"/>
    <x v="1"/>
    <n v="86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7"/>
    <x v="3"/>
    <x v="3"/>
    <x v="1"/>
    <n v="0.54170870617565103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7"/>
    <x v="4"/>
    <x v="1"/>
    <x v="2"/>
    <n v="86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8"/>
    <x v="0"/>
    <x v="0"/>
    <x v="0"/>
    <n v="75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8"/>
    <x v="1"/>
    <x v="1"/>
    <x v="0"/>
    <n v="7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8"/>
    <x v="2"/>
    <x v="2"/>
    <x v="1"/>
    <n v="75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8"/>
    <x v="3"/>
    <x v="3"/>
    <x v="1"/>
    <n v="0.479369814636957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8"/>
    <x v="4"/>
    <x v="1"/>
    <x v="2"/>
    <n v="73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9"/>
    <x v="0"/>
    <x v="0"/>
    <x v="0"/>
    <n v="87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9"/>
    <x v="1"/>
    <x v="1"/>
    <x v="0"/>
    <n v="85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9"/>
    <x v="2"/>
    <x v="2"/>
    <x v="1"/>
    <n v="87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9"/>
    <x v="3"/>
    <x v="3"/>
    <x v="1"/>
    <n v="0.438208797736541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9"/>
    <x v="4"/>
    <x v="1"/>
    <x v="2"/>
    <n v="85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0"/>
    <x v="0"/>
    <x v="0"/>
    <x v="0"/>
    <n v="81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0"/>
    <x v="1"/>
    <x v="1"/>
    <x v="0"/>
    <n v="81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0"/>
    <x v="2"/>
    <x v="2"/>
    <x v="1"/>
    <n v="81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0"/>
    <x v="3"/>
    <x v="3"/>
    <x v="1"/>
    <n v="0.377327642321905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0"/>
    <x v="4"/>
    <x v="1"/>
    <x v="2"/>
    <n v="81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1"/>
    <x v="0"/>
    <x v="0"/>
    <x v="0"/>
    <n v="94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1"/>
    <x v="1"/>
    <x v="1"/>
    <x v="0"/>
    <n v="90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1"/>
    <x v="2"/>
    <x v="2"/>
    <x v="1"/>
    <n v="94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1"/>
    <x v="3"/>
    <x v="3"/>
    <x v="1"/>
    <n v="0.470687915467491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1"/>
    <x v="4"/>
    <x v="1"/>
    <x v="2"/>
    <n v="90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2"/>
    <x v="0"/>
    <x v="0"/>
    <x v="0"/>
    <n v="84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2"/>
    <x v="1"/>
    <x v="1"/>
    <x v="0"/>
    <n v="8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2"/>
    <x v="2"/>
    <x v="2"/>
    <x v="1"/>
    <n v="84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2"/>
    <x v="3"/>
    <x v="3"/>
    <x v="1"/>
    <n v="0.474909675601918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2"/>
    <x v="4"/>
    <x v="1"/>
    <x v="2"/>
    <n v="83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3"/>
    <x v="0"/>
    <x v="0"/>
    <x v="0"/>
    <n v="92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3"/>
    <x v="1"/>
    <x v="1"/>
    <x v="0"/>
    <n v="91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3"/>
    <x v="2"/>
    <x v="2"/>
    <x v="1"/>
    <n v="92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3"/>
    <x v="3"/>
    <x v="3"/>
    <x v="1"/>
    <n v="0.531137679397923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3"/>
    <x v="4"/>
    <x v="1"/>
    <x v="2"/>
    <n v="91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4"/>
    <x v="0"/>
    <x v="0"/>
    <x v="0"/>
    <n v="93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4"/>
    <x v="1"/>
    <x v="1"/>
    <x v="0"/>
    <n v="92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4"/>
    <x v="2"/>
    <x v="2"/>
    <x v="1"/>
    <n v="93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4"/>
    <x v="3"/>
    <x v="3"/>
    <x v="1"/>
    <n v="0.487221593161166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4"/>
    <x v="4"/>
    <x v="1"/>
    <x v="2"/>
    <n v="92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5"/>
    <x v="0"/>
    <x v="0"/>
    <x v="0"/>
    <n v="83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5"/>
    <x v="1"/>
    <x v="1"/>
    <x v="0"/>
    <n v="8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5"/>
    <x v="2"/>
    <x v="2"/>
    <x v="1"/>
    <n v="83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5"/>
    <x v="3"/>
    <x v="3"/>
    <x v="1"/>
    <n v="0.44317826667955201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5"/>
    <x v="4"/>
    <x v="1"/>
    <x v="2"/>
    <n v="83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6"/>
    <x v="0"/>
    <x v="0"/>
    <x v="0"/>
    <n v="89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6"/>
    <x v="1"/>
    <x v="1"/>
    <x v="0"/>
    <n v="88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6"/>
    <x v="2"/>
    <x v="2"/>
    <x v="1"/>
    <n v="89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6"/>
    <x v="3"/>
    <x v="3"/>
    <x v="1"/>
    <n v="0.59221413990377503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6"/>
    <x v="4"/>
    <x v="1"/>
    <x v="2"/>
    <n v="88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7"/>
    <x v="0"/>
    <x v="0"/>
    <x v="0"/>
    <n v="71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7"/>
    <x v="1"/>
    <x v="1"/>
    <x v="0"/>
    <n v="68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7"/>
    <x v="2"/>
    <x v="2"/>
    <x v="1"/>
    <n v="71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7"/>
    <x v="3"/>
    <x v="3"/>
    <x v="1"/>
    <n v="0.357808382069088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7"/>
    <x v="4"/>
    <x v="1"/>
    <x v="2"/>
    <n v="68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8"/>
    <x v="0"/>
    <x v="0"/>
    <x v="0"/>
    <n v="101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8"/>
    <x v="1"/>
    <x v="1"/>
    <x v="0"/>
    <n v="98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8"/>
    <x v="2"/>
    <x v="2"/>
    <x v="1"/>
    <n v="101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8"/>
    <x v="3"/>
    <x v="3"/>
    <x v="1"/>
    <n v="0.62716275812281796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8"/>
    <x v="4"/>
    <x v="1"/>
    <x v="2"/>
    <n v="98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19"/>
    <x v="0"/>
    <x v="0"/>
    <x v="0"/>
    <n v="85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19"/>
    <x v="1"/>
    <x v="1"/>
    <x v="0"/>
    <n v="84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19"/>
    <x v="2"/>
    <x v="2"/>
    <x v="1"/>
    <n v="85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19"/>
    <x v="3"/>
    <x v="3"/>
    <x v="1"/>
    <n v="0.51830461002166195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19"/>
    <x v="4"/>
    <x v="1"/>
    <x v="2"/>
    <n v="84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0"/>
    <x v="0"/>
    <x v="0"/>
    <x v="0"/>
    <n v="85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0"/>
    <x v="1"/>
    <x v="1"/>
    <x v="0"/>
    <n v="8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0"/>
    <x v="2"/>
    <x v="2"/>
    <x v="1"/>
    <n v="85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0"/>
    <x v="3"/>
    <x v="3"/>
    <x v="1"/>
    <n v="0.44045702541822301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0"/>
    <x v="4"/>
    <x v="1"/>
    <x v="2"/>
    <n v="83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1"/>
    <x v="0"/>
    <x v="0"/>
    <x v="0"/>
    <n v="97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1"/>
    <x v="1"/>
    <x v="1"/>
    <x v="0"/>
    <n v="95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1"/>
    <x v="2"/>
    <x v="2"/>
    <x v="1"/>
    <n v="97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1"/>
    <x v="3"/>
    <x v="3"/>
    <x v="1"/>
    <n v="0.469781128249090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1"/>
    <x v="4"/>
    <x v="1"/>
    <x v="2"/>
    <n v="95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2"/>
    <x v="0"/>
    <x v="0"/>
    <x v="0"/>
    <n v="83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2"/>
    <x v="1"/>
    <x v="1"/>
    <x v="0"/>
    <n v="79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2"/>
    <x v="2"/>
    <x v="2"/>
    <x v="1"/>
    <n v="83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2"/>
    <x v="3"/>
    <x v="3"/>
    <x v="1"/>
    <n v="0.52601584729403195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2"/>
    <x v="4"/>
    <x v="1"/>
    <x v="2"/>
    <n v="79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3"/>
    <x v="0"/>
    <x v="0"/>
    <x v="0"/>
    <n v="92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3"/>
    <x v="1"/>
    <x v="1"/>
    <x v="0"/>
    <n v="91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3"/>
    <x v="2"/>
    <x v="2"/>
    <x v="1"/>
    <n v="92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3"/>
    <x v="3"/>
    <x v="3"/>
    <x v="1"/>
    <n v="0.48370842860188801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3"/>
    <x v="4"/>
    <x v="1"/>
    <x v="2"/>
    <n v="91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4"/>
    <x v="0"/>
    <x v="0"/>
    <x v="0"/>
    <n v="76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4"/>
    <x v="1"/>
    <x v="1"/>
    <x v="0"/>
    <n v="72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4"/>
    <x v="2"/>
    <x v="2"/>
    <x v="1"/>
    <n v="76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4"/>
    <x v="3"/>
    <x v="3"/>
    <x v="1"/>
    <n v="0.444555706023699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4"/>
    <x v="4"/>
    <x v="1"/>
    <x v="2"/>
    <n v="72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5"/>
    <x v="0"/>
    <x v="0"/>
    <x v="0"/>
    <n v="90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5"/>
    <x v="1"/>
    <x v="1"/>
    <x v="0"/>
    <n v="89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5"/>
    <x v="2"/>
    <x v="2"/>
    <x v="1"/>
    <n v="90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5"/>
    <x v="3"/>
    <x v="3"/>
    <x v="1"/>
    <n v="0.473962007869982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5"/>
    <x v="4"/>
    <x v="1"/>
    <x v="2"/>
    <n v="89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6"/>
    <x v="0"/>
    <x v="0"/>
    <x v="0"/>
    <n v="85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6"/>
    <x v="1"/>
    <x v="1"/>
    <x v="0"/>
    <n v="8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6"/>
    <x v="2"/>
    <x v="2"/>
    <x v="1"/>
    <n v="85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6"/>
    <x v="3"/>
    <x v="3"/>
    <x v="1"/>
    <n v="0.486083506917881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6"/>
    <x v="4"/>
    <x v="1"/>
    <x v="2"/>
    <n v="83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7"/>
    <x v="0"/>
    <x v="0"/>
    <x v="0"/>
    <n v="94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7"/>
    <x v="1"/>
    <x v="1"/>
    <x v="0"/>
    <n v="89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7"/>
    <x v="2"/>
    <x v="2"/>
    <x v="1"/>
    <n v="93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7"/>
    <x v="3"/>
    <x v="3"/>
    <x v="1"/>
    <n v="0.58598289035519502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7"/>
    <x v="4"/>
    <x v="1"/>
    <x v="2"/>
    <n v="89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8"/>
    <x v="0"/>
    <x v="0"/>
    <x v="0"/>
    <n v="104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8"/>
    <x v="1"/>
    <x v="1"/>
    <x v="0"/>
    <n v="101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8"/>
    <x v="2"/>
    <x v="2"/>
    <x v="1"/>
    <n v="104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8"/>
    <x v="3"/>
    <x v="3"/>
    <x v="1"/>
    <n v="0.59321522114103298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8"/>
    <x v="4"/>
    <x v="1"/>
    <x v="2"/>
    <n v="101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29"/>
    <x v="0"/>
    <x v="0"/>
    <x v="0"/>
    <n v="89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29"/>
    <x v="1"/>
    <x v="1"/>
    <x v="0"/>
    <n v="87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29"/>
    <x v="2"/>
    <x v="2"/>
    <x v="1"/>
    <n v="89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29"/>
    <x v="3"/>
    <x v="3"/>
    <x v="1"/>
    <n v="0.50685598343326299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29"/>
    <x v="4"/>
    <x v="1"/>
    <x v="2"/>
    <n v="87"/>
    <n v="0"/>
    <s v="Unnamed ProjectSystem.NumberOutNumber OutSystem"/>
    <n v="30"/>
    <n v="87.733333333333334"/>
    <n v="9.1761810602545744"/>
    <n v="0.95"/>
    <n v="3.426442319902506"/>
    <n v="68"/>
    <n v="105"/>
  </r>
  <r>
    <x v="0"/>
    <s v="2025-02-11 23:41:02"/>
    <n v="30"/>
    <x v="0"/>
    <x v="0"/>
    <x v="0"/>
    <n v="107"/>
    <n v="0"/>
    <s v="Unnamed ProjectCustomer.NumberInNumber InEntity"/>
    <n v="30"/>
    <n v="89.7"/>
    <n v="9.0407125138796811"/>
    <n v="0.95"/>
    <n v="3.3758575333484222"/>
    <n v="71"/>
    <n v="107"/>
  </r>
  <r>
    <x v="0"/>
    <s v="2025-02-11 23:41:02"/>
    <n v="30"/>
    <x v="1"/>
    <x v="1"/>
    <x v="0"/>
    <n v="103"/>
    <n v="0"/>
    <s v="Unnamed ProjectCustomer.NumberOutNumber OutEntity"/>
    <n v="30"/>
    <n v="87.733333333333334"/>
    <n v="9.1761810602545744"/>
    <n v="0.95"/>
    <n v="3.426442319902506"/>
    <n v="68"/>
    <n v="105"/>
  </r>
  <r>
    <x v="0"/>
    <s v="2025-02-11 23:41:02"/>
    <n v="30"/>
    <x v="2"/>
    <x v="2"/>
    <x v="1"/>
    <n v="107"/>
    <n v="0"/>
    <s v="Unnamed ProjectService Counter.NumberSeizedTotal Number SeizedResource"/>
    <n v="30"/>
    <n v="89.666666666666671"/>
    <n v="9.0261433828527267"/>
    <n v="0.95"/>
    <n v="3.3704173304157248"/>
    <n v="71"/>
    <n v="107"/>
  </r>
  <r>
    <x v="0"/>
    <s v="2025-02-11 23:41:02"/>
    <n v="30"/>
    <x v="3"/>
    <x v="3"/>
    <x v="1"/>
    <n v="0.60796694091509296"/>
    <n v="0"/>
    <s v="Unnamed ProjectService Counter.ScheduledUtilizationScheduled UtilizationResource"/>
    <n v="30"/>
    <n v="0.50585592210489994"/>
    <n v="6.7092108241474532E-2"/>
    <n v="0.95"/>
    <n v="2.5052604945405288E-2"/>
    <n v="0.35780838206908899"/>
    <n v="0.62716275812281796"/>
  </r>
  <r>
    <x v="0"/>
    <s v="2025-02-11 23:41:02"/>
    <n v="30"/>
    <x v="4"/>
    <x v="1"/>
    <x v="2"/>
    <n v="103"/>
    <n v="0"/>
    <s v="Unnamed ProjectSystem.NumberOutNumber OutSystem"/>
    <n v="30"/>
    <n v="87.733333333333334"/>
    <n v="9.1761810602545744"/>
    <n v="0.95"/>
    <n v="3.426442319902506"/>
    <n v="68"/>
    <n v="10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1:02"/>
    <n v="1"/>
    <x v="0"/>
    <x v="0"/>
    <x v="0"/>
    <n v="74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"/>
    <x v="1"/>
    <x v="0"/>
    <x v="0"/>
    <n v="4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"/>
    <x v="0"/>
    <x v="0"/>
    <x v="0"/>
    <n v="99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3"/>
    <x v="0"/>
    <x v="0"/>
    <x v="0"/>
    <n v="105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3"/>
    <x v="1"/>
    <x v="0"/>
    <x v="0"/>
    <n v="2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4"/>
    <x v="0"/>
    <x v="0"/>
    <x v="0"/>
    <n v="89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4"/>
    <x v="1"/>
    <x v="0"/>
    <x v="0"/>
    <n v="2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5"/>
    <x v="0"/>
    <x v="0"/>
    <x v="0"/>
    <n v="96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5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6"/>
    <x v="0"/>
    <x v="0"/>
    <x v="0"/>
    <n v="95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6"/>
    <x v="1"/>
    <x v="0"/>
    <x v="0"/>
    <n v="5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7"/>
    <x v="0"/>
    <x v="0"/>
    <x v="0"/>
    <n v="86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7"/>
    <x v="1"/>
    <x v="0"/>
    <x v="0"/>
    <n v="5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8"/>
    <x v="0"/>
    <x v="0"/>
    <x v="0"/>
    <n v="7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8"/>
    <x v="1"/>
    <x v="0"/>
    <x v="0"/>
    <n v="0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9"/>
    <x v="0"/>
    <x v="0"/>
    <x v="0"/>
    <n v="85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9"/>
    <x v="1"/>
    <x v="0"/>
    <x v="0"/>
    <n v="0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0"/>
    <x v="0"/>
    <x v="0"/>
    <x v="0"/>
    <n v="81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0"/>
    <x v="1"/>
    <x v="0"/>
    <x v="0"/>
    <n v="3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1"/>
    <x v="0"/>
    <x v="0"/>
    <x v="0"/>
    <n v="90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1"/>
    <x v="1"/>
    <x v="0"/>
    <x v="0"/>
    <n v="2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2"/>
    <x v="0"/>
    <x v="0"/>
    <x v="0"/>
    <n v="8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2"/>
    <x v="1"/>
    <x v="0"/>
    <x v="0"/>
    <n v="9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3"/>
    <x v="0"/>
    <x v="0"/>
    <x v="0"/>
    <n v="91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3"/>
    <x v="1"/>
    <x v="0"/>
    <x v="0"/>
    <n v="2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4"/>
    <x v="0"/>
    <x v="0"/>
    <x v="0"/>
    <n v="92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4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5"/>
    <x v="0"/>
    <x v="0"/>
    <x v="0"/>
    <n v="8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5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6"/>
    <x v="0"/>
    <x v="0"/>
    <x v="0"/>
    <n v="88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6"/>
    <x v="1"/>
    <x v="0"/>
    <x v="0"/>
    <n v="8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7"/>
    <x v="0"/>
    <x v="0"/>
    <x v="0"/>
    <n v="68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7"/>
    <x v="1"/>
    <x v="0"/>
    <x v="0"/>
    <n v="2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8"/>
    <x v="0"/>
    <x v="0"/>
    <x v="0"/>
    <n v="98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8"/>
    <x v="1"/>
    <x v="0"/>
    <x v="0"/>
    <n v="5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19"/>
    <x v="0"/>
    <x v="0"/>
    <x v="0"/>
    <n v="84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19"/>
    <x v="1"/>
    <x v="0"/>
    <x v="0"/>
    <n v="6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0"/>
    <x v="0"/>
    <x v="0"/>
    <x v="0"/>
    <n v="8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0"/>
    <x v="1"/>
    <x v="0"/>
    <x v="0"/>
    <n v="0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1"/>
    <x v="0"/>
    <x v="0"/>
    <x v="0"/>
    <n v="95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1"/>
    <x v="1"/>
    <x v="0"/>
    <x v="0"/>
    <n v="6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2"/>
    <x v="0"/>
    <x v="0"/>
    <x v="0"/>
    <n v="79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2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3"/>
    <x v="0"/>
    <x v="0"/>
    <x v="0"/>
    <n v="91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3"/>
    <x v="1"/>
    <x v="0"/>
    <x v="0"/>
    <n v="5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4"/>
    <x v="0"/>
    <x v="0"/>
    <x v="0"/>
    <n v="72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4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5"/>
    <x v="0"/>
    <x v="0"/>
    <x v="0"/>
    <n v="89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5"/>
    <x v="1"/>
    <x v="0"/>
    <x v="0"/>
    <n v="1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6"/>
    <x v="0"/>
    <x v="0"/>
    <x v="0"/>
    <n v="8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6"/>
    <x v="1"/>
    <x v="0"/>
    <x v="0"/>
    <n v="6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7"/>
    <x v="0"/>
    <x v="0"/>
    <x v="0"/>
    <n v="89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7"/>
    <x v="1"/>
    <x v="0"/>
    <x v="0"/>
    <n v="9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8"/>
    <x v="0"/>
    <x v="0"/>
    <x v="0"/>
    <n v="101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8"/>
    <x v="1"/>
    <x v="0"/>
    <x v="0"/>
    <n v="10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29"/>
    <x v="0"/>
    <x v="0"/>
    <x v="0"/>
    <n v="87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29"/>
    <x v="1"/>
    <x v="0"/>
    <x v="0"/>
    <n v="4"/>
    <s v="Unnamed Projectwaiting time over 6minsCountUser Specified"/>
    <n v="30"/>
    <n v="3.9333333333333331"/>
    <n v="3.6853234858560651"/>
    <n v="0.95"/>
    <n v="1.3761224055574077"/>
    <n v="0"/>
    <n v="16"/>
  </r>
  <r>
    <x v="0"/>
    <s v="2025-02-11 23:41:02"/>
    <n v="30"/>
    <x v="0"/>
    <x v="0"/>
    <x v="0"/>
    <n v="103"/>
    <s v="Unnamed Projectcustomer servedCountUser Specified"/>
    <n v="30"/>
    <n v="87.733333333333334"/>
    <n v="9.1761810602545744"/>
    <n v="0.95"/>
    <n v="3.426442319902506"/>
    <n v="68"/>
    <n v="105"/>
  </r>
  <r>
    <x v="0"/>
    <s v="2025-02-11 23:41:02"/>
    <n v="30"/>
    <x v="1"/>
    <x v="0"/>
    <x v="0"/>
    <n v="16"/>
    <s v="Unnamed Projectwaiting time over 6minsCountUser Specified"/>
    <n v="30"/>
    <n v="3.9333333333333331"/>
    <n v="3.6853234858560651"/>
    <n v="0.95"/>
    <n v="1.3761224055574077"/>
    <n v="0"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87.733333333333334</v>
      </c>
      <c r="O3" t="s">
        <v>66</v>
      </c>
      <c r="P3" t="s">
        <v>69</v>
      </c>
      <c r="Q3" t="s">
        <v>80</v>
      </c>
      <c r="R3" t="s">
        <v>71</v>
      </c>
      <c r="S3" s="5">
        <v>2.1519815556091424</v>
      </c>
      <c r="T3" s="5">
        <v>0.12678337363627387</v>
      </c>
      <c r="U3" s="5">
        <v>0.33953211036380665</v>
      </c>
      <c r="V3" s="5">
        <v>1.49846325156419</v>
      </c>
      <c r="W3" s="5">
        <v>2.9737327083745901</v>
      </c>
      <c r="X3" s="5">
        <v>0</v>
      </c>
      <c r="Y3" s="5">
        <v>10</v>
      </c>
      <c r="AA3" t="s">
        <v>66</v>
      </c>
      <c r="AB3" t="s">
        <v>87</v>
      </c>
      <c r="AC3" t="s">
        <v>88</v>
      </c>
      <c r="AD3" t="s">
        <v>89</v>
      </c>
      <c r="AE3" s="5">
        <v>87.733333333333334</v>
      </c>
      <c r="AF3" s="5">
        <v>3.426442319902506</v>
      </c>
      <c r="AG3" s="5">
        <v>9.1761810602545744</v>
      </c>
      <c r="AH3" s="5">
        <v>68</v>
      </c>
      <c r="AI3" s="5">
        <v>105</v>
      </c>
      <c r="AK3" t="s">
        <v>66</v>
      </c>
      <c r="AL3" t="s">
        <v>99</v>
      </c>
      <c r="AM3" t="s">
        <v>94</v>
      </c>
      <c r="AN3" t="s">
        <v>100</v>
      </c>
      <c r="AO3" s="5">
        <v>87.733333333333334</v>
      </c>
      <c r="AP3" s="5">
        <v>3.426442319902506</v>
      </c>
      <c r="AQ3" s="5">
        <v>9.1761810602545744</v>
      </c>
      <c r="AR3" s="5">
        <v>68</v>
      </c>
      <c r="AS3" s="5">
        <v>105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87.733333333333334</v>
      </c>
      <c r="P4" t="s">
        <v>81</v>
      </c>
      <c r="Q4" t="s">
        <v>82</v>
      </c>
      <c r="R4" t="s">
        <v>83</v>
      </c>
      <c r="S4" s="5">
        <v>0.50585592210489994</v>
      </c>
      <c r="T4" s="5">
        <v>2.5052604945405288E-2</v>
      </c>
      <c r="U4" s="5">
        <v>6.7092108241474532E-2</v>
      </c>
      <c r="V4" s="5">
        <v>0.35780838206908899</v>
      </c>
      <c r="W4" s="5">
        <v>0.62716275812281796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3.9333333333333331</v>
      </c>
      <c r="AF4" s="5">
        <v>1.3761224055574077</v>
      </c>
      <c r="AG4" s="5">
        <v>3.6853234858560651</v>
      </c>
      <c r="AH4" s="5">
        <v>0</v>
      </c>
      <c r="AI4" s="5">
        <v>16</v>
      </c>
      <c r="AL4" t="s">
        <v>91</v>
      </c>
      <c r="AM4" t="s">
        <v>92</v>
      </c>
      <c r="AN4" t="s">
        <v>71</v>
      </c>
      <c r="AO4" s="5">
        <v>89.7</v>
      </c>
      <c r="AP4" s="5">
        <v>3.3758575333484222</v>
      </c>
      <c r="AQ4" s="5">
        <v>9.0407125138796811</v>
      </c>
      <c r="AR4" s="5">
        <v>71</v>
      </c>
      <c r="AS4" s="5">
        <v>107</v>
      </c>
    </row>
    <row r="5" spans="1:52" x14ac:dyDescent="0.3">
      <c r="C5" t="s">
        <v>73</v>
      </c>
      <c r="D5" t="s">
        <v>71</v>
      </c>
      <c r="E5" s="5">
        <v>12.984332962598765</v>
      </c>
      <c r="F5" s="5">
        <v>1</v>
      </c>
      <c r="G5" s="5">
        <v>0.52365941665888183</v>
      </c>
      <c r="H5" s="5">
        <v>1.4023856736937319</v>
      </c>
      <c r="I5" s="5">
        <v>10.6246746257639</v>
      </c>
      <c r="J5" s="5">
        <v>15.341045771128099</v>
      </c>
      <c r="K5" s="5">
        <v>9.4131072057734898E-4</v>
      </c>
      <c r="L5" s="5">
        <v>100.05428865514899</v>
      </c>
      <c r="M5" s="5">
        <v>87.733333333333334</v>
      </c>
      <c r="Q5" t="s">
        <v>84</v>
      </c>
      <c r="R5" t="s">
        <v>83</v>
      </c>
      <c r="S5" s="5">
        <v>2.0234236884195993</v>
      </c>
      <c r="T5" s="5">
        <v>0.10021041978162182</v>
      </c>
      <c r="U5" s="5">
        <v>0.26836843296589996</v>
      </c>
      <c r="V5" s="5">
        <v>1.43123352827636</v>
      </c>
      <c r="W5" s="5">
        <v>2.5086510324912701</v>
      </c>
      <c r="X5" s="5">
        <v>0</v>
      </c>
      <c r="Y5" s="5">
        <v>4</v>
      </c>
      <c r="AL5" t="s">
        <v>93</v>
      </c>
      <c r="AM5" t="s">
        <v>94</v>
      </c>
      <c r="AN5" t="s">
        <v>71</v>
      </c>
      <c r="AO5" s="5">
        <v>87.733333333333334</v>
      </c>
      <c r="AP5" s="5">
        <v>3.426442319902506</v>
      </c>
      <c r="AQ5" s="5">
        <v>9.1761810602545744</v>
      </c>
      <c r="AR5" s="5">
        <v>68</v>
      </c>
      <c r="AS5" s="5">
        <v>105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87.733333333333334</v>
      </c>
      <c r="Q6" t="s">
        <v>85</v>
      </c>
      <c r="R6" t="s">
        <v>83</v>
      </c>
      <c r="S6" s="5">
        <v>4</v>
      </c>
      <c r="T6" s="5">
        <v>0</v>
      </c>
      <c r="U6" s="5">
        <v>0</v>
      </c>
      <c r="V6" s="5">
        <v>4</v>
      </c>
      <c r="W6" s="5">
        <v>4</v>
      </c>
      <c r="X6" s="5">
        <v>4</v>
      </c>
      <c r="Y6" s="5">
        <v>4</v>
      </c>
      <c r="AL6" t="s">
        <v>95</v>
      </c>
      <c r="AM6" t="s">
        <v>96</v>
      </c>
      <c r="AN6" t="s">
        <v>83</v>
      </c>
      <c r="AO6" s="5">
        <v>89.666666666666671</v>
      </c>
      <c r="AP6" s="5">
        <v>3.3704173304157248</v>
      </c>
      <c r="AQ6" s="5">
        <v>9.0261433828527267</v>
      </c>
      <c r="AR6" s="5">
        <v>71</v>
      </c>
      <c r="AS6" s="5">
        <v>107</v>
      </c>
    </row>
    <row r="7" spans="1:52" x14ac:dyDescent="0.3">
      <c r="C7" t="s">
        <v>75</v>
      </c>
      <c r="D7" t="s">
        <v>71</v>
      </c>
      <c r="E7" s="5">
        <v>12.225770691964419</v>
      </c>
      <c r="F7" s="5">
        <v>1</v>
      </c>
      <c r="G7" s="5">
        <v>0.42440252279619867</v>
      </c>
      <c r="H7" s="5">
        <v>1.1365708300373627</v>
      </c>
      <c r="I7" s="5">
        <v>10.0620704619175</v>
      </c>
      <c r="J7" s="5">
        <v>14.0574701542323</v>
      </c>
      <c r="K7" s="5">
        <v>9.4131072057734898E-4</v>
      </c>
      <c r="L7" s="5">
        <v>100.05428865514899</v>
      </c>
      <c r="M7" s="5">
        <v>87.733333333333334</v>
      </c>
      <c r="P7" t="s">
        <v>77</v>
      </c>
      <c r="Q7" t="s">
        <v>86</v>
      </c>
      <c r="R7" t="s">
        <v>79</v>
      </c>
      <c r="S7" s="5">
        <v>0.12855786718954387</v>
      </c>
      <c r="T7" s="5">
        <v>4.0249674119401432E-2</v>
      </c>
      <c r="U7" s="5">
        <v>0.10779060694836942</v>
      </c>
      <c r="V7" s="5">
        <v>1.9086827378027801E-2</v>
      </c>
      <c r="W7" s="5">
        <v>0.54186494471421698</v>
      </c>
      <c r="X7" s="5">
        <v>0</v>
      </c>
      <c r="Y7" s="5">
        <v>6</v>
      </c>
      <c r="AL7" t="s">
        <v>97</v>
      </c>
      <c r="AM7" t="s">
        <v>98</v>
      </c>
      <c r="AN7" t="s">
        <v>83</v>
      </c>
      <c r="AO7" s="5">
        <v>0.50585592210489994</v>
      </c>
      <c r="AP7" s="5">
        <v>2.5052604945405288E-2</v>
      </c>
      <c r="AQ7" s="5">
        <v>6.7092108241474532E-2</v>
      </c>
      <c r="AR7" s="5">
        <v>0.35780838206908899</v>
      </c>
      <c r="AS7" s="5">
        <v>0.62716275812281796</v>
      </c>
    </row>
    <row r="8" spans="1:52" x14ac:dyDescent="0.3">
      <c r="C8" t="s">
        <v>76</v>
      </c>
      <c r="D8" t="s">
        <v>71</v>
      </c>
      <c r="E8" s="5">
        <v>0.75856227063433712</v>
      </c>
      <c r="F8" s="5">
        <v>1</v>
      </c>
      <c r="G8" s="5">
        <v>0.21114550748038041</v>
      </c>
      <c r="H8" s="5">
        <v>0.56545805410039296</v>
      </c>
      <c r="I8" s="5">
        <v>0.124179358845</v>
      </c>
      <c r="J8" s="5">
        <v>2.7760827457484498</v>
      </c>
      <c r="K8" s="5">
        <v>0</v>
      </c>
      <c r="L8" s="5">
        <v>22.4834266125686</v>
      </c>
      <c r="M8" s="5">
        <v>87.733333333333334</v>
      </c>
    </row>
    <row r="9" spans="1:52" x14ac:dyDescent="0.3">
      <c r="B9" t="s">
        <v>77</v>
      </c>
      <c r="C9" t="s">
        <v>78</v>
      </c>
      <c r="D9" t="s">
        <v>79</v>
      </c>
      <c r="E9" s="5">
        <v>0.74973840358596811</v>
      </c>
      <c r="F9" s="5">
        <v>1</v>
      </c>
      <c r="G9" s="5">
        <v>0.20821394990153586</v>
      </c>
      <c r="H9" s="5">
        <v>0.55760719871730724</v>
      </c>
      <c r="I9" s="5">
        <v>0.121257491578059</v>
      </c>
      <c r="J9" s="5">
        <v>2.7346455153801599</v>
      </c>
      <c r="K9" s="5">
        <v>0</v>
      </c>
      <c r="L9" s="5">
        <v>22.4834266125686</v>
      </c>
      <c r="M9" s="5">
        <v>89.666666666666671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74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74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14.3040805664799</v>
      </c>
      <c r="H4">
        <v>2E+20</v>
      </c>
      <c r="I4">
        <v>0.15100014105638601</v>
      </c>
      <c r="J4">
        <v>61.7740849991213</v>
      </c>
      <c r="K4">
        <v>74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12.984332962598765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1.4023856736937319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10.6246746257639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15.341045771128099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9.4131072057734898E-4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100.05428865514899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">
        <f>IF((DiscreteStatsTable[[#This Row],[RepsRequested]]&gt;1),DiscreteStatsTable[[#This Row],[HalfWidth]],DiscreteStatsTable[[#This Row],[BatchMeansHalfWidth]])</f>
        <v>0.52365941665888183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74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13.582086622077099</v>
      </c>
      <c r="H6">
        <v>2E+20</v>
      </c>
      <c r="I6">
        <v>3.7212149569540998E-2</v>
      </c>
      <c r="J6">
        <v>61.7740849991213</v>
      </c>
      <c r="K6">
        <v>74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12.225770691964419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1.1365708300373627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6" cm="1">
        <f t="array" ref="R6">MIN(IF((DiscreteStatsTable[GroupByKey]=DiscreteStatsTable[[#This Row],[GroupByKey]]),(DiscreteStatsTable[GroupByKey]=DiscreteStatsTable[[#This Row],[GroupByKey]])*DiscreteStatsTable[Average]))</f>
        <v>10.0620704619175</v>
      </c>
      <c r="S6" cm="1">
        <f t="array" ref="S6">MAX(IF((DiscreteStatsTable[GroupByKey]=DiscreteStatsTable[[#This Row],[GroupByKey]]),(DiscreteStatsTable[GroupByKey]=DiscreteStatsTable[[#This Row],[GroupByKey]])*DiscreteStatsTable[Average]))</f>
        <v>14.0574701542323</v>
      </c>
      <c r="T6" cm="1">
        <f t="array" ref="T6">MIN(IF((DiscreteStatsTable[GroupByKey]=DiscreteStatsTable[[#This Row],[GroupByKey]]),(DiscreteStatsTable[GroupByKey]=DiscreteStatsTable[[#This Row],[GroupByKey]])*DiscreteStatsTable[Minimum]))</f>
        <v>9.4131072057734898E-4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100.05428865514899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">
        <f>IF((DiscreteStatsTable[[#This Row],[RepsRequested]]&gt;1),DiscreteStatsTable[[#This Row],[HalfWidth]],DiscreteStatsTable[[#This Row],[BatchMeansHalfWidth]])</f>
        <v>0.42440252279619867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0.72199394440278097</v>
      </c>
      <c r="H7">
        <v>2E+20</v>
      </c>
      <c r="I7">
        <v>0</v>
      </c>
      <c r="J7">
        <v>10.426945537697</v>
      </c>
      <c r="K7">
        <v>74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0.75856227063433712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0.124179358845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2.7760827457484498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22.4834266125686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">
        <f>IF((DiscreteStatsTable[[#This Row],[RepsRequested]]&gt;1),DiscreteStatsTable[[#This Row],[HalfWidth]],DiscreteStatsTable[[#This Row],[BatchMeansHalfWidth]])</f>
        <v>0.21114550748038041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99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99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12.9294731307807</v>
      </c>
      <c r="H10">
        <v>2E+20</v>
      </c>
      <c r="I10">
        <v>0.215854320524272</v>
      </c>
      <c r="J10">
        <v>96.990786851496594</v>
      </c>
      <c r="K10">
        <v>99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12.984332962598765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1.4023856736937319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10.6246746257639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15.341045771128099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9.4131072057734898E-4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100.05428865514899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">
        <f>IF((DiscreteStatsTable[[#This Row],[RepsRequested]]&gt;1),DiscreteStatsTable[[#This Row],[HalfWidth]],DiscreteStatsTable[[#This Row],[BatchMeansHalfWidth]])</f>
        <v>0.52365941665888183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99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12.586323375848201</v>
      </c>
      <c r="H12">
        <v>2E+20</v>
      </c>
      <c r="I12">
        <v>0.215854320524272</v>
      </c>
      <c r="J12">
        <v>96.990786851496594</v>
      </c>
      <c r="K12">
        <v>99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12.225770691964419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1.1365708300373627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10.0620704619175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14.0574701542323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9.4131072057734898E-4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100.05428865514899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">
        <f>IF((DiscreteStatsTable[[#This Row],[RepsRequested]]&gt;1),DiscreteStatsTable[[#This Row],[HalfWidth]],DiscreteStatsTable[[#This Row],[BatchMeansHalfWidth]])</f>
        <v>0.42440252279619867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0.34314975493254402</v>
      </c>
      <c r="H13">
        <v>2E+20</v>
      </c>
      <c r="I13">
        <v>0</v>
      </c>
      <c r="J13">
        <v>7.89659527763021</v>
      </c>
      <c r="K13">
        <v>99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0.75856227063433712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0.124179358845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2.7760827457484498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22.4834266125686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">
        <f>IF((DiscreteStatsTable[[#This Row],[RepsRequested]]&gt;1),DiscreteStatsTable[[#This Row],[HalfWidth]],DiscreteStatsTable[[#This Row],[BatchMeansHalfWidth]])</f>
        <v>0.21114550748038041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105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105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12.962415742253301</v>
      </c>
      <c r="H16">
        <v>2E+20</v>
      </c>
      <c r="I16">
        <v>4.9185848933236999E-2</v>
      </c>
      <c r="J16">
        <v>82.518984044218897</v>
      </c>
      <c r="K16">
        <v>105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12.984332962598765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1.4023856736937319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10.6246746257639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15.341045771128099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9.4131072057734898E-4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100.05428865514899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">
        <f>IF((DiscreteStatsTable[[#This Row],[RepsRequested]]&gt;1),DiscreteStatsTable[[#This Row],[HalfWidth]],DiscreteStatsTable[[#This Row],[BatchMeansHalfWidth]])</f>
        <v>0.52365941665888183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105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12.2536398507799</v>
      </c>
      <c r="H18">
        <v>2E+20</v>
      </c>
      <c r="I18">
        <v>4.9185848933236999E-2</v>
      </c>
      <c r="J18">
        <v>82.518984044218897</v>
      </c>
      <c r="K18">
        <v>105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12.225770691964419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1.1365708300373627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10.0620704619175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14.0574701542323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9.4131072057734898E-4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100.05428865514899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8">
        <f>IF((DiscreteStatsTable[[#This Row],[RepsRequested]]&gt;1),DiscreteStatsTable[[#This Row],[HalfWidth]],DiscreteStatsTable[[#This Row],[BatchMeansHalfWidth]])</f>
        <v>0.42440252279619867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0.70877589147336295</v>
      </c>
      <c r="H19">
        <v>2E+20</v>
      </c>
      <c r="I19">
        <v>0</v>
      </c>
      <c r="J19">
        <v>9.6492838871683393</v>
      </c>
      <c r="K19">
        <v>105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0.75856227063433712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0.124179358845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2.7760827457484498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22.4834266125686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9">
        <f>IF((DiscreteStatsTable[[#This Row],[RepsRequested]]&gt;1),DiscreteStatsTable[[#This Row],[HalfWidth]],DiscreteStatsTable[[#This Row],[BatchMeansHalfWidth]])</f>
        <v>0.21114550748038041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12.6861932649471</v>
      </c>
      <c r="H22">
        <v>2E+20</v>
      </c>
      <c r="I22">
        <v>5.50771295359027E-2</v>
      </c>
      <c r="J22">
        <v>62.754761323648196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12.984332962598765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1.4023856736937319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10.6246746257639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15.341045771128099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9.4131072057734898E-4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100.05428865514899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2">
        <f>IF((DiscreteStatsTable[[#This Row],[RepsRequested]]&gt;1),DiscreteStatsTable[[#This Row],[HalfWidth]],DiscreteStatsTable[[#This Row],[BatchMeansHalfWidth]])</f>
        <v>0.52365941665888183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12.347077992800401</v>
      </c>
      <c r="H24">
        <v>2E+20</v>
      </c>
      <c r="I24">
        <v>5.50771295359027E-2</v>
      </c>
      <c r="J24">
        <v>62.754761323648196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12.225770691964419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1.1365708300373627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10.0620704619175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14.0574701542323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9.4131072057734898E-4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100.05428865514899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4">
        <f>IF((DiscreteStatsTable[[#This Row],[RepsRequested]]&gt;1),DiscreteStatsTable[[#This Row],[HalfWidth]],DiscreteStatsTable[[#This Row],[BatchMeansHalfWidth]])</f>
        <v>0.42440252279619867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0.33911527214666898</v>
      </c>
      <c r="H25">
        <v>2E+20</v>
      </c>
      <c r="I25">
        <v>0</v>
      </c>
      <c r="J25">
        <v>12.1275292131703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0.75856227063433712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0.124179358845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2.7760827457484498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22.4834266125686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5">
        <f>IF((DiscreteStatsTable[[#This Row],[RepsRequested]]&gt;1),DiscreteStatsTable[[#This Row],[HalfWidth]],DiscreteStatsTable[[#This Row],[BatchMeansHalfWidth]])</f>
        <v>0.21114550748038041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10.853072090580801</v>
      </c>
      <c r="H28">
        <v>2E+20</v>
      </c>
      <c r="I28">
        <v>5.9956325677830997E-2</v>
      </c>
      <c r="J28">
        <v>54.6155721212183</v>
      </c>
      <c r="K28">
        <v>96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12.984332962598765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1.4023856736937319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10.6246746257639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15.341045771128099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9.4131072057734898E-4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100.05428865514899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8">
        <f>IF((DiscreteStatsTable[[#This Row],[RepsRequested]]&gt;1),DiscreteStatsTable[[#This Row],[HalfWidth]],DiscreteStatsTable[[#This Row],[BatchMeansHalfWidth]])</f>
        <v>0.52365941665888183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10.495249398963701</v>
      </c>
      <c r="H30">
        <v>2E+20</v>
      </c>
      <c r="I30">
        <v>5.9956325677830997E-2</v>
      </c>
      <c r="J30">
        <v>52.389697369887003</v>
      </c>
      <c r="K30">
        <v>96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12.225770691964419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1.1365708300373627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10.0620704619175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14.0574701542323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9.4131072057734898E-4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100.05428865514899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0">
        <f>IF((DiscreteStatsTable[[#This Row],[RepsRequested]]&gt;1),DiscreteStatsTable[[#This Row],[HalfWidth]],DiscreteStatsTable[[#This Row],[BatchMeansHalfWidth]])</f>
        <v>0.42440252279619867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0.35782269161709901</v>
      </c>
      <c r="H31">
        <v>2E+20</v>
      </c>
      <c r="I31">
        <v>0</v>
      </c>
      <c r="J31">
        <v>8.6621539550380895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0.75856227063433712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0.124179358845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2.7760827457484498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22.4834266125686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1">
        <f>IF((DiscreteStatsTable[[#This Row],[RepsRequested]]&gt;1),DiscreteStatsTable[[#This Row],[HalfWidth]],DiscreteStatsTable[[#This Row],[BatchMeansHalfWidth]])</f>
        <v>0.21114550748038041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13.319176574592699</v>
      </c>
      <c r="H34">
        <v>2E+20</v>
      </c>
      <c r="I34">
        <v>3.00402467385084E-2</v>
      </c>
      <c r="J34">
        <v>74.462281639032298</v>
      </c>
      <c r="K34">
        <v>95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12.984332962598765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1.4023856736937319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10.6246746257639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15.341045771128099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9.4131072057734898E-4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100.05428865514899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4">
        <f>IF((DiscreteStatsTable[[#This Row],[RepsRequested]]&gt;1),DiscreteStatsTable[[#This Row],[HalfWidth]],DiscreteStatsTable[[#This Row],[BatchMeansHalfWidth]])</f>
        <v>0.52365941665888183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12.711590659267999</v>
      </c>
      <c r="H36">
        <v>2E+20</v>
      </c>
      <c r="I36">
        <v>3.00402467385084E-2</v>
      </c>
      <c r="J36">
        <v>74.462281639032298</v>
      </c>
      <c r="K36">
        <v>95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12.225770691964419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1.1365708300373627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10.0620704619175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14.0574701542323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9.4131072057734898E-4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100.05428865514899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6">
        <f>IF((DiscreteStatsTable[[#This Row],[RepsRequested]]&gt;1),DiscreteStatsTable[[#This Row],[HalfWidth]],DiscreteStatsTable[[#This Row],[BatchMeansHalfWidth]])</f>
        <v>0.42440252279619867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0.60758591532467099</v>
      </c>
      <c r="H37">
        <v>2E+20</v>
      </c>
      <c r="I37">
        <v>0</v>
      </c>
      <c r="J37">
        <v>9.0480064126410902</v>
      </c>
      <c r="K37">
        <v>95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0.75856227063433712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0.124179358845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2.7760827457484498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22.4834266125686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7">
        <f>IF((DiscreteStatsTable[[#This Row],[RepsRequested]]&gt;1),DiscreteStatsTable[[#This Row],[HalfWidth]],DiscreteStatsTable[[#This Row],[BatchMeansHalfWidth]])</f>
        <v>0.21114550748038041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86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86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14.328627307297101</v>
      </c>
      <c r="H40">
        <v>2E+20</v>
      </c>
      <c r="I40">
        <v>0.26392904206892398</v>
      </c>
      <c r="J40">
        <v>55.1381611627639</v>
      </c>
      <c r="K40">
        <v>86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12.984332962598765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1.4023856736937319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10.6246746257639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15.341045771128099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9.4131072057734898E-4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100.05428865514899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0">
        <f>IF((DiscreteStatsTable[[#This Row],[RepsRequested]]&gt;1),DiscreteStatsTable[[#This Row],[HalfWidth]],DiscreteStatsTable[[#This Row],[BatchMeansHalfWidth]])</f>
        <v>0.52365941665888183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86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13.6057070388303</v>
      </c>
      <c r="H42">
        <v>2E+20</v>
      </c>
      <c r="I42">
        <v>0.26392904206892398</v>
      </c>
      <c r="J42">
        <v>55.1381611627639</v>
      </c>
      <c r="K42">
        <v>86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12.225770691964419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1.1365708300373627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10.0620704619175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14.0574701542323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9.4131072057734898E-4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100.05428865514899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2">
        <f>IF((DiscreteStatsTable[[#This Row],[RepsRequested]]&gt;1),DiscreteStatsTable[[#This Row],[HalfWidth]],DiscreteStatsTable[[#This Row],[BatchMeansHalfWidth]])</f>
        <v>0.42440252279619867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0.72292026846681501</v>
      </c>
      <c r="H43">
        <v>2E+20</v>
      </c>
      <c r="I43">
        <v>0</v>
      </c>
      <c r="J43">
        <v>10.4234576207333</v>
      </c>
      <c r="K43">
        <v>86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0.75856227063433712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0.124179358845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2.7760827457484498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22.4834266125686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3">
        <f>IF((DiscreteStatsTable[[#This Row],[RepsRequested]]&gt;1),DiscreteStatsTable[[#This Row],[HalfWidth]],DiscreteStatsTable[[#This Row],[BatchMeansHalfWidth]])</f>
        <v>0.21114550748038041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73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73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14.4388857044089</v>
      </c>
      <c r="H46">
        <v>2E+20</v>
      </c>
      <c r="I46">
        <v>0.47771781476609498</v>
      </c>
      <c r="J46">
        <v>87.732740654628302</v>
      </c>
      <c r="K46">
        <v>73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12.984332962598765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1.4023856736937319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10.6246746257639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15.341045771128099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9.4131072057734898E-4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100.05428865514899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6">
        <f>IF((DiscreteStatsTable[[#This Row],[RepsRequested]]&gt;1),DiscreteStatsTable[[#This Row],[HalfWidth]],DiscreteStatsTable[[#This Row],[BatchMeansHalfWidth]])</f>
        <v>0.52365941665888183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73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14.0574701542323</v>
      </c>
      <c r="H48">
        <v>2E+20</v>
      </c>
      <c r="I48">
        <v>0.20508916052222001</v>
      </c>
      <c r="J48">
        <v>87.732740654628302</v>
      </c>
      <c r="K48">
        <v>73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12.225770691964419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1.1365708300373627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10.0620704619175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14.0574701542323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9.4131072057734898E-4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100.05428865514899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8">
        <f>IF((DiscreteStatsTable[[#This Row],[RepsRequested]]&gt;1),DiscreteStatsTable[[#This Row],[HalfWidth]],DiscreteStatsTable[[#This Row],[BatchMeansHalfWidth]])</f>
        <v>0.42440252279619867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0.381415550176537</v>
      </c>
      <c r="H49">
        <v>2E+20</v>
      </c>
      <c r="I49">
        <v>0</v>
      </c>
      <c r="J49">
        <v>4.5915202688688597</v>
      </c>
      <c r="K49">
        <v>73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0.75856227063433712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0.124179358845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2.7760827457484498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22.4834266125686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49">
        <f>IF((DiscreteStatsTable[[#This Row],[RepsRequested]]&gt;1),DiscreteStatsTable[[#This Row],[HalfWidth]],DiscreteStatsTable[[#This Row],[BatchMeansHalfWidth]])</f>
        <v>0.21114550748038041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11.1209604345544</v>
      </c>
      <c r="H52">
        <v>2E+20</v>
      </c>
      <c r="I52">
        <v>0.116735178188833</v>
      </c>
      <c r="J52">
        <v>52.903558214902098</v>
      </c>
      <c r="K52">
        <v>85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12.984332962598765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1.4023856736937319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10.6246746257639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15.341045771128099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9.4131072057734898E-4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100.05428865514899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2">
        <f>IF((DiscreteStatsTable[[#This Row],[RepsRequested]]&gt;1),DiscreteStatsTable[[#This Row],[HalfWidth]],DiscreteStatsTable[[#This Row],[BatchMeansHalfWidth]])</f>
        <v>0.52365941665888183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10.856049531898799</v>
      </c>
      <c r="H54">
        <v>2E+20</v>
      </c>
      <c r="I54">
        <v>0.116735178188833</v>
      </c>
      <c r="J54">
        <v>52.903558214902098</v>
      </c>
      <c r="K54">
        <v>85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12.225770691964419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1.1365708300373627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10.0620704619175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14.0574701542323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9.4131072057734898E-4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100.05428865514899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4">
        <f>IF((DiscreteStatsTable[[#This Row],[RepsRequested]]&gt;1),DiscreteStatsTable[[#This Row],[HalfWidth]],DiscreteStatsTable[[#This Row],[BatchMeansHalfWidth]])</f>
        <v>0.42440252279619867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0.26491090265557998</v>
      </c>
      <c r="H55">
        <v>2E+20</v>
      </c>
      <c r="I55">
        <v>0</v>
      </c>
      <c r="J55">
        <v>5.4554364872012702</v>
      </c>
      <c r="K55">
        <v>85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0.75856227063433712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0.124179358845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2.7760827457484498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22.4834266125686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5">
        <f>IF((DiscreteStatsTable[[#This Row],[RepsRequested]]&gt;1),DiscreteStatsTable[[#This Row],[HalfWidth]],DiscreteStatsTable[[#This Row],[BatchMeansHalfWidth]])</f>
        <v>0.21114550748038041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10.6246746257639</v>
      </c>
      <c r="H58">
        <v>2E+20</v>
      </c>
      <c r="I58">
        <v>0.116486524429433</v>
      </c>
      <c r="J58">
        <v>48.797408723908603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12.984332962598765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1.4023856736937319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10.6246746257639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15.341045771128099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9.4131072057734898E-4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100.05428865514899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8">
        <f>IF((DiscreteStatsTable[[#This Row],[RepsRequested]]&gt;1),DiscreteStatsTable[[#This Row],[HalfWidth]],DiscreteStatsTable[[#This Row],[BatchMeansHalfWidth]])</f>
        <v>0.52365941665888183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10.0620704619175</v>
      </c>
      <c r="H60">
        <v>2E+20</v>
      </c>
      <c r="I60">
        <v>0.116486524429433</v>
      </c>
      <c r="J60">
        <v>48.797408723908603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12.225770691964419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1.1365708300373627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10.0620704619175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14.0574701542323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9.4131072057734898E-4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100.05428865514899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0">
        <f>IF((DiscreteStatsTable[[#This Row],[RepsRequested]]&gt;1),DiscreteStatsTable[[#This Row],[HalfWidth]],DiscreteStatsTable[[#This Row],[BatchMeansHalfWidth]])</f>
        <v>0.42440252279619867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0.56260416384642897</v>
      </c>
      <c r="H61">
        <v>2E+20</v>
      </c>
      <c r="I61">
        <v>0</v>
      </c>
      <c r="J61">
        <v>11.921911796305199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0.75856227063433712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0.124179358845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2.7760827457484498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22.4834266125686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1">
        <f>IF((DiscreteStatsTable[[#This Row],[RepsRequested]]&gt;1),DiscreteStatsTable[[#This Row],[HalfWidth]],DiscreteStatsTable[[#This Row],[BatchMeansHalfWidth]])</f>
        <v>0.21114550748038041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90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90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10.964318356779801</v>
      </c>
      <c r="H64">
        <v>2E+20</v>
      </c>
      <c r="I64">
        <v>3.9686277312298998E-2</v>
      </c>
      <c r="J64">
        <v>47.7413493045159</v>
      </c>
      <c r="K64">
        <v>90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12.984332962598765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1.4023856736937319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10.6246746257639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15.341045771128099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9.4131072057734898E-4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100.05428865514899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4">
        <f>IF((DiscreteStatsTable[[#This Row],[RepsRequested]]&gt;1),DiscreteStatsTable[[#This Row],[HalfWidth]],DiscreteStatsTable[[#This Row],[BatchMeansHalfWidth]])</f>
        <v>0.52365941665888183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90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10.7422857002498</v>
      </c>
      <c r="H66">
        <v>2E+20</v>
      </c>
      <c r="I66">
        <v>3.9686277312298998E-2</v>
      </c>
      <c r="J66">
        <v>47.7413493045159</v>
      </c>
      <c r="K66">
        <v>90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12.225770691964419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1.1365708300373627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10.0620704619175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14.0574701542323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9.4131072057734898E-4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100.05428865514899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6">
        <f>IF((DiscreteStatsTable[[#This Row],[RepsRequested]]&gt;1),DiscreteStatsTable[[#This Row],[HalfWidth]],DiscreteStatsTable[[#This Row],[BatchMeansHalfWidth]])</f>
        <v>0.42440252279619867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0.22203265652995</v>
      </c>
      <c r="H67">
        <v>2E+20</v>
      </c>
      <c r="I67">
        <v>0</v>
      </c>
      <c r="J67">
        <v>6.3288777664303097</v>
      </c>
      <c r="K67">
        <v>90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0.75856227063433712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0.124179358845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2.7760827457484498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22.4834266125686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7">
        <f>IF((DiscreteStatsTable[[#This Row],[RepsRequested]]&gt;1),DiscreteStatsTable[[#This Row],[HalfWidth]],DiscreteStatsTable[[#This Row],[BatchMeansHalfWidth]])</f>
        <v>0.21114550748038041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83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83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13.544073797425201</v>
      </c>
      <c r="H70">
        <v>2E+20</v>
      </c>
      <c r="I70">
        <v>0.156041212571424</v>
      </c>
      <c r="J70">
        <v>60.917265639135202</v>
      </c>
      <c r="K70">
        <v>83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12.984332962598765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1.4023856736937319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10.6246746257639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15.341045771128099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9.4131072057734898E-4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100.05428865514899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0">
        <f>IF((DiscreteStatsTable[[#This Row],[RepsRequested]]&gt;1),DiscreteStatsTable[[#This Row],[HalfWidth]],DiscreteStatsTable[[#This Row],[BatchMeansHalfWidth]])</f>
        <v>0.52365941665888183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83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12.101381122753001</v>
      </c>
      <c r="H72">
        <v>2E+20</v>
      </c>
      <c r="I72">
        <v>0.156041212571424</v>
      </c>
      <c r="J72">
        <v>60.917265639135202</v>
      </c>
      <c r="K72">
        <v>83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12.225770691964419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1.1365708300373627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10.0620704619175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14.0574701542323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9.4131072057734898E-4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100.05428865514899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2">
        <f>IF((DiscreteStatsTable[[#This Row],[RepsRequested]]&gt;1),DiscreteStatsTable[[#This Row],[HalfWidth]],DiscreteStatsTable[[#This Row],[BatchMeansHalfWidth]])</f>
        <v>0.42440252279619867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1.4426926746722499</v>
      </c>
      <c r="H73">
        <v>2E+20</v>
      </c>
      <c r="I73">
        <v>0</v>
      </c>
      <c r="J73">
        <v>15.9647053158888</v>
      </c>
      <c r="K73">
        <v>83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0.75856227063433712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0.124179358845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2.7760827457484498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22.4834266125686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3">
        <f>IF((DiscreteStatsTable[[#This Row],[RepsRequested]]&gt;1),DiscreteStatsTable[[#This Row],[HalfWidth]],DiscreteStatsTable[[#This Row],[BatchMeansHalfWidth]])</f>
        <v>0.21114550748038041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91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91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13.170918909354601</v>
      </c>
      <c r="H76">
        <v>2E+20</v>
      </c>
      <c r="I76">
        <v>0.16013659058747001</v>
      </c>
      <c r="J76">
        <v>63.1704528826182</v>
      </c>
      <c r="K76">
        <v>91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12.984332962598765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1.4023856736937319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10.6246746257639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15.341045771128099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9.4131072057734898E-4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100.05428865514899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6">
        <f>IF((DiscreteStatsTable[[#This Row],[RepsRequested]]&gt;1),DiscreteStatsTable[[#This Row],[HalfWidth]],DiscreteStatsTable[[#This Row],[BatchMeansHalfWidth]])</f>
        <v>0.52365941665888183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91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12.4798174335229</v>
      </c>
      <c r="H78">
        <v>2E+20</v>
      </c>
      <c r="I78">
        <v>0.10445113124444599</v>
      </c>
      <c r="J78">
        <v>63.1704528826182</v>
      </c>
      <c r="K78">
        <v>91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12.225770691964419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1.1365708300373627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10.0620704619175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14.0574701542323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9.4131072057734898E-4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100.05428865514899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8">
        <f>IF((DiscreteStatsTable[[#This Row],[RepsRequested]]&gt;1),DiscreteStatsTable[[#This Row],[HalfWidth]],DiscreteStatsTable[[#This Row],[BatchMeansHalfWidth]])</f>
        <v>0.42440252279619867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0.69110147583166603</v>
      </c>
      <c r="H79">
        <v>2E+20</v>
      </c>
      <c r="I79">
        <v>0</v>
      </c>
      <c r="J79">
        <v>8.30795862351812</v>
      </c>
      <c r="K79">
        <v>91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0.75856227063433712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0.124179358845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2.7760827457484498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22.4834266125686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79">
        <f>IF((DiscreteStatsTable[[#This Row],[RepsRequested]]&gt;1),DiscreteStatsTable[[#This Row],[HalfWidth]],DiscreteStatsTable[[#This Row],[BatchMeansHalfWidth]])</f>
        <v>0.21114550748038041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92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92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11.477352814246199</v>
      </c>
      <c r="H82">
        <v>2E+20</v>
      </c>
      <c r="I82">
        <v>0.28971706288103899</v>
      </c>
      <c r="J82">
        <v>49.990459796134097</v>
      </c>
      <c r="K82">
        <v>92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12.984332962598765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1.4023856736937319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10.6246746257639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15.341045771128099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9.4131072057734898E-4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100.05428865514899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2">
        <f>IF((DiscreteStatsTable[[#This Row],[RepsRequested]]&gt;1),DiscreteStatsTable[[#This Row],[HalfWidth]],DiscreteStatsTable[[#This Row],[BatchMeansHalfWidth]])</f>
        <v>0.52365941665888183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92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11.26264016925</v>
      </c>
      <c r="H84">
        <v>2E+20</v>
      </c>
      <c r="I84">
        <v>0.28971706288103899</v>
      </c>
      <c r="J84">
        <v>49.990459796134097</v>
      </c>
      <c r="K84">
        <v>92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12.225770691964419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1.1365708300373627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10.0620704619175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14.0574701542323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9.4131072057734898E-4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100.05428865514899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4">
        <f>IF((DiscreteStatsTable[[#This Row],[RepsRequested]]&gt;1),DiscreteStatsTable[[#This Row],[HalfWidth]],DiscreteStatsTable[[#This Row],[BatchMeansHalfWidth]])</f>
        <v>0.42440252279619867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0.21471264499616299</v>
      </c>
      <c r="H85">
        <v>2E+20</v>
      </c>
      <c r="I85">
        <v>0</v>
      </c>
      <c r="J85">
        <v>6.0722590443829203</v>
      </c>
      <c r="K85">
        <v>92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0.75856227063433712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0.124179358845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2.7760827457484498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22.4834266125686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5">
        <f>IF((DiscreteStatsTable[[#This Row],[RepsRequested]]&gt;1),DiscreteStatsTable[[#This Row],[HalfWidth]],DiscreteStatsTable[[#This Row],[BatchMeansHalfWidth]])</f>
        <v>0.21114550748038041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83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83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11.909188851348601</v>
      </c>
      <c r="H88">
        <v>2E+20</v>
      </c>
      <c r="I88">
        <v>0.28520964090860401</v>
      </c>
      <c r="J88">
        <v>61.984395819979099</v>
      </c>
      <c r="K88">
        <v>83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12.984332962598765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1.4023856736937319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10.6246746257639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15.341045771128099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9.4131072057734898E-4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100.05428865514899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8">
        <f>IF((DiscreteStatsTable[[#This Row],[RepsRequested]]&gt;1),DiscreteStatsTable[[#This Row],[HalfWidth]],DiscreteStatsTable[[#This Row],[BatchMeansHalfWidth]])</f>
        <v>0.52365941665888183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83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11.5333139280462</v>
      </c>
      <c r="H90">
        <v>2E+20</v>
      </c>
      <c r="I90">
        <v>0.28520964090860401</v>
      </c>
      <c r="J90">
        <v>61.984395819979099</v>
      </c>
      <c r="K90">
        <v>83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12.225770691964419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1.1365708300373627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10.0620704619175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14.0574701542323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9.4131072057734898E-4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100.05428865514899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0">
        <f>IF((DiscreteStatsTable[[#This Row],[RepsRequested]]&gt;1),DiscreteStatsTable[[#This Row],[HalfWidth]],DiscreteStatsTable[[#This Row],[BatchMeansHalfWidth]])</f>
        <v>0.42440252279619867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0.375874923302423</v>
      </c>
      <c r="H91">
        <v>2E+20</v>
      </c>
      <c r="I91">
        <v>0</v>
      </c>
      <c r="J91">
        <v>7.1720455617736398</v>
      </c>
      <c r="K91">
        <v>83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0.75856227063433712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0.124179358845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2.7760827457484498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22.4834266125686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1">
        <f>IF((DiscreteStatsTable[[#This Row],[RepsRequested]]&gt;1),DiscreteStatsTable[[#This Row],[HalfWidth]],DiscreteStatsTable[[#This Row],[BatchMeansHalfWidth]])</f>
        <v>0.21114550748038041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88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88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15.1148327951532</v>
      </c>
      <c r="H94">
        <v>2E+20</v>
      </c>
      <c r="I94">
        <v>0.25220087641042699</v>
      </c>
      <c r="J94">
        <v>77.754052876489695</v>
      </c>
      <c r="K94">
        <v>88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12.984332962598765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1.4023856736937319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10.6246746257639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15.341045771128099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9.4131072057734898E-4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100.05428865514899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4">
        <f>IF((DiscreteStatsTable[[#This Row],[RepsRequested]]&gt;1),DiscreteStatsTable[[#This Row],[HalfWidth]],DiscreteStatsTable[[#This Row],[BatchMeansHalfWidth]])</f>
        <v>0.52365941665888183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88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13.995517773304501</v>
      </c>
      <c r="H96">
        <v>2E+20</v>
      </c>
      <c r="I96">
        <v>0.25220087641042699</v>
      </c>
      <c r="J96">
        <v>77.754052876489695</v>
      </c>
      <c r="K96">
        <v>88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12.225770691964419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1.1365708300373627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10.0620704619175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14.0574701542323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9.4131072057734898E-4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100.05428865514899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6">
        <f>IF((DiscreteStatsTable[[#This Row],[RepsRequested]]&gt;1),DiscreteStatsTable[[#This Row],[HalfWidth]],DiscreteStatsTable[[#This Row],[BatchMeansHalfWidth]])</f>
        <v>0.42440252279619867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1.1193150218487</v>
      </c>
      <c r="H97">
        <v>2E+20</v>
      </c>
      <c r="I97">
        <v>0</v>
      </c>
      <c r="J97">
        <v>13.481763891670999</v>
      </c>
      <c r="K97">
        <v>88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0.75856227063433712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0.124179358845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2.7760827457484498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22.4834266125686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7">
        <f>IF((DiscreteStatsTable[[#This Row],[RepsRequested]]&gt;1),DiscreteStatsTable[[#This Row],[HalfWidth]],DiscreteStatsTable[[#This Row],[BatchMeansHalfWidth]])</f>
        <v>0.21114550748038041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11.6419540433756</v>
      </c>
      <c r="H100">
        <v>2E+20</v>
      </c>
      <c r="I100">
        <v>0.23505697271707501</v>
      </c>
      <c r="J100">
        <v>45.846080352452198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12.984332962598765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1.4023856736937319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10.6246746257639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15.341045771128099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9.4131072057734898E-4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100.05428865514899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0">
        <f>IF((DiscreteStatsTable[[#This Row],[RepsRequested]]&gt;1),DiscreteStatsTable[[#This Row],[HalfWidth]],DiscreteStatsTable[[#This Row],[BatchMeansHalfWidth]])</f>
        <v>0.52365941665888183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11.108070946678099</v>
      </c>
      <c r="H102">
        <v>2E+20</v>
      </c>
      <c r="I102">
        <v>0.23505697271707501</v>
      </c>
      <c r="J102">
        <v>45.846080352452198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12.225770691964419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1.1365708300373627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10.0620704619175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14.0574701542323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9.4131072057734898E-4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100.05428865514899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2">
        <f>IF((DiscreteStatsTable[[#This Row],[RepsRequested]]&gt;1),DiscreteStatsTable[[#This Row],[HalfWidth]],DiscreteStatsTable[[#This Row],[BatchMeansHalfWidth]])</f>
        <v>0.42440252279619867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0.533883096697501</v>
      </c>
      <c r="H103">
        <v>2E+20</v>
      </c>
      <c r="I103">
        <v>0</v>
      </c>
      <c r="J103">
        <v>9.5589078129674991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0.75856227063433712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0.124179358845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2.7760827457484498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22.4834266125686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3">
        <f>IF((DiscreteStatsTable[[#This Row],[RepsRequested]]&gt;1),DiscreteStatsTable[[#This Row],[HalfWidth]],DiscreteStatsTable[[#This Row],[BatchMeansHalfWidth]])</f>
        <v>0.21114550748038041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98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98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14.439789668330601</v>
      </c>
      <c r="H106">
        <v>2E+20</v>
      </c>
      <c r="I106">
        <v>0.202927947091609</v>
      </c>
      <c r="J106">
        <v>64.156634613119607</v>
      </c>
      <c r="K106">
        <v>98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12.984332962598765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1.4023856736937319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10.6246746257639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15.341045771128099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9.4131072057734898E-4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100.05428865514899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6">
        <f>IF((DiscreteStatsTable[[#This Row],[RepsRequested]]&gt;1),DiscreteStatsTable[[#This Row],[HalfWidth]],DiscreteStatsTable[[#This Row],[BatchMeansHalfWidth]])</f>
        <v>0.52365941665888183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98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13.588212151140199</v>
      </c>
      <c r="H108">
        <v>2E+20</v>
      </c>
      <c r="I108">
        <v>0.202927947091609</v>
      </c>
      <c r="J108">
        <v>64.156634613119607</v>
      </c>
      <c r="K108">
        <v>98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12.225770691964419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1.1365708300373627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10.0620704619175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14.0574701542323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9.4131072057734898E-4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100.05428865514899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8">
        <f>IF((DiscreteStatsTable[[#This Row],[RepsRequested]]&gt;1),DiscreteStatsTable[[#This Row],[HalfWidth]],DiscreteStatsTable[[#This Row],[BatchMeansHalfWidth]])</f>
        <v>0.42440252279619867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0.851577517190376</v>
      </c>
      <c r="H109">
        <v>2E+20</v>
      </c>
      <c r="I109">
        <v>0</v>
      </c>
      <c r="J109">
        <v>9.5094724996912596</v>
      </c>
      <c r="K109">
        <v>98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0.75856227063433712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0.124179358845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2.7760827457484498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22.4834266125686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09">
        <f>IF((DiscreteStatsTable[[#This Row],[RepsRequested]]&gt;1),DiscreteStatsTable[[#This Row],[HalfWidth]],DiscreteStatsTable[[#This Row],[BatchMeansHalfWidth]])</f>
        <v>0.21114550748038041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84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84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14.251788591004701</v>
      </c>
      <c r="H112">
        <v>2E+20</v>
      </c>
      <c r="I112">
        <v>4.7480341947164099E-2</v>
      </c>
      <c r="J112">
        <v>57.090490352246</v>
      </c>
      <c r="K112">
        <v>84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12.984332962598765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1.4023856736937319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10.6246746257639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15.341045771128099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9.4131072057734898E-4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100.05428865514899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2">
        <f>IF((DiscreteStatsTable[[#This Row],[RepsRequested]]&gt;1),DiscreteStatsTable[[#This Row],[HalfWidth]],DiscreteStatsTable[[#This Row],[BatchMeansHalfWidth]])</f>
        <v>0.52365941665888183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84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13.2818122916586</v>
      </c>
      <c r="H114">
        <v>2E+20</v>
      </c>
      <c r="I114">
        <v>9.6095835829714798E-3</v>
      </c>
      <c r="J114">
        <v>57.090490352246</v>
      </c>
      <c r="K114">
        <v>84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12.225770691964419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1.1365708300373627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10.0620704619175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14.0574701542323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9.4131072057734898E-4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100.05428865514899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4">
        <f>IF((DiscreteStatsTable[[#This Row],[RepsRequested]]&gt;1),DiscreteStatsTable[[#This Row],[HalfWidth]],DiscreteStatsTable[[#This Row],[BatchMeansHalfWidth]])</f>
        <v>0.42440252279619867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0.96997629934610996</v>
      </c>
      <c r="H115">
        <v>2E+20</v>
      </c>
      <c r="I115">
        <v>0</v>
      </c>
      <c r="J115">
        <v>12.111684533992401</v>
      </c>
      <c r="K115">
        <v>84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0.75856227063433712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0.124179358845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2.7760827457484498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22.4834266125686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5">
        <f>IF((DiscreteStatsTable[[#This Row],[RepsRequested]]&gt;1),DiscreteStatsTable[[#This Row],[HalfWidth]],DiscreteStatsTable[[#This Row],[BatchMeansHalfWidth]])</f>
        <v>0.21114550748038041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83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83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11.379546499457501</v>
      </c>
      <c r="H118">
        <v>2E+20</v>
      </c>
      <c r="I118">
        <v>7.7513799027428804E-2</v>
      </c>
      <c r="J118">
        <v>100.05428865514899</v>
      </c>
      <c r="K118">
        <v>83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12.984332962598765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1.4023856736937319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10.6246746257639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15.341045771128099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9.4131072057734898E-4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100.05428865514899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8">
        <f>IF((DiscreteStatsTable[[#This Row],[RepsRequested]]&gt;1),DiscreteStatsTable[[#This Row],[HalfWidth]],DiscreteStatsTable[[#This Row],[BatchMeansHalfWidth]])</f>
        <v>0.52365941665888183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83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11.255367140612501</v>
      </c>
      <c r="H120">
        <v>2E+20</v>
      </c>
      <c r="I120">
        <v>7.7513799027428804E-2</v>
      </c>
      <c r="J120">
        <v>100.05428865514899</v>
      </c>
      <c r="K120">
        <v>83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12.225770691964419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1.1365708300373627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10.0620704619175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14.0574701542323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9.4131072057734898E-4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100.05428865514899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0">
        <f>IF((DiscreteStatsTable[[#This Row],[RepsRequested]]&gt;1),DiscreteStatsTable[[#This Row],[HalfWidth]],DiscreteStatsTable[[#This Row],[BatchMeansHalfWidth]])</f>
        <v>0.42440252279619867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0.124179358845</v>
      </c>
      <c r="H121">
        <v>2E+20</v>
      </c>
      <c r="I121">
        <v>0</v>
      </c>
      <c r="J121">
        <v>4.4094138780946004</v>
      </c>
      <c r="K121">
        <v>83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0.75856227063433712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0.124179358845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2.7760827457484498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22.4834266125686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1">
        <f>IF((DiscreteStatsTable[[#This Row],[RepsRequested]]&gt;1),DiscreteStatsTable[[#This Row],[HalfWidth]],DiscreteStatsTable[[#This Row],[BatchMeansHalfWidth]])</f>
        <v>0.21114550748038041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95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95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11.6576123169417</v>
      </c>
      <c r="H124">
        <v>2E+20</v>
      </c>
      <c r="I124">
        <v>9.8554071933563095E-2</v>
      </c>
      <c r="J124">
        <v>50.744019955321001</v>
      </c>
      <c r="K124">
        <v>95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12.984332962598765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1.4023856736937319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10.6246746257639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15.341045771128099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9.4131072057734898E-4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100.05428865514899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4" s="5">
        <f>IF((DiscreteStatsTable[[#This Row],[RepsRequested]]&gt;1),DiscreteStatsTable[[#This Row],[HalfWidth]],DiscreteStatsTable[[#This Row],[BatchMeansHalfWidth]])</f>
        <v>0.52365941665888183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95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10.500656719964899</v>
      </c>
      <c r="H126">
        <v>2E+20</v>
      </c>
      <c r="I126">
        <v>9.8554071933563095E-2</v>
      </c>
      <c r="J126">
        <v>50.744019955321001</v>
      </c>
      <c r="K126">
        <v>95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12.225770691964419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1.1365708300373627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10.0620704619175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14.0574701542323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9.4131072057734898E-4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100.05428865514899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6" s="5">
        <f>IF((DiscreteStatsTable[[#This Row],[RepsRequested]]&gt;1),DiscreteStatsTable[[#This Row],[HalfWidth]],DiscreteStatsTable[[#This Row],[BatchMeansHalfWidth]])</f>
        <v>0.42440252279619867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1.15695559697672</v>
      </c>
      <c r="H127">
        <v>2E+20</v>
      </c>
      <c r="I127">
        <v>0</v>
      </c>
      <c r="J127">
        <v>21.369977742802099</v>
      </c>
      <c r="K127">
        <v>95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0.75856227063433712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0.124179358845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2.7760827457484498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22.4834266125686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7" s="5">
        <f>IF((DiscreteStatsTable[[#This Row],[RepsRequested]]&gt;1),DiscreteStatsTable[[#This Row],[HalfWidth]],DiscreteStatsTable[[#This Row],[BatchMeansHalfWidth]])</f>
        <v>0.21114550748038041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79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79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13.993215326149601</v>
      </c>
      <c r="H130">
        <v>2E+20</v>
      </c>
      <c r="I130">
        <v>3.7716384103759999E-2</v>
      </c>
      <c r="J130">
        <v>51.963603236794</v>
      </c>
      <c r="K130">
        <v>79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12.984332962598765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1.4023856736937319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10.6246746257639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15.341045771128099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9.4131072057734898E-4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100.05428865514899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0" s="5">
        <f>IF((DiscreteStatsTable[[#This Row],[RepsRequested]]&gt;1),DiscreteStatsTable[[#This Row],[HalfWidth]],DiscreteStatsTable[[#This Row],[BatchMeansHalfWidth]])</f>
        <v>0.52365941665888183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79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13.564498878933</v>
      </c>
      <c r="H132">
        <v>2E+20</v>
      </c>
      <c r="I132">
        <v>3.7716384103759999E-2</v>
      </c>
      <c r="J132">
        <v>48.358010304548799</v>
      </c>
      <c r="K132">
        <v>79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12.225770691964419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1.1365708300373627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10.0620704619175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14.0574701542323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9.4131072057734898E-4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100.05428865514899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2" s="5">
        <f>IF((DiscreteStatsTable[[#This Row],[RepsRequested]]&gt;1),DiscreteStatsTable[[#This Row],[HalfWidth]],DiscreteStatsTable[[#This Row],[BatchMeansHalfWidth]])</f>
        <v>0.42440252279619867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0.42871644721658902</v>
      </c>
      <c r="H133">
        <v>2E+20</v>
      </c>
      <c r="I133">
        <v>0</v>
      </c>
      <c r="J133">
        <v>14.5452105665563</v>
      </c>
      <c r="K133">
        <v>79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0.75856227063433712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0.124179358845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2.7760827457484498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22.4834266125686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3" s="5">
        <f>IF((DiscreteStatsTable[[#This Row],[RepsRequested]]&gt;1),DiscreteStatsTable[[#This Row],[HalfWidth]],DiscreteStatsTable[[#This Row],[BatchMeansHalfWidth]])</f>
        <v>0.21114550748038041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12.214852974107499</v>
      </c>
      <c r="H136">
        <v>2E+20</v>
      </c>
      <c r="I136">
        <v>1.9665678949650101E-2</v>
      </c>
      <c r="J136">
        <v>50.187965006880603</v>
      </c>
      <c r="K136">
        <v>91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12.984332962598765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1.4023856736937319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10.6246746257639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15.341045771128099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9.4131072057734898E-4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100.05428865514899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6" s="5">
        <f>IF((DiscreteStatsTable[[#This Row],[RepsRequested]]&gt;1),DiscreteStatsTable[[#This Row],[HalfWidth]],DiscreteStatsTable[[#This Row],[BatchMeansHalfWidth]])</f>
        <v>0.52365941665888183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11.4420742959273</v>
      </c>
      <c r="H138">
        <v>2E+20</v>
      </c>
      <c r="I138">
        <v>1.9665678949650101E-2</v>
      </c>
      <c r="J138">
        <v>50.187965006880603</v>
      </c>
      <c r="K138">
        <v>91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12.225770691964419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1.1365708300373627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10.0620704619175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14.0574701542323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9.4131072057734898E-4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100.05428865514899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8" s="5">
        <f>IF((DiscreteStatsTable[[#This Row],[RepsRequested]]&gt;1),DiscreteStatsTable[[#This Row],[HalfWidth]],DiscreteStatsTable[[#This Row],[BatchMeansHalfWidth]])</f>
        <v>0.42440252279619867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0.77277867818019397</v>
      </c>
      <c r="H139">
        <v>2E+20</v>
      </c>
      <c r="I139">
        <v>0</v>
      </c>
      <c r="J139">
        <v>14.1886295568868</v>
      </c>
      <c r="K139">
        <v>91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0.75856227063433712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0.124179358845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2.7760827457484498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22.4834266125686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39" s="5">
        <f>IF((DiscreteStatsTable[[#This Row],[RepsRequested]]&gt;1),DiscreteStatsTable[[#This Row],[HalfWidth]],DiscreteStatsTable[[#This Row],[BatchMeansHalfWidth]])</f>
        <v>0.21114550748038041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72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72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12.912924982648899</v>
      </c>
      <c r="H142">
        <v>2E+20</v>
      </c>
      <c r="I142">
        <v>0.170214091922475</v>
      </c>
      <c r="J142">
        <v>59.298956643035503</v>
      </c>
      <c r="K142">
        <v>72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12.984332962598765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1.4023856736937319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10.6246746257639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15.341045771128099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9.4131072057734898E-4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100.05428865514899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2" s="5">
        <f>IF((DiscreteStatsTable[[#This Row],[RepsRequested]]&gt;1),DiscreteStatsTable[[#This Row],[HalfWidth]],DiscreteStatsTable[[#This Row],[BatchMeansHalfWidth]])</f>
        <v>0.52365941665888183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72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12.579470950742101</v>
      </c>
      <c r="H144">
        <v>2E+20</v>
      </c>
      <c r="I144">
        <v>0.170214091922475</v>
      </c>
      <c r="J144">
        <v>59.298956643035503</v>
      </c>
      <c r="K144">
        <v>72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12.225770691964419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1.1365708300373627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10.0620704619175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14.0574701542323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9.4131072057734898E-4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100.05428865514899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4" s="5">
        <f>IF((DiscreteStatsTable[[#This Row],[RepsRequested]]&gt;1),DiscreteStatsTable[[#This Row],[HalfWidth]],DiscreteStatsTable[[#This Row],[BatchMeansHalfWidth]])</f>
        <v>0.42440252279619867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0.33345403190678602</v>
      </c>
      <c r="H145">
        <v>2E+20</v>
      </c>
      <c r="I145">
        <v>0</v>
      </c>
      <c r="J145">
        <v>11.1525926941608</v>
      </c>
      <c r="K145">
        <v>72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0.75856227063433712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0.124179358845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2.7760827457484498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22.4834266125686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5" s="5">
        <f>IF((DiscreteStatsTable[[#This Row],[RepsRequested]]&gt;1),DiscreteStatsTable[[#This Row],[HalfWidth]],DiscreteStatsTable[[#This Row],[BatchMeansHalfWidth]])</f>
        <v>0.21114550748038041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89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89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11.8489429630408</v>
      </c>
      <c r="H148">
        <v>2E+20</v>
      </c>
      <c r="I148">
        <v>1.3540790133902201E-2</v>
      </c>
      <c r="J148">
        <v>54.9888857993203</v>
      </c>
      <c r="K148">
        <v>89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12.984332962598765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1.4023856736937319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10.6246746257639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15.341045771128099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9.4131072057734898E-4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100.05428865514899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8" s="5">
        <f>IF((DiscreteStatsTable[[#This Row],[RepsRequested]]&gt;1),DiscreteStatsTable[[#This Row],[HalfWidth]],DiscreteStatsTable[[#This Row],[BatchMeansHalfWidth]])</f>
        <v>0.52365941665888183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89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11.482911019333899</v>
      </c>
      <c r="H150">
        <v>2E+20</v>
      </c>
      <c r="I150">
        <v>1.3540790133902201E-2</v>
      </c>
      <c r="J150">
        <v>54.9888857993203</v>
      </c>
      <c r="K150">
        <v>89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12.225770691964419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1.1365708300373627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10.0620704619175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14.0574701542323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9.4131072057734898E-4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100.05428865514899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0" s="5">
        <f>IF((DiscreteStatsTable[[#This Row],[RepsRequested]]&gt;1),DiscreteStatsTable[[#This Row],[HalfWidth]],DiscreteStatsTable[[#This Row],[BatchMeansHalfWidth]])</f>
        <v>0.42440252279619867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0.36603194370688502</v>
      </c>
      <c r="H151">
        <v>2E+20</v>
      </c>
      <c r="I151">
        <v>0</v>
      </c>
      <c r="J151">
        <v>10.6440123510615</v>
      </c>
      <c r="K151">
        <v>89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0.75856227063433712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0.124179358845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2.7760827457484498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22.4834266125686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1" s="5">
        <f>IF((DiscreteStatsTable[[#This Row],[RepsRequested]]&gt;1),DiscreteStatsTable[[#This Row],[HalfWidth]],DiscreteStatsTable[[#This Row],[BatchMeansHalfWidth]])</f>
        <v>0.21114550748038041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83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83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13.853980397843401</v>
      </c>
      <c r="H154">
        <v>2E+20</v>
      </c>
      <c r="I154">
        <v>9.4131072057734898E-4</v>
      </c>
      <c r="J154">
        <v>58.3407342307069</v>
      </c>
      <c r="K154">
        <v>83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12.984332962598765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1.4023856736937319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10.6246746257639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15.341045771128099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9.4131072057734898E-4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100.05428865514899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4" s="5">
        <f>IF((DiscreteStatsTable[[#This Row],[RepsRequested]]&gt;1),DiscreteStatsTable[[#This Row],[HalfWidth]],DiscreteStatsTable[[#This Row],[BatchMeansHalfWidth]])</f>
        <v>0.52365941665888183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83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12.5897333212275</v>
      </c>
      <c r="H156">
        <v>2E+20</v>
      </c>
      <c r="I156">
        <v>9.4131072057734898E-4</v>
      </c>
      <c r="J156">
        <v>58.3407342307069</v>
      </c>
      <c r="K156">
        <v>83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12.225770691964419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1.1365708300373627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10.0620704619175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14.0574701542323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9.4131072057734898E-4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100.05428865514899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6" s="5">
        <f>IF((DiscreteStatsTable[[#This Row],[RepsRequested]]&gt;1),DiscreteStatsTable[[#This Row],[HalfWidth]],DiscreteStatsTable[[#This Row],[BatchMeansHalfWidth]])</f>
        <v>0.42440252279619867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1.2642470766159299</v>
      </c>
      <c r="H157">
        <v>2E+20</v>
      </c>
      <c r="I157">
        <v>0</v>
      </c>
      <c r="J157">
        <v>19.7178390931339</v>
      </c>
      <c r="K157">
        <v>83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0.75856227063433712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0.124179358845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2.7760827457484498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22.4834266125686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7" s="5">
        <f>IF((DiscreteStatsTable[[#This Row],[RepsRequested]]&gt;1),DiscreteStatsTable[[#This Row],[HalfWidth]],DiscreteStatsTable[[#This Row],[BatchMeansHalfWidth]])</f>
        <v>0.21114550748038041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89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89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15.341045771128099</v>
      </c>
      <c r="H160">
        <v>2E+20</v>
      </c>
      <c r="I160">
        <v>0.27298007764648002</v>
      </c>
      <c r="J160">
        <v>90.806737428508796</v>
      </c>
      <c r="K160">
        <v>89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12.984332962598765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1.4023856736937319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10.6246746257639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15.341045771128099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9.4131072057734898E-4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100.05428865514899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0" s="5">
        <f>IF((DiscreteStatsTable[[#This Row],[RepsRequested]]&gt;1),DiscreteStatsTable[[#This Row],[HalfWidth]],DiscreteStatsTable[[#This Row],[BatchMeansHalfWidth]])</f>
        <v>0.52365941665888183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89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13.6733710209132</v>
      </c>
      <c r="H162">
        <v>2E+20</v>
      </c>
      <c r="I162">
        <v>0.27298007764648002</v>
      </c>
      <c r="J162">
        <v>90.806737428508796</v>
      </c>
      <c r="K162">
        <v>89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12.225770691964419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1.1365708300373627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10.0620704619175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14.0574701542323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9.4131072057734898E-4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100.05428865514899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2" s="5">
        <f>IF((DiscreteStatsTable[[#This Row],[RepsRequested]]&gt;1),DiscreteStatsTable[[#This Row],[HalfWidth]],DiscreteStatsTable[[#This Row],[BatchMeansHalfWidth]])</f>
        <v>0.42440252279619867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1.6676747502148499</v>
      </c>
      <c r="H163">
        <v>2E+20</v>
      </c>
      <c r="I163">
        <v>0</v>
      </c>
      <c r="J163">
        <v>16.985271178518499</v>
      </c>
      <c r="K163">
        <v>89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0.75856227063433712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0.124179358845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2.7760827457484498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22.4834266125686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3" s="5">
        <f>IF((DiscreteStatsTable[[#This Row],[RepsRequested]]&gt;1),DiscreteStatsTable[[#This Row],[HalfWidth]],DiscreteStatsTable[[#This Row],[BatchMeansHalfWidth]])</f>
        <v>0.21114550748038041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101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101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14.172040833230801</v>
      </c>
      <c r="H166">
        <v>2E+20</v>
      </c>
      <c r="I166">
        <v>4.8086891328011899E-3</v>
      </c>
      <c r="J166">
        <v>95.088666162328593</v>
      </c>
      <c r="K166">
        <v>101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12.984332962598765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1.4023856736937319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10.6246746257639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15.341045771128099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9.4131072057734898E-4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100.05428865514899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6" s="5">
        <f>IF((DiscreteStatsTable[[#This Row],[RepsRequested]]&gt;1),DiscreteStatsTable[[#This Row],[HalfWidth]],DiscreteStatsTable[[#This Row],[BatchMeansHalfWidth]])</f>
        <v>0.52365941665888183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101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12.569992910764901</v>
      </c>
      <c r="H168">
        <v>2E+20</v>
      </c>
      <c r="I168">
        <v>4.8086891328011899E-3</v>
      </c>
      <c r="J168">
        <v>95.088666162328593</v>
      </c>
      <c r="K168">
        <v>101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12.225770691964419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1.1365708300373627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10.0620704619175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14.0574701542323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9.4131072057734898E-4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100.05428865514899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8" s="5">
        <f>IF((DiscreteStatsTable[[#This Row],[RepsRequested]]&gt;1),DiscreteStatsTable[[#This Row],[HalfWidth]],DiscreteStatsTable[[#This Row],[BatchMeansHalfWidth]])</f>
        <v>0.42440252279619867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1.6020479224658799</v>
      </c>
      <c r="H169">
        <v>2E+20</v>
      </c>
      <c r="I169">
        <v>0</v>
      </c>
      <c r="J169">
        <v>17.624146866448701</v>
      </c>
      <c r="K169">
        <v>101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0.75856227063433712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0.124179358845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2.7760827457484498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22.4834266125686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69" s="5">
        <f>IF((DiscreteStatsTable[[#This Row],[RepsRequested]]&gt;1),DiscreteStatsTable[[#This Row],[HalfWidth]],DiscreteStatsTable[[#This Row],[BatchMeansHalfWidth]])</f>
        <v>0.21114550748038041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87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87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12.922566545815201</v>
      </c>
      <c r="H172">
        <v>2E+20</v>
      </c>
      <c r="I172">
        <v>5.4514153397121803E-2</v>
      </c>
      <c r="J172">
        <v>82.756412132440701</v>
      </c>
      <c r="K172">
        <v>87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12.984332962598765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1.4023856736937319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10.6246746257639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15.341045771128099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9.4131072057734898E-4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100.05428865514899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2" s="5">
        <f>IF((DiscreteStatsTable[[#This Row],[RepsRequested]]&gt;1),DiscreteStatsTable[[#This Row],[HalfWidth]],DiscreteStatsTable[[#This Row],[BatchMeansHalfWidth]])</f>
        <v>0.52365941665888183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87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12.089327644120001</v>
      </c>
      <c r="H174">
        <v>2E+20</v>
      </c>
      <c r="I174">
        <v>5.4514153397121803E-2</v>
      </c>
      <c r="J174">
        <v>82.756412132440701</v>
      </c>
      <c r="K174">
        <v>87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12.225770691964419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1.1365708300373627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10.0620704619175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14.0574701542323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9.4131072057734898E-4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100.05428865514899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4" s="5">
        <f>IF((DiscreteStatsTable[[#This Row],[RepsRequested]]&gt;1),DiscreteStatsTable[[#This Row],[HalfWidth]],DiscreteStatsTable[[#This Row],[BatchMeansHalfWidth]])</f>
        <v>0.42440252279619867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0.83323890169520498</v>
      </c>
      <c r="H175">
        <v>2E+20</v>
      </c>
      <c r="I175">
        <v>0</v>
      </c>
      <c r="J175">
        <v>12.260516872417901</v>
      </c>
      <c r="K175">
        <v>87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0.75856227063433712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0.124179358845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2.7760827457484498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22.4834266125686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5" s="5">
        <f>IF((DiscreteStatsTable[[#This Row],[RepsRequested]]&gt;1),DiscreteStatsTable[[#This Row],[HalfWidth]],DiscreteStatsTable[[#This Row],[BatchMeansHalfWidth]])</f>
        <v>0.21114550748038041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103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103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15.1514829989222</v>
      </c>
      <c r="H178">
        <v>2E+20</v>
      </c>
      <c r="I178">
        <v>9.6221764645349595E-2</v>
      </c>
      <c r="J178">
        <v>59.541203464802997</v>
      </c>
      <c r="K178">
        <v>103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12.984332962598765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1.4023856736937319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0.52365941665888183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10.6246746257639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15.341045771128099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9.4131072057734898E-4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100.05428865514899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8" s="5">
        <f>IF((DiscreteStatsTable[[#This Row],[RepsRequested]]&gt;1),DiscreteStatsTable[[#This Row],[HalfWidth]],DiscreteStatsTable[[#This Row],[BatchMeansHalfWidth]])</f>
        <v>0.52365941665888183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103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12.375400253173799</v>
      </c>
      <c r="H180">
        <v>2E+20</v>
      </c>
      <c r="I180">
        <v>9.6221764645349595E-2</v>
      </c>
      <c r="J180">
        <v>59.541203464802997</v>
      </c>
      <c r="K180">
        <v>103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12.225770691964419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1.1365708300373627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0.42440252279619867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10.0620704619175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14.0574701542323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9.4131072057734898E-4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100.05428865514899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80" s="5">
        <f>IF((DiscreteStatsTable[[#This Row],[RepsRequested]]&gt;1),DiscreteStatsTable[[#This Row],[HalfWidth]],DiscreteStatsTable[[#This Row],[BatchMeansHalfWidth]])</f>
        <v>0.42440252279619867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2.7760827457484498</v>
      </c>
      <c r="H181">
        <v>2E+20</v>
      </c>
      <c r="I181">
        <v>0</v>
      </c>
      <c r="J181">
        <v>22.4834266125686</v>
      </c>
      <c r="K181">
        <v>103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0.75856227063433712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0.56545805410039296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0.21114550748038041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0.124179358845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2.7760827457484498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22.4834266125686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87.733333333333334</v>
      </c>
      <c r="W181" s="5">
        <f>IF((DiscreteStatsTable[[#This Row],[RepsRequested]]&gt;1),DiscreteStatsTable[[#This Row],[HalfWidth]],DiscreteStatsTable[[#This Row],[BatchMeansHalfWidth]])</f>
        <v>0.21114550748038041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0.68496861392058705</v>
      </c>
      <c r="H182">
        <v>2E+20</v>
      </c>
      <c r="I182">
        <v>0</v>
      </c>
      <c r="J182">
        <v>10.426945537697</v>
      </c>
      <c r="K182">
        <v>78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0.74973840358596811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0.121257491578059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2.7346455153801599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22.4834266125686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2" s="5">
        <f>IF((DiscreteStatsTable[[#This Row],[RepsRequested]]&gt;1),DiscreteStatsTable[[#This Row],[HalfWidth]],DiscreteStatsTable[[#This Row],[BatchMeansHalfWidth]])</f>
        <v>0.20821394990153586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0.33971825738321898</v>
      </c>
      <c r="H183">
        <v>2E+20</v>
      </c>
      <c r="I183">
        <v>0</v>
      </c>
      <c r="J183">
        <v>7.89659527763021</v>
      </c>
      <c r="K183">
        <v>100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0.74973840358596811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0.121257491578059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2.7346455153801599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22.4834266125686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3" s="5">
        <f>IF((DiscreteStatsTable[[#This Row],[RepsRequested]]&gt;1),DiscreteStatsTable[[#This Row],[HalfWidth]],DiscreteStatsTable[[#This Row],[BatchMeansHalfWidth]])</f>
        <v>0.20821394990153586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0.70208932645946398</v>
      </c>
      <c r="H184">
        <v>2E+20</v>
      </c>
      <c r="I184">
        <v>0</v>
      </c>
      <c r="J184">
        <v>9.6492838871683393</v>
      </c>
      <c r="K184">
        <v>106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0.74973840358596811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0.121257491578059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2.7346455153801599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22.4834266125686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4" s="5">
        <f>IF((DiscreteStatsTable[[#This Row],[RepsRequested]]&gt;1),DiscreteStatsTable[[#This Row],[HalfWidth]],DiscreteStatsTable[[#This Row],[BatchMeansHalfWidth]])</f>
        <v>0.20821394990153586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0.32452966904358599</v>
      </c>
      <c r="H185">
        <v>2E+20</v>
      </c>
      <c r="I185">
        <v>0</v>
      </c>
      <c r="J185">
        <v>12.1275292131703</v>
      </c>
      <c r="K185">
        <v>93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0.74973840358596811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0.121257491578059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2.7346455153801599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22.4834266125686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5" s="5">
        <f>IF((DiscreteStatsTable[[#This Row],[RepsRequested]]&gt;1),DiscreteStatsTable[[#This Row],[HalfWidth]],DiscreteStatsTable[[#This Row],[BatchMeansHalfWidth]])</f>
        <v>0.20821394990153586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0.35782269161709901</v>
      </c>
      <c r="H186">
        <v>2E+20</v>
      </c>
      <c r="I186">
        <v>0</v>
      </c>
      <c r="J186">
        <v>8.6621539550380895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0.74973840358596811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0.121257491578059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2.7346455153801599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22.4834266125686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6" s="5">
        <f>IF((DiscreteStatsTable[[#This Row],[RepsRequested]]&gt;1),DiscreteStatsTable[[#This Row],[HalfWidth]],DiscreteStatsTable[[#This Row],[BatchMeansHalfWidth]])</f>
        <v>0.20821394990153586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0.60758591532467099</v>
      </c>
      <c r="H187">
        <v>2E+20</v>
      </c>
      <c r="I187">
        <v>0</v>
      </c>
      <c r="J187">
        <v>9.0480064126410902</v>
      </c>
      <c r="K187">
        <v>95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0.74973840358596811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0.121257491578059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2.7346455153801599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22.4834266125686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7" s="5">
        <f>IF((DiscreteStatsTable[[#This Row],[RepsRequested]]&gt;1),DiscreteStatsTable[[#This Row],[HalfWidth]],DiscreteStatsTable[[#This Row],[BatchMeansHalfWidth]])</f>
        <v>0.20821394990153586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0.72292026846681501</v>
      </c>
      <c r="H188">
        <v>2E+20</v>
      </c>
      <c r="I188">
        <v>0</v>
      </c>
      <c r="J188">
        <v>10.4234576207333</v>
      </c>
      <c r="K188">
        <v>86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0.74973840358596811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0.121257491578059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2.7346455153801599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22.4834266125686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8" s="5">
        <f>IF((DiscreteStatsTable[[#This Row],[RepsRequested]]&gt;1),DiscreteStatsTable[[#This Row],[HalfWidth]],DiscreteStatsTable[[#This Row],[BatchMeansHalfWidth]])</f>
        <v>0.20821394990153586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0.37124446883849599</v>
      </c>
      <c r="H189">
        <v>2E+20</v>
      </c>
      <c r="I189">
        <v>0</v>
      </c>
      <c r="J189">
        <v>4.5915202688688597</v>
      </c>
      <c r="K189">
        <v>75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0.74973840358596811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0.121257491578059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2.7346455153801599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22.4834266125686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89" s="5">
        <f>IF((DiscreteStatsTable[[#This Row],[RepsRequested]]&gt;1),DiscreteStatsTable[[#This Row],[HalfWidth]],DiscreteStatsTable[[#This Row],[BatchMeansHalfWidth]])</f>
        <v>0.20821394990153586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0.258820996847406</v>
      </c>
      <c r="H190">
        <v>2E+20</v>
      </c>
      <c r="I190">
        <v>0</v>
      </c>
      <c r="J190">
        <v>5.4554364872012702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0.74973840358596811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0.121257491578059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2.7346455153801599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22.4834266125686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0" s="5">
        <f>IF((DiscreteStatsTable[[#This Row],[RepsRequested]]&gt;1),DiscreteStatsTable[[#This Row],[HalfWidth]],DiscreteStatsTable[[#This Row],[BatchMeansHalfWidth]])</f>
        <v>0.20821394990153586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0.56260416384642897</v>
      </c>
      <c r="H191">
        <v>2E+20</v>
      </c>
      <c r="I191">
        <v>0</v>
      </c>
      <c r="J191">
        <v>11.921911796305199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0.74973840358596811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0.121257491578059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2.7346455153801599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22.4834266125686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1" s="5">
        <f>IF((DiscreteStatsTable[[#This Row],[RepsRequested]]&gt;1),DiscreteStatsTable[[#This Row],[HalfWidth]],DiscreteStatsTable[[#This Row],[BatchMeansHalfWidth]])</f>
        <v>0.20821394990153586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0.21499097679529799</v>
      </c>
      <c r="H192">
        <v>2E+20</v>
      </c>
      <c r="I192">
        <v>0</v>
      </c>
      <c r="J192">
        <v>6.3288777664303097</v>
      </c>
      <c r="K192">
        <v>94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0.74973840358596811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0.121257491578059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2.7346455153801599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22.4834266125686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2" s="5">
        <f>IF((DiscreteStatsTable[[#This Row],[RepsRequested]]&gt;1),DiscreteStatsTable[[#This Row],[HalfWidth]],DiscreteStatsTable[[#This Row],[BatchMeansHalfWidth]])</f>
        <v>0.20821394990153586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1.42551776187853</v>
      </c>
      <c r="H193">
        <v>2E+20</v>
      </c>
      <c r="I193">
        <v>0</v>
      </c>
      <c r="J193">
        <v>15.9647053158888</v>
      </c>
      <c r="K193">
        <v>84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0.74973840358596811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0.121257491578059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2.7346455153801599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22.4834266125686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3" s="5">
        <f>IF((DiscreteStatsTable[[#This Row],[RepsRequested]]&gt;1),DiscreteStatsTable[[#This Row],[HalfWidth]],DiscreteStatsTable[[#This Row],[BatchMeansHalfWidth]])</f>
        <v>0.20821394990153586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0.68358950326827905</v>
      </c>
      <c r="H194">
        <v>2E+20</v>
      </c>
      <c r="I194">
        <v>0</v>
      </c>
      <c r="J194">
        <v>8.30795862351812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0.74973840358596811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0.121257491578059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2.7346455153801599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22.4834266125686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4" s="5">
        <f>IF((DiscreteStatsTable[[#This Row],[RepsRequested]]&gt;1),DiscreteStatsTable[[#This Row],[HalfWidth]],DiscreteStatsTable[[#This Row],[BatchMeansHalfWidth]])</f>
        <v>0.20821394990153586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0.21240390687792399</v>
      </c>
      <c r="H195">
        <v>2E+20</v>
      </c>
      <c r="I195">
        <v>0</v>
      </c>
      <c r="J195">
        <v>6.0722590443829203</v>
      </c>
      <c r="K195">
        <v>93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0.74973840358596811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0.121257491578059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2.7346455153801599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22.4834266125686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5" s="5">
        <f>IF((DiscreteStatsTable[[#This Row],[RepsRequested]]&gt;1),DiscreteStatsTable[[#This Row],[HalfWidth]],DiscreteStatsTable[[#This Row],[BatchMeansHalfWidth]])</f>
        <v>0.20821394990153586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0.375874923302423</v>
      </c>
      <c r="H196">
        <v>2E+20</v>
      </c>
      <c r="I196">
        <v>0</v>
      </c>
      <c r="J196">
        <v>7.1720455617736398</v>
      </c>
      <c r="K196">
        <v>83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0.74973840358596811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0.121257491578059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2.7346455153801599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22.4834266125686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6" s="5">
        <f>IF((DiscreteStatsTable[[#This Row],[RepsRequested]]&gt;1),DiscreteStatsTable[[#This Row],[HalfWidth]],DiscreteStatsTable[[#This Row],[BatchMeansHalfWidth]])</f>
        <v>0.20821394990153586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1.10673844856951</v>
      </c>
      <c r="H197">
        <v>2E+20</v>
      </c>
      <c r="I197">
        <v>0</v>
      </c>
      <c r="J197">
        <v>13.481763891670999</v>
      </c>
      <c r="K197">
        <v>89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0.74973840358596811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0.121257491578059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2.7346455153801599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22.4834266125686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7" s="5">
        <f>IF((DiscreteStatsTable[[#This Row],[RepsRequested]]&gt;1),DiscreteStatsTable[[#This Row],[HalfWidth]],DiscreteStatsTable[[#This Row],[BatchMeansHalfWidth]])</f>
        <v>0.20821394990153586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0.51132465599197297</v>
      </c>
      <c r="H198">
        <v>2E+20</v>
      </c>
      <c r="I198">
        <v>0</v>
      </c>
      <c r="J198">
        <v>9.5589078129674991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0.74973840358596811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0.121257491578059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2.7346455153801599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22.4834266125686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8" s="5">
        <f>IF((DiscreteStatsTable[[#This Row],[RepsRequested]]&gt;1),DiscreteStatsTable[[#This Row],[HalfWidth]],DiscreteStatsTable[[#This Row],[BatchMeansHalfWidth]])</f>
        <v>0.20821394990153586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0.90734023251005103</v>
      </c>
      <c r="H199">
        <v>2E+20</v>
      </c>
      <c r="I199">
        <v>0</v>
      </c>
      <c r="J199">
        <v>9.5094724996912596</v>
      </c>
      <c r="K199">
        <v>101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0.74973840358596811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0.55760719871730724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0.121257491578059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2.7346455153801599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22.4834266125686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199" s="5">
        <f>IF((DiscreteStatsTable[[#This Row],[RepsRequested]]&gt;1),DiscreteStatsTable[[#This Row],[HalfWidth]],DiscreteStatsTable[[#This Row],[BatchMeansHalfWidth]])</f>
        <v>0.20821394990153586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0.95856481347144895</v>
      </c>
      <c r="H200">
        <v>2E+20</v>
      </c>
      <c r="I200">
        <v>0</v>
      </c>
      <c r="J200">
        <v>12.111684533992401</v>
      </c>
      <c r="K200">
        <v>85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0.74973840358596811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0.121257491578059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2.7346455153801599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22.4834266125686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0" s="5">
        <f>IF((DiscreteStatsTable[[#This Row],[RepsRequested]]&gt;1),DiscreteStatsTable[[#This Row],[HalfWidth]],DiscreteStatsTable[[#This Row],[BatchMeansHalfWidth]])</f>
        <v>0.20821394990153586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0.121257491578059</v>
      </c>
      <c r="H201">
        <v>2E+20</v>
      </c>
      <c r="I201">
        <v>0</v>
      </c>
      <c r="J201">
        <v>4.4094138780946004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0.74973840358596811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0.121257491578059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2.7346455153801599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22.4834266125686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1" s="5">
        <f>IF((DiscreteStatsTable[[#This Row],[RepsRequested]]&gt;1),DiscreteStatsTable[[#This Row],[HalfWidth]],DiscreteStatsTable[[#This Row],[BatchMeansHalfWidth]])</f>
        <v>0.20821394990153586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1.1331008423998901</v>
      </c>
      <c r="H202">
        <v>2E+20</v>
      </c>
      <c r="I202">
        <v>0</v>
      </c>
      <c r="J202">
        <v>21.369977742802099</v>
      </c>
      <c r="K202">
        <v>97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0.74973840358596811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0.121257491578059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2.7346455153801599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22.4834266125686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2" s="5">
        <f>IF((DiscreteStatsTable[[#This Row],[RepsRequested]]&gt;1),DiscreteStatsTable[[#This Row],[HalfWidth]],DiscreteStatsTable[[#This Row],[BatchMeansHalfWidth]])</f>
        <v>0.20821394990153586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0.41345972467929598</v>
      </c>
      <c r="H203">
        <v>2E+20</v>
      </c>
      <c r="I203">
        <v>0</v>
      </c>
      <c r="J203">
        <v>14.5452105665563</v>
      </c>
      <c r="K203">
        <v>83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0.74973840358596811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0.121257491578059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2.7346455153801599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22.4834266125686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3" s="5">
        <f>IF((DiscreteStatsTable[[#This Row],[RepsRequested]]&gt;1),DiscreteStatsTable[[#This Row],[HalfWidth]],DiscreteStatsTable[[#This Row],[BatchMeansHalfWidth]])</f>
        <v>0.20821394990153586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0.76437890993910496</v>
      </c>
      <c r="H204">
        <v>2E+20</v>
      </c>
      <c r="I204">
        <v>0</v>
      </c>
      <c r="J204">
        <v>14.1886295568868</v>
      </c>
      <c r="K204">
        <v>92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0.74973840358596811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0.121257491578059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2.7346455153801599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22.4834266125686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4" s="5">
        <f>IF((DiscreteStatsTable[[#This Row],[RepsRequested]]&gt;1),DiscreteStatsTable[[#This Row],[HalfWidth]],DiscreteStatsTable[[#This Row],[BatchMeansHalfWidth]])</f>
        <v>0.20821394990153586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0.35753770288336201</v>
      </c>
      <c r="H205">
        <v>2E+20</v>
      </c>
      <c r="I205">
        <v>0</v>
      </c>
      <c r="J205">
        <v>11.1525926941608</v>
      </c>
      <c r="K205">
        <v>76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0.74973840358596811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0.121257491578059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2.7346455153801599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22.4834266125686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5" s="5">
        <f>IF((DiscreteStatsTable[[#This Row],[RepsRequested]]&gt;1),DiscreteStatsTable[[#This Row],[HalfWidth]],DiscreteStatsTable[[#This Row],[BatchMeansHalfWidth]])</f>
        <v>0.20821394990153586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0.36196492211014197</v>
      </c>
      <c r="H206">
        <v>2E+20</v>
      </c>
      <c r="I206">
        <v>0</v>
      </c>
      <c r="J206">
        <v>10.6440123510615</v>
      </c>
      <c r="K206">
        <v>90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0.74973840358596811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0.121257491578059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2.7346455153801599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22.4834266125686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6" s="5">
        <f>IF((DiscreteStatsTable[[#This Row],[RepsRequested]]&gt;1),DiscreteStatsTable[[#This Row],[HalfWidth]],DiscreteStatsTable[[#This Row],[BatchMeansHalfWidth]])</f>
        <v>0.20821394990153586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1.2345000865779101</v>
      </c>
      <c r="H207">
        <v>2E+20</v>
      </c>
      <c r="I207">
        <v>0</v>
      </c>
      <c r="J207">
        <v>19.7178390931339</v>
      </c>
      <c r="K207">
        <v>85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0.74973840358596811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0.121257491578059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2.7346455153801599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22.4834266125686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7" s="5">
        <f>IF((DiscreteStatsTable[[#This Row],[RepsRequested]]&gt;1),DiscreteStatsTable[[#This Row],[HalfWidth]],DiscreteStatsTable[[#This Row],[BatchMeansHalfWidth]])</f>
        <v>0.20821394990153586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1.67230788399821</v>
      </c>
      <c r="H208">
        <v>2E+20</v>
      </c>
      <c r="I208">
        <v>0</v>
      </c>
      <c r="J208">
        <v>16.985271178518499</v>
      </c>
      <c r="K208">
        <v>93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0.74973840358596811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0.121257491578059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2.7346455153801599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22.4834266125686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8" s="5">
        <f>IF((DiscreteStatsTable[[#This Row],[RepsRequested]]&gt;1),DiscreteStatsTable[[#This Row],[HalfWidth]],DiscreteStatsTable[[#This Row],[BatchMeansHalfWidth]])</f>
        <v>0.20821394990153586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1.55583500162551</v>
      </c>
      <c r="H209">
        <v>2E+20</v>
      </c>
      <c r="I209">
        <v>0</v>
      </c>
      <c r="J209">
        <v>17.624146866448701</v>
      </c>
      <c r="K209">
        <v>104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0.74973840358596811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0.121257491578059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2.7346455153801599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22.4834266125686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09" s="5">
        <f>IF((DiscreteStatsTable[[#This Row],[RepsRequested]]&gt;1),DiscreteStatsTable[[#This Row],[HalfWidth]],DiscreteStatsTable[[#This Row],[BatchMeansHalfWidth]])</f>
        <v>0.20821394990153586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0.81451443199419005</v>
      </c>
      <c r="H210">
        <v>2E+20</v>
      </c>
      <c r="I210">
        <v>0</v>
      </c>
      <c r="J210">
        <v>12.260516872417901</v>
      </c>
      <c r="K210">
        <v>89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0.74973840358596811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0.121257491578059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2.7346455153801599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22.4834266125686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10" s="5">
        <f>IF((DiscreteStatsTable[[#This Row],[RepsRequested]]&gt;1),DiscreteStatsTable[[#This Row],[HalfWidth]],DiscreteStatsTable[[#This Row],[BatchMeansHalfWidth]])</f>
        <v>0.20821394990153586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2.7346455153801599</v>
      </c>
      <c r="H211">
        <v>2E+20</v>
      </c>
      <c r="I211">
        <v>0</v>
      </c>
      <c r="J211">
        <v>22.4834266125686</v>
      </c>
      <c r="K211">
        <v>107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0.74973840358596811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0.55760719871730724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0.20821394990153586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0.121257491578059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2.7346455153801599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22.4834266125686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89.666666666666671</v>
      </c>
      <c r="W211" s="5">
        <f>IF((DiscreteStatsTable[[#This Row],[RepsRequested]]&gt;1),DiscreteStatsTable[[#This Row],[HalfWidth]],DiscreteStatsTable[[#This Row],[BatchMeansHalfWidth]])</f>
        <v>0.20821394990153586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2.0742850706120799</v>
      </c>
      <c r="H2">
        <v>2E+20</v>
      </c>
      <c r="I2">
        <v>0</v>
      </c>
      <c r="J2">
        <v>8</v>
      </c>
      <c r="K2">
        <v>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1.49846325156419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2.9737327083745901</v>
      </c>
      <c r="U2">
        <f>IF((ContinuousStatsTable[[#This Row],[RepsRequested]]&gt;1),ContinuousStatsTable[[#This Row],[HalfWidth]],ContinuousStatsTable[[#This Row],[BatchMeansHalfWidth]])</f>
        <v>0.12678337363627387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0.49383628992811102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0.35780838206908899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0.62716275812281796</v>
      </c>
      <c r="U3">
        <f>IF((ContinuousStatsTable[[#This Row],[RepsRequested]]&gt;1),ContinuousStatsTable[[#This Row],[HalfWidth]],ContinuousStatsTable[[#This Row],[BatchMeansHalfWidth]])</f>
        <v>2.5052604945405288E-2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1.9753451597124501</v>
      </c>
      <c r="H4">
        <v>2E+20</v>
      </c>
      <c r="I4">
        <v>0</v>
      </c>
      <c r="J4">
        <v>4</v>
      </c>
      <c r="K4">
        <v>4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1.43123352827636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2.5086510324912701</v>
      </c>
      <c r="U4">
        <f>IF((ContinuousStatsTable[[#This Row],[RepsRequested]]&gt;1),ContinuousStatsTable[[#This Row],[HalfWidth]],ContinuousStatsTable[[#This Row],[BatchMeansHalfWidth]])</f>
        <v>0.10021041978162182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4</v>
      </c>
      <c r="H5">
        <v>2E+20</v>
      </c>
      <c r="I5">
        <v>4</v>
      </c>
      <c r="J5">
        <v>4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9.8939910899640396E-2</v>
      </c>
      <c r="H6">
        <v>2E+20</v>
      </c>
      <c r="I6">
        <v>0</v>
      </c>
      <c r="J6">
        <v>4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1.9086827378027801E-2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0.54186494471421698</v>
      </c>
      <c r="U6">
        <f>IF((ContinuousStatsTable[[#This Row],[RepsRequested]]&gt;1),ContinuousStatsTable[[#This Row],[HalfWidth]],ContinuousStatsTable[[#This Row],[BatchMeansHalfWidth]])</f>
        <v>4.0249674119401432E-2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2.42158614569118</v>
      </c>
      <c r="H7">
        <v>2E+20</v>
      </c>
      <c r="I7">
        <v>0</v>
      </c>
      <c r="J7">
        <v>7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1.49846325156419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2.9737327083745901</v>
      </c>
      <c r="U7">
        <f>IF((ContinuousStatsTable[[#This Row],[RepsRequested]]&gt;1),ContinuousStatsTable[[#This Row],[HalfWidth]],ContinuousStatsTable[[#This Row],[BatchMeansHalfWidth]])</f>
        <v>0.12678337363627387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0.58966883932172098</v>
      </c>
      <c r="H8">
        <v>2E+20</v>
      </c>
      <c r="I8">
        <v>0</v>
      </c>
      <c r="J8">
        <v>1</v>
      </c>
      <c r="K8">
        <v>0.25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0.35780838206908899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0.62716275812281796</v>
      </c>
      <c r="U8">
        <f>IF((ContinuousStatsTable[[#This Row],[RepsRequested]]&gt;1),ContinuousStatsTable[[#This Row],[HalfWidth]],ContinuousStatsTable[[#This Row],[BatchMeansHalfWidth]])</f>
        <v>2.5052604945405288E-2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2.3586753572868799</v>
      </c>
      <c r="H9">
        <v>2E+20</v>
      </c>
      <c r="I9">
        <v>0</v>
      </c>
      <c r="J9">
        <v>4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1.43123352827636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2.5086510324912701</v>
      </c>
      <c r="U9">
        <f>IF((ContinuousStatsTable[[#This Row],[RepsRequested]]&gt;1),ContinuousStatsTable[[#This Row],[HalfWidth]],ContinuousStatsTable[[#This Row],[BatchMeansHalfWidth]])</f>
        <v>0.10021041978162182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4</v>
      </c>
      <c r="H10">
        <v>2E+20</v>
      </c>
      <c r="I10">
        <v>4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6.2910788404299797E-2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1.9086827378027801E-2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0.54186494471421698</v>
      </c>
      <c r="U11">
        <f>IF((ContinuousStatsTable[[#This Row],[RepsRequested]]&gt;1),ContinuousStatsTable[[#This Row],[HalfWidth]],ContinuousStatsTable[[#This Row],[BatchMeansHalfWidth]])</f>
        <v>4.0249674119401432E-2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2.5277728598384699</v>
      </c>
      <c r="H12">
        <v>2E+20</v>
      </c>
      <c r="I12">
        <v>0</v>
      </c>
      <c r="J12">
        <v>8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1.49846325156419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2.9737327083745901</v>
      </c>
      <c r="U12">
        <f>IF((ContinuousStatsTable[[#This Row],[RepsRequested]]&gt;1),ContinuousStatsTable[[#This Row],[HalfWidth]],ContinuousStatsTable[[#This Row],[BatchMeansHalfWidth]])</f>
        <v>0.12678337363627387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0.59748883134632902</v>
      </c>
      <c r="H13">
        <v>2E+20</v>
      </c>
      <c r="I13">
        <v>0</v>
      </c>
      <c r="J13">
        <v>1</v>
      </c>
      <c r="K13">
        <v>0.25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0.35780838206908899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0.62716275812281796</v>
      </c>
      <c r="U13">
        <f>IF((ContinuousStatsTable[[#This Row],[RepsRequested]]&gt;1),ContinuousStatsTable[[#This Row],[HalfWidth]],ContinuousStatsTable[[#This Row],[BatchMeansHalfWidth]])</f>
        <v>2.5052604945405288E-2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2.3899553253853201</v>
      </c>
      <c r="H14">
        <v>2E+20</v>
      </c>
      <c r="I14">
        <v>0</v>
      </c>
      <c r="J14">
        <v>4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1.43123352827636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2.5086510324912701</v>
      </c>
      <c r="U14">
        <f>IF((ContinuousStatsTable[[#This Row],[RepsRequested]]&gt;1),ContinuousStatsTable[[#This Row],[HalfWidth]],ContinuousStatsTable[[#This Row],[BatchMeansHalfWidth]])</f>
        <v>0.10021041978162182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0.13781753445315401</v>
      </c>
      <c r="H16">
        <v>2E+20</v>
      </c>
      <c r="I16">
        <v>0</v>
      </c>
      <c r="J16">
        <v>4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1.9086827378027801E-2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0.54186494471421698</v>
      </c>
      <c r="U16">
        <f>IF((ContinuousStatsTable[[#This Row],[RepsRequested]]&gt;1),ContinuousStatsTable[[#This Row],[HalfWidth]],ContinuousStatsTable[[#This Row],[BatchMeansHalfWidth]])</f>
        <v>4.0249674119401432E-2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2.1012068888253199</v>
      </c>
      <c r="H17">
        <v>2E+20</v>
      </c>
      <c r="I17">
        <v>0</v>
      </c>
      <c r="J17">
        <v>6</v>
      </c>
      <c r="K17">
        <v>4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1.49846325156419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2.9737327083745901</v>
      </c>
      <c r="U17">
        <f>IF((ContinuousStatsTable[[#This Row],[RepsRequested]]&gt;1),ContinuousStatsTable[[#This Row],[HalfWidth]],ContinuousStatsTable[[#This Row],[BatchMeansHalfWidth]])</f>
        <v>0.12678337363627387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0.51132891701139904</v>
      </c>
      <c r="H18">
        <v>2E+20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0.35780838206908899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0.62716275812281796</v>
      </c>
      <c r="U18">
        <f>IF((ContinuousStatsTable[[#This Row],[RepsRequested]]&gt;1),ContinuousStatsTable[[#This Row],[HalfWidth]],ContinuousStatsTable[[#This Row],[BatchMeansHalfWidth]])</f>
        <v>2.5052604945405288E-2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2.0453156680456002</v>
      </c>
      <c r="H19">
        <v>2E+20</v>
      </c>
      <c r="I19">
        <v>0</v>
      </c>
      <c r="J19">
        <v>4</v>
      </c>
      <c r="K19">
        <v>4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1.43123352827636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2.5086510324912701</v>
      </c>
      <c r="U19">
        <f>IF((ContinuousStatsTable[[#This Row],[RepsRequested]]&gt;1),ContinuousStatsTable[[#This Row],[HalfWidth]],ContinuousStatsTable[[#This Row],[BatchMeansHalfWidth]])</f>
        <v>0.10021041978162182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4</v>
      </c>
      <c r="H20">
        <v>2E+20</v>
      </c>
      <c r="I20">
        <v>4</v>
      </c>
      <c r="J20">
        <v>4</v>
      </c>
      <c r="K20">
        <v>4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4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4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5.5891220779728697E-2</v>
      </c>
      <c r="H21">
        <v>2E+20</v>
      </c>
      <c r="I21">
        <v>0</v>
      </c>
      <c r="J21">
        <v>2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1.9086827378027801E-2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0.54186494471421698</v>
      </c>
      <c r="U21">
        <f>IF((ContinuousStatsTable[[#This Row],[RepsRequested]]&gt;1),ContinuousStatsTable[[#This Row],[HalfWidth]],ContinuousStatsTable[[#This Row],[BatchMeansHalfWidth]])</f>
        <v>4.0249674119401432E-2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1.9294350383254799</v>
      </c>
      <c r="H22">
        <v>2E+20</v>
      </c>
      <c r="I22">
        <v>0</v>
      </c>
      <c r="J22">
        <v>6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1.49846325156419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2.9737327083745901</v>
      </c>
      <c r="U22">
        <f>IF((ContinuousStatsTable[[#This Row],[RepsRequested]]&gt;1),ContinuousStatsTable[[#This Row],[HalfWidth]],ContinuousStatsTable[[#This Row],[BatchMeansHalfWidth]])</f>
        <v>0.12678337363627387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0.46645552884283398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0.35780838206908899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0.62716275812281796</v>
      </c>
      <c r="U23">
        <f>IF((ContinuousStatsTable[[#This Row],[RepsRequested]]&gt;1),ContinuousStatsTable[[#This Row],[HalfWidth]],ContinuousStatsTable[[#This Row],[BatchMeansHalfWidth]])</f>
        <v>2.5052604945405288E-2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1.8658221153713299</v>
      </c>
      <c r="H24">
        <v>2E+20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1.43123352827636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2.5086510324912701</v>
      </c>
      <c r="U24">
        <f>IF((ContinuousStatsTable[[#This Row],[RepsRequested]]&gt;1),ContinuousStatsTable[[#This Row],[HalfWidth]],ContinuousStatsTable[[#This Row],[BatchMeansHalfWidth]])</f>
        <v>0.10021041978162182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4</v>
      </c>
      <c r="H25">
        <v>2E+20</v>
      </c>
      <c r="I25">
        <v>4</v>
      </c>
      <c r="J25">
        <v>4</v>
      </c>
      <c r="K25">
        <v>4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6.3612922954150802E-2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1.9086827378027801E-2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0.54186494471421698</v>
      </c>
      <c r="U26">
        <f>IF((ContinuousStatsTable[[#This Row],[RepsRequested]]&gt;1),ContinuousStatsTable[[#This Row],[HalfWidth]],ContinuousStatsTable[[#This Row],[BatchMeansHalfWidth]])</f>
        <v>4.0249674119401432E-2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2.34318847145612</v>
      </c>
      <c r="H27">
        <v>2E+20</v>
      </c>
      <c r="I27">
        <v>0</v>
      </c>
      <c r="J27">
        <v>7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1.49846325156419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2.9737327083745901</v>
      </c>
      <c r="U27">
        <f>IF((ContinuousStatsTable[[#This Row],[RepsRequested]]&gt;1),ContinuousStatsTable[[#This Row],[HalfWidth]],ContinuousStatsTable[[#This Row],[BatchMeansHalfWidth]])</f>
        <v>0.12678337363627387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0.55907458918076802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0.35780838206908899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0.62716275812281796</v>
      </c>
      <c r="U28">
        <f>IF((ContinuousStatsTable[[#This Row],[RepsRequested]]&gt;1),ContinuousStatsTable[[#This Row],[HalfWidth]],ContinuousStatsTable[[#This Row],[BatchMeansHalfWidth]])</f>
        <v>2.5052604945405288E-2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2.2362983567230699</v>
      </c>
      <c r="H29">
        <v>2E+20</v>
      </c>
      <c r="I29">
        <v>0</v>
      </c>
      <c r="J29">
        <v>4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1.43123352827636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2.5086510324912701</v>
      </c>
      <c r="U29">
        <f>IF((ContinuousStatsTable[[#This Row],[RepsRequested]]&gt;1),ContinuousStatsTable[[#This Row],[HalfWidth]],ContinuousStatsTable[[#This Row],[BatchMeansHalfWidth]])</f>
        <v>0.10021041978162182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0.10689011473304399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1.9086827378027801E-2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0.54186494471421698</v>
      </c>
      <c r="U31">
        <f>IF((ContinuousStatsTable[[#This Row],[RepsRequested]]&gt;1),ContinuousStatsTable[[#This Row],[HalfWidth]],ContinuousStatsTable[[#This Row],[BatchMeansHalfWidth]])</f>
        <v>4.0249674119401432E-2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2.2819665711621302</v>
      </c>
      <c r="H32">
        <v>2E+20</v>
      </c>
      <c r="I32">
        <v>0</v>
      </c>
      <c r="J32">
        <v>6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1.49846325156419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2.9737327083745901</v>
      </c>
      <c r="U32">
        <f>IF((ContinuousStatsTable[[#This Row],[RepsRequested]]&gt;1),ContinuousStatsTable[[#This Row],[HalfWidth]],ContinuousStatsTable[[#This Row],[BatchMeansHalfWidth]])</f>
        <v>0.12678337363627387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0.54170870617565103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0.35780838206908899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0.62716275812281796</v>
      </c>
      <c r="U33">
        <f>IF((ContinuousStatsTable[[#This Row],[RepsRequested]]&gt;1),ContinuousStatsTable[[#This Row],[HalfWidth]],ContinuousStatsTable[[#This Row],[BatchMeansHalfWidth]])</f>
        <v>2.5052604945405288E-2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2.1668348247026001</v>
      </c>
      <c r="H34">
        <v>2E+20</v>
      </c>
      <c r="I34">
        <v>0</v>
      </c>
      <c r="J34">
        <v>4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1.43123352827636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2.5086510324912701</v>
      </c>
      <c r="U34">
        <f>IF((ContinuousStatsTable[[#This Row],[RepsRequested]]&gt;1),ContinuousStatsTable[[#This Row],[HalfWidth]],ContinuousStatsTable[[#This Row],[BatchMeansHalfWidth]])</f>
        <v>0.10021041978162182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4</v>
      </c>
      <c r="H35">
        <v>2E+20</v>
      </c>
      <c r="I35">
        <v>4</v>
      </c>
      <c r="J35">
        <v>4</v>
      </c>
      <c r="K35">
        <v>4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4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4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4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0.11513174645953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1.9086827378027801E-2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0.54186494471421698</v>
      </c>
      <c r="U36">
        <f>IF((ContinuousStatsTable[[#This Row],[RepsRequested]]&gt;1),ContinuousStatsTable[[#This Row],[HalfWidth]],ContinuousStatsTable[[#This Row],[BatchMeansHalfWidth]])</f>
        <v>4.0249674119401432E-2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1.96904099033096</v>
      </c>
      <c r="H37">
        <v>2E+20</v>
      </c>
      <c r="I37">
        <v>0</v>
      </c>
      <c r="J37">
        <v>7</v>
      </c>
      <c r="K37">
        <v>2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1.49846325156419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2.9737327083745901</v>
      </c>
      <c r="U37">
        <f>IF((ContinuousStatsTable[[#This Row],[RepsRequested]]&gt;1),ContinuousStatsTable[[#This Row],[HalfWidth]],ContinuousStatsTable[[#This Row],[BatchMeansHalfWidth]])</f>
        <v>0.12678337363627387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0.47936981463695799</v>
      </c>
      <c r="H38">
        <v>2E+20</v>
      </c>
      <c r="I38">
        <v>0</v>
      </c>
      <c r="J38">
        <v>1</v>
      </c>
      <c r="K38">
        <v>0.5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0.35780838206908899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0.62716275812281796</v>
      </c>
      <c r="U38">
        <f>IF((ContinuousStatsTable[[#This Row],[RepsRequested]]&gt;1),ContinuousStatsTable[[#This Row],[HalfWidth]],ContinuousStatsTable[[#This Row],[BatchMeansHalfWidth]])</f>
        <v>2.5052604945405288E-2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1.91747925854783</v>
      </c>
      <c r="H39">
        <v>2E+20</v>
      </c>
      <c r="I39">
        <v>0</v>
      </c>
      <c r="J39">
        <v>4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1.43123352827636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2.5086510324912701</v>
      </c>
      <c r="U39">
        <f>IF((ContinuousStatsTable[[#This Row],[RepsRequested]]&gt;1),ContinuousStatsTable[[#This Row],[HalfWidth]],ContinuousStatsTable[[#This Row],[BatchMeansHalfWidth]])</f>
        <v>0.10021041978162182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4</v>
      </c>
      <c r="H40">
        <v>2E+20</v>
      </c>
      <c r="I40">
        <v>4</v>
      </c>
      <c r="J40">
        <v>4</v>
      </c>
      <c r="K40">
        <v>4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4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5.1561731783124502E-2</v>
      </c>
      <c r="H41">
        <v>2E+20</v>
      </c>
      <c r="I41">
        <v>0</v>
      </c>
      <c r="J41">
        <v>3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1.9086827378027801E-2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0.54186494471421698</v>
      </c>
      <c r="U41">
        <f>IF((ContinuousStatsTable[[#This Row],[RepsRequested]]&gt;1),ContinuousStatsTable[[#This Row],[HalfWidth]],ContinuousStatsTable[[#This Row],[BatchMeansHalfWidth]])</f>
        <v>4.0249674119401432E-2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1.79453412932714</v>
      </c>
      <c r="H42">
        <v>2E+20</v>
      </c>
      <c r="I42">
        <v>0</v>
      </c>
      <c r="J42">
        <v>5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1.49846325156419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2.9737327083745901</v>
      </c>
      <c r="U42">
        <f>IF((ContinuousStatsTable[[#This Row],[RepsRequested]]&gt;1),ContinuousStatsTable[[#This Row],[HalfWidth]],ContinuousStatsTable[[#This Row],[BatchMeansHalfWidth]])</f>
        <v>0.12678337363627387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0.43820879773654198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0.35780838206908899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0.62716275812281796</v>
      </c>
      <c r="U43">
        <f>IF((ContinuousStatsTable[[#This Row],[RepsRequested]]&gt;1),ContinuousStatsTable[[#This Row],[HalfWidth]],ContinuousStatsTable[[#This Row],[BatchMeansHalfWidth]])</f>
        <v>2.5052604945405288E-2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1.7528351909461699</v>
      </c>
      <c r="H44">
        <v>2E+20</v>
      </c>
      <c r="I44">
        <v>0</v>
      </c>
      <c r="J44">
        <v>4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1.43123352827636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2.5086510324912701</v>
      </c>
      <c r="U44">
        <f>IF((ContinuousStatsTable[[#This Row],[RepsRequested]]&gt;1),ContinuousStatsTable[[#This Row],[HalfWidth]],ContinuousStatsTable[[#This Row],[BatchMeansHalfWidth]])</f>
        <v>0.10021041978162182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4</v>
      </c>
      <c r="H45">
        <v>2E+20</v>
      </c>
      <c r="I45">
        <v>4</v>
      </c>
      <c r="J45">
        <v>4</v>
      </c>
      <c r="K45">
        <v>4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4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4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4.1698938380970899E-2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1.9086827378027801E-2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0.54186494471421698</v>
      </c>
      <c r="U46">
        <f>IF((ContinuousStatsTable[[#This Row],[RepsRequested]]&gt;1),ContinuousStatsTable[[#This Row],[HalfWidth]],ContinuousStatsTable[[#This Row],[BatchMeansHalfWidth]])</f>
        <v>4.0249674119401432E-2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1.59370119386458</v>
      </c>
      <c r="H47">
        <v>2E+20</v>
      </c>
      <c r="I47">
        <v>0</v>
      </c>
      <c r="J47">
        <v>7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1.49846325156419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2.9737327083745901</v>
      </c>
      <c r="U47">
        <f>IF((ContinuousStatsTable[[#This Row],[RepsRequested]]&gt;1),ContinuousStatsTable[[#This Row],[HalfWidth]],ContinuousStatsTable[[#This Row],[BatchMeansHalfWidth]])</f>
        <v>0.12678337363627387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0.37732764232190502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0.35780838206908899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0.62716275812281796</v>
      </c>
      <c r="U48">
        <f>IF((ContinuousStatsTable[[#This Row],[RepsRequested]]&gt;1),ContinuousStatsTable[[#This Row],[HalfWidth]],ContinuousStatsTable[[#This Row],[BatchMeansHalfWidth]])</f>
        <v>2.5052604945405288E-2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1.5093105692876201</v>
      </c>
      <c r="H49">
        <v>2E+20</v>
      </c>
      <c r="I49">
        <v>0</v>
      </c>
      <c r="J49">
        <v>4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1.43123352827636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2.5086510324912701</v>
      </c>
      <c r="U49">
        <f>IF((ContinuousStatsTable[[#This Row],[RepsRequested]]&gt;1),ContinuousStatsTable[[#This Row],[HalfWidth]],ContinuousStatsTable[[#This Row],[BatchMeansHalfWidth]])</f>
        <v>0.10021041978162182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4</v>
      </c>
      <c r="H50">
        <v>2E+20</v>
      </c>
      <c r="I50">
        <v>4</v>
      </c>
      <c r="J50">
        <v>4</v>
      </c>
      <c r="K50">
        <v>4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4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8.4390624576964404E-2</v>
      </c>
      <c r="H51">
        <v>2E+20</v>
      </c>
      <c r="I51">
        <v>0</v>
      </c>
      <c r="J51">
        <v>3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1.9086827378027801E-2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0.54186494471421698</v>
      </c>
      <c r="U51">
        <f>IF((ContinuousStatsTable[[#This Row],[RepsRequested]]&gt;1),ContinuousStatsTable[[#This Row],[HalfWidth]],ContinuousStatsTable[[#This Row],[BatchMeansHalfWidth]])</f>
        <v>4.0249674119401432E-2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1.9201760170898901</v>
      </c>
      <c r="H52">
        <v>2E+20</v>
      </c>
      <c r="I52">
        <v>0</v>
      </c>
      <c r="J52">
        <v>6</v>
      </c>
      <c r="K52">
        <v>4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1.49846325156419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2.9737327083745901</v>
      </c>
      <c r="U52">
        <f>IF((ContinuousStatsTable[[#This Row],[RepsRequested]]&gt;1),ContinuousStatsTable[[#This Row],[HalfWidth]],ContinuousStatsTable[[#This Row],[BatchMeansHalfWidth]])</f>
        <v>0.12678337363627387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0.470687915467491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0.35780838206908899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0.62716275812281796</v>
      </c>
      <c r="U53">
        <f>IF((ContinuousStatsTable[[#This Row],[RepsRequested]]&gt;1),ContinuousStatsTable[[#This Row],[HalfWidth]],ContinuousStatsTable[[#This Row],[BatchMeansHalfWidth]])</f>
        <v>2.5052604945405288E-2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1.88275166186996</v>
      </c>
      <c r="H54">
        <v>2E+20</v>
      </c>
      <c r="I54">
        <v>0</v>
      </c>
      <c r="J54">
        <v>4</v>
      </c>
      <c r="K54">
        <v>4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1.43123352827636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2.5086510324912701</v>
      </c>
      <c r="U54">
        <f>IF((ContinuousStatsTable[[#This Row],[RepsRequested]]&gt;1),ContinuousStatsTable[[#This Row],[HalfWidth]],ContinuousStatsTable[[#This Row],[BatchMeansHalfWidth]])</f>
        <v>0.10021041978162182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3.7424355219922302E-2</v>
      </c>
      <c r="H56">
        <v>2E+20</v>
      </c>
      <c r="I56">
        <v>0</v>
      </c>
      <c r="J56">
        <v>2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1.9086827378027801E-2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0.54186494471421698</v>
      </c>
      <c r="U56">
        <f>IF((ContinuousStatsTable[[#This Row],[RepsRequested]]&gt;1),ContinuousStatsTable[[#This Row],[HalfWidth]],ContinuousStatsTable[[#This Row],[BatchMeansHalfWidth]])</f>
        <v>4.0249674119401432E-2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2.1213859098109999</v>
      </c>
      <c r="H57">
        <v>2E+20</v>
      </c>
      <c r="I57">
        <v>0</v>
      </c>
      <c r="J57">
        <v>7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1.49846325156419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2.9737327083745901</v>
      </c>
      <c r="U57">
        <f>IF((ContinuousStatsTable[[#This Row],[RepsRequested]]&gt;1),ContinuousStatsTable[[#This Row],[HalfWidth]],ContinuousStatsTable[[#This Row],[BatchMeansHalfWidth]])</f>
        <v>0.12678337363627387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0.47490967560191899</v>
      </c>
      <c r="H58">
        <v>2E+20</v>
      </c>
      <c r="I58">
        <v>0</v>
      </c>
      <c r="J58">
        <v>1</v>
      </c>
      <c r="K58">
        <v>0.25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0.35780838206908899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0.62716275812281796</v>
      </c>
      <c r="U58">
        <f>IF((ContinuousStatsTable[[#This Row],[RepsRequested]]&gt;1),ContinuousStatsTable[[#This Row],[HalfWidth]],ContinuousStatsTable[[#This Row],[BatchMeansHalfWidth]])</f>
        <v>2.5052604945405288E-2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1.89963870240768</v>
      </c>
      <c r="H59">
        <v>2E+20</v>
      </c>
      <c r="I59">
        <v>0</v>
      </c>
      <c r="J59">
        <v>4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1.43123352827636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2.5086510324912701</v>
      </c>
      <c r="U59">
        <f>IF((ContinuousStatsTable[[#This Row],[RepsRequested]]&gt;1),ContinuousStatsTable[[#This Row],[HalfWidth]],ContinuousStatsTable[[#This Row],[BatchMeansHalfWidth]])</f>
        <v>0.10021041978162182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4</v>
      </c>
      <c r="H60">
        <v>2E+20</v>
      </c>
      <c r="I60">
        <v>4</v>
      </c>
      <c r="J60">
        <v>4</v>
      </c>
      <c r="K60">
        <v>4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4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4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0.22174720740332701</v>
      </c>
      <c r="H61">
        <v>2E+20</v>
      </c>
      <c r="I61">
        <v>0</v>
      </c>
      <c r="J61">
        <v>3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1.9086827378027801E-2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0.54186494471421698</v>
      </c>
      <c r="U61">
        <f>IF((ContinuousStatsTable[[#This Row],[RepsRequested]]&gt;1),ContinuousStatsTable[[#This Row],[HalfWidth]],ContinuousStatsTable[[#This Row],[BatchMeansHalfWidth]])</f>
        <v>4.0249674119401432E-2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2.2410141144448099</v>
      </c>
      <c r="H62">
        <v>2E+20</v>
      </c>
      <c r="I62">
        <v>0</v>
      </c>
      <c r="J62">
        <v>8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1.49846325156419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2.9737327083745901</v>
      </c>
      <c r="U62">
        <f>IF((ContinuousStatsTable[[#This Row],[RepsRequested]]&gt;1),ContinuousStatsTable[[#This Row],[HalfWidth]],ContinuousStatsTable[[#This Row],[BatchMeansHalfWidth]])</f>
        <v>0.12678337363627387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0.531137679397923</v>
      </c>
      <c r="H63">
        <v>2E+20</v>
      </c>
      <c r="I63">
        <v>0</v>
      </c>
      <c r="J63">
        <v>1</v>
      </c>
      <c r="K63">
        <v>0.25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0.35780838206908899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0.62716275812281796</v>
      </c>
      <c r="U63">
        <f>IF((ContinuousStatsTable[[#This Row],[RepsRequested]]&gt;1),ContinuousStatsTable[[#This Row],[HalfWidth]],ContinuousStatsTable[[#This Row],[BatchMeansHalfWidth]])</f>
        <v>2.5052604945405288E-2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2.1245507175916898</v>
      </c>
      <c r="H64">
        <v>2E+20</v>
      </c>
      <c r="I64">
        <v>0</v>
      </c>
      <c r="J64">
        <v>4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1.43123352827636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2.5086510324912701</v>
      </c>
      <c r="U64">
        <f>IF((ContinuousStatsTable[[#This Row],[RepsRequested]]&gt;1),ContinuousStatsTable[[#This Row],[HalfWidth]],ContinuousStatsTable[[#This Row],[BatchMeansHalfWidth]])</f>
        <v>0.10021041978162182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4</v>
      </c>
      <c r="H65">
        <v>2E+20</v>
      </c>
      <c r="I65">
        <v>4</v>
      </c>
      <c r="J65">
        <v>4</v>
      </c>
      <c r="K65">
        <v>4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4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4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0.11646339685311401</v>
      </c>
      <c r="H66">
        <v>2E+20</v>
      </c>
      <c r="I66">
        <v>0</v>
      </c>
      <c r="J66">
        <v>4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1.9086827378027801E-2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0.54186494471421698</v>
      </c>
      <c r="U66">
        <f>IF((ContinuousStatsTable[[#This Row],[RepsRequested]]&gt;1),ContinuousStatsTable[[#This Row],[HalfWidth]],ContinuousStatsTable[[#This Row],[BatchMeansHalfWidth]])</f>
        <v>4.0249674119401432E-2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1.9854670454958701</v>
      </c>
      <c r="H67">
        <v>2E+20</v>
      </c>
      <c r="I67">
        <v>0</v>
      </c>
      <c r="J67">
        <v>6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1.49846325156419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2.9737327083745901</v>
      </c>
      <c r="U67">
        <f>IF((ContinuousStatsTable[[#This Row],[RepsRequested]]&gt;1),ContinuousStatsTable[[#This Row],[HalfWidth]],ContinuousStatsTable[[#This Row],[BatchMeansHalfWidth]])</f>
        <v>0.12678337363627387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0.48722159316116698</v>
      </c>
      <c r="H68">
        <v>2E+20</v>
      </c>
      <c r="I68">
        <v>0</v>
      </c>
      <c r="J68">
        <v>1</v>
      </c>
      <c r="K68">
        <v>0.25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0.35780838206908899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0.62716275812281796</v>
      </c>
      <c r="U68">
        <f>IF((ContinuousStatsTable[[#This Row],[RepsRequested]]&gt;1),ContinuousStatsTable[[#This Row],[HalfWidth]],ContinuousStatsTable[[#This Row],[BatchMeansHalfWidth]])</f>
        <v>2.5052604945405288E-2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1.9488863726446699</v>
      </c>
      <c r="H69">
        <v>2E+20</v>
      </c>
      <c r="I69">
        <v>0</v>
      </c>
      <c r="J69">
        <v>4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1.43123352827636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2.5086510324912701</v>
      </c>
      <c r="U69">
        <f>IF((ContinuousStatsTable[[#This Row],[RepsRequested]]&gt;1),ContinuousStatsTable[[#This Row],[HalfWidth]],ContinuousStatsTable[[#This Row],[BatchMeansHalfWidth]])</f>
        <v>0.10021041978162182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4</v>
      </c>
      <c r="H70">
        <v>2E+20</v>
      </c>
      <c r="I70">
        <v>4</v>
      </c>
      <c r="J70">
        <v>4</v>
      </c>
      <c r="K70">
        <v>4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4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4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3.65806728511981E-2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1.9086827378027801E-2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0.54186494471421698</v>
      </c>
      <c r="U71">
        <f>IF((ContinuousStatsTable[[#This Row],[RepsRequested]]&gt;1),ContinuousStatsTable[[#This Row],[HalfWidth]],ContinuousStatsTable[[#This Row],[BatchMeansHalfWidth]])</f>
        <v>4.0249674119401432E-2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1.8304864345591301</v>
      </c>
      <c r="H72">
        <v>2E+20</v>
      </c>
      <c r="I72">
        <v>0</v>
      </c>
      <c r="J72">
        <v>6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1.49846325156419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2.9737327083745901</v>
      </c>
      <c r="U72">
        <f>IF((ContinuousStatsTable[[#This Row],[RepsRequested]]&gt;1),ContinuousStatsTable[[#This Row],[HalfWidth]],ContinuousStatsTable[[#This Row],[BatchMeansHalfWidth]])</f>
        <v>0.12678337363627387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0.44317826667955201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0.35780838206908899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0.62716275812281796</v>
      </c>
      <c r="U73">
        <f>IF((ContinuousStatsTable[[#This Row],[RepsRequested]]&gt;1),ContinuousStatsTable[[#This Row],[HalfWidth]],ContinuousStatsTable[[#This Row],[BatchMeansHalfWidth]])</f>
        <v>2.5052604945405288E-2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1.7727130667182101</v>
      </c>
      <c r="H74">
        <v>2E+20</v>
      </c>
      <c r="I74">
        <v>0</v>
      </c>
      <c r="J74">
        <v>4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1.43123352827636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2.5086510324912701</v>
      </c>
      <c r="U74">
        <f>IF((ContinuousStatsTable[[#This Row],[RepsRequested]]&gt;1),ContinuousStatsTable[[#This Row],[HalfWidth]],ContinuousStatsTable[[#This Row],[BatchMeansHalfWidth]])</f>
        <v>0.10021041978162182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4</v>
      </c>
      <c r="H75">
        <v>2E+20</v>
      </c>
      <c r="I75">
        <v>4</v>
      </c>
      <c r="J75">
        <v>4</v>
      </c>
      <c r="K75">
        <v>4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4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4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5.7773367840928E-2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1.9086827378027801E-2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0.54186494471421698</v>
      </c>
      <c r="U76">
        <f>IF((ContinuousStatsTable[[#This Row],[RepsRequested]]&gt;1),ContinuousStatsTable[[#This Row],[HalfWidth]],ContinuousStatsTable[[#This Row],[BatchMeansHalfWidth]])</f>
        <v>4.0249674119401432E-2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2.5512634520645201</v>
      </c>
      <c r="H77">
        <v>2E+20</v>
      </c>
      <c r="I77">
        <v>0</v>
      </c>
      <c r="J77">
        <v>8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1.49846325156419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2.9737327083745901</v>
      </c>
      <c r="U77">
        <f>IF((ContinuousStatsTable[[#This Row],[RepsRequested]]&gt;1),ContinuousStatsTable[[#This Row],[HalfWidth]],ContinuousStatsTable[[#This Row],[BatchMeansHalfWidth]])</f>
        <v>0.12678337363627387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0.59221413990377503</v>
      </c>
      <c r="H78">
        <v>2E+20</v>
      </c>
      <c r="I78">
        <v>0</v>
      </c>
      <c r="J78">
        <v>1</v>
      </c>
      <c r="K78">
        <v>0.25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0.35780838206908899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0.62716275812281796</v>
      </c>
      <c r="U78">
        <f>IF((ContinuousStatsTable[[#This Row],[RepsRequested]]&gt;1),ContinuousStatsTable[[#This Row],[HalfWidth]],ContinuousStatsTable[[#This Row],[BatchMeansHalfWidth]])</f>
        <v>2.5052604945405288E-2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2.3688565596151001</v>
      </c>
      <c r="H79">
        <v>2E+20</v>
      </c>
      <c r="I79">
        <v>0</v>
      </c>
      <c r="J79">
        <v>4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1.43123352827636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2.5086510324912701</v>
      </c>
      <c r="U79">
        <f>IF((ContinuousStatsTable[[#This Row],[RepsRequested]]&gt;1),ContinuousStatsTable[[#This Row],[HalfWidth]],ContinuousStatsTable[[#This Row],[BatchMeansHalfWidth]])</f>
        <v>0.10021041978162182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4</v>
      </c>
      <c r="H80">
        <v>2E+20</v>
      </c>
      <c r="I80">
        <v>4</v>
      </c>
      <c r="J80">
        <v>4</v>
      </c>
      <c r="K80">
        <v>4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0.18240689244941799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1.9086827378027801E-2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0.54186494471421698</v>
      </c>
      <c r="U81">
        <f>IF((ContinuousStatsTable[[#This Row],[RepsRequested]]&gt;1),ContinuousStatsTable[[#This Row],[HalfWidth]],ContinuousStatsTable[[#This Row],[BatchMeansHalfWidth]])</f>
        <v>4.0249674119401432E-2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1.49846325156419</v>
      </c>
      <c r="H82">
        <v>2E+20</v>
      </c>
      <c r="I82">
        <v>0</v>
      </c>
      <c r="J82">
        <v>6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1.49846325156419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2.9737327083745901</v>
      </c>
      <c r="U82">
        <f>IF((ContinuousStatsTable[[#This Row],[RepsRequested]]&gt;1),ContinuousStatsTable[[#This Row],[HalfWidth]],ContinuousStatsTable[[#This Row],[BatchMeansHalfWidth]])</f>
        <v>0.12678337363627387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0.35780838206908899</v>
      </c>
      <c r="H83">
        <v>2E+20</v>
      </c>
      <c r="I83">
        <v>0</v>
      </c>
      <c r="J83">
        <v>1</v>
      </c>
      <c r="K83">
        <v>0.75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0.35780838206908899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0.62716275812281796</v>
      </c>
      <c r="U83">
        <f>IF((ContinuousStatsTable[[#This Row],[RepsRequested]]&gt;1),ContinuousStatsTable[[#This Row],[HalfWidth]],ContinuousStatsTable[[#This Row],[BatchMeansHalfWidth]])</f>
        <v>2.5052604945405288E-2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1.43123352827636</v>
      </c>
      <c r="H84">
        <v>2E+20</v>
      </c>
      <c r="I84">
        <v>0</v>
      </c>
      <c r="J84">
        <v>4</v>
      </c>
      <c r="K84">
        <v>3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1.43123352827636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2.5086510324912701</v>
      </c>
      <c r="U84">
        <f>IF((ContinuousStatsTable[[#This Row],[RepsRequested]]&gt;1),ContinuousStatsTable[[#This Row],[HalfWidth]],ContinuousStatsTable[[#This Row],[BatchMeansHalfWidth]])</f>
        <v>0.10021041978162182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4</v>
      </c>
      <c r="H85">
        <v>2E+20</v>
      </c>
      <c r="I85">
        <v>4</v>
      </c>
      <c r="J85">
        <v>4</v>
      </c>
      <c r="K85">
        <v>4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4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4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6.7229723287833401E-2</v>
      </c>
      <c r="H86">
        <v>2E+20</v>
      </c>
      <c r="I86">
        <v>0</v>
      </c>
      <c r="J86">
        <v>2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1.9086827378027801E-2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0.54186494471421698</v>
      </c>
      <c r="U86">
        <f>IF((ContinuousStatsTable[[#This Row],[RepsRequested]]&gt;1),ContinuousStatsTable[[#This Row],[HalfWidth]],ContinuousStatsTable[[#This Row],[BatchMeansHalfWidth]])</f>
        <v>4.0249674119401432E-2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2.6783572611644502</v>
      </c>
      <c r="H87">
        <v>2E+20</v>
      </c>
      <c r="I87">
        <v>0</v>
      </c>
      <c r="J87">
        <v>7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1.49846325156419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2.9737327083745901</v>
      </c>
      <c r="U87">
        <f>IF((ContinuousStatsTable[[#This Row],[RepsRequested]]&gt;1),ContinuousStatsTable[[#This Row],[HalfWidth]],ContinuousStatsTable[[#This Row],[BatchMeansHalfWidth]])</f>
        <v>0.12678337363627387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0.62716275812281796</v>
      </c>
      <c r="H88">
        <v>2E+20</v>
      </c>
      <c r="I88">
        <v>0</v>
      </c>
      <c r="J88">
        <v>1</v>
      </c>
      <c r="K88">
        <v>0.75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0.35780838206908899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0.62716275812281796</v>
      </c>
      <c r="U88">
        <f>IF((ContinuousStatsTable[[#This Row],[RepsRequested]]&gt;1),ContinuousStatsTable[[#This Row],[HalfWidth]],ContinuousStatsTable[[#This Row],[BatchMeansHalfWidth]])</f>
        <v>2.5052604945405288E-2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2.5086510324912701</v>
      </c>
      <c r="H89">
        <v>2E+20</v>
      </c>
      <c r="I89">
        <v>0</v>
      </c>
      <c r="J89">
        <v>4</v>
      </c>
      <c r="K89">
        <v>3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1.43123352827636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2.5086510324912701</v>
      </c>
      <c r="U89">
        <f>IF((ContinuousStatsTable[[#This Row],[RepsRequested]]&gt;1),ContinuousStatsTable[[#This Row],[HalfWidth]],ContinuousStatsTable[[#This Row],[BatchMeansHalfWidth]])</f>
        <v>0.10021041978162182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4</v>
      </c>
      <c r="H90">
        <v>2E+20</v>
      </c>
      <c r="I90">
        <v>4</v>
      </c>
      <c r="J90">
        <v>4</v>
      </c>
      <c r="K90">
        <v>4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4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0.169706228673176</v>
      </c>
      <c r="H91">
        <v>2E+20</v>
      </c>
      <c r="I91">
        <v>0</v>
      </c>
      <c r="J91">
        <v>3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1.9086827378027801E-2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0.54186494471421698</v>
      </c>
      <c r="U91">
        <f>IF((ContinuousStatsTable[[#This Row],[RepsRequested]]&gt;1),ContinuousStatsTable[[#This Row],[HalfWidth]],ContinuousStatsTable[[#This Row],[BatchMeansHalfWidth]])</f>
        <v>4.0249674119401432E-2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2.2241036422071501</v>
      </c>
      <c r="H92">
        <v>2E+20</v>
      </c>
      <c r="I92">
        <v>0</v>
      </c>
      <c r="J92">
        <v>7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1.49846325156419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2.9737327083745901</v>
      </c>
      <c r="U92">
        <f>IF((ContinuousStatsTable[[#This Row],[RepsRequested]]&gt;1),ContinuousStatsTable[[#This Row],[HalfWidth]],ContinuousStatsTable[[#This Row],[BatchMeansHalfWidth]])</f>
        <v>0.12678337363627387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0.51830461002166195</v>
      </c>
      <c r="H93">
        <v>2E+20</v>
      </c>
      <c r="I93">
        <v>0</v>
      </c>
      <c r="J93">
        <v>1</v>
      </c>
      <c r="K93">
        <v>0.25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0.35780838206908899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0.62716275812281796</v>
      </c>
      <c r="U93">
        <f>IF((ContinuousStatsTable[[#This Row],[RepsRequested]]&gt;1),ContinuousStatsTable[[#This Row],[HalfWidth]],ContinuousStatsTable[[#This Row],[BatchMeansHalfWidth]])</f>
        <v>2.5052604945405288E-2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2.07321844008665</v>
      </c>
      <c r="H94">
        <v>2E+20</v>
      </c>
      <c r="I94">
        <v>0</v>
      </c>
      <c r="J94">
        <v>4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1.43123352827636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2.5086510324912701</v>
      </c>
      <c r="U94">
        <f>IF((ContinuousStatsTable[[#This Row],[RepsRequested]]&gt;1),ContinuousStatsTable[[#This Row],[HalfWidth]],ContinuousStatsTable[[#This Row],[BatchMeansHalfWidth]])</f>
        <v>0.10021041978162182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4</v>
      </c>
      <c r="H95">
        <v>2E+20</v>
      </c>
      <c r="I95">
        <v>4</v>
      </c>
      <c r="J95">
        <v>4</v>
      </c>
      <c r="K95">
        <v>4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4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4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4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0.15088520212050599</v>
      </c>
      <c r="H96">
        <v>2E+20</v>
      </c>
      <c r="I96">
        <v>0</v>
      </c>
      <c r="J96">
        <v>3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1.9086827378027801E-2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0.54186494471421698</v>
      </c>
      <c r="U96">
        <f>IF((ContinuousStatsTable[[#This Row],[RepsRequested]]&gt;1),ContinuousStatsTable[[#This Row],[HalfWidth]],ContinuousStatsTable[[#This Row],[BatchMeansHalfWidth]])</f>
        <v>4.0249674119401432E-2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1.7809149290509201</v>
      </c>
      <c r="H97">
        <v>2E+20</v>
      </c>
      <c r="I97">
        <v>0</v>
      </c>
      <c r="J97">
        <v>6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1.49846325156419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2.9737327083745901</v>
      </c>
      <c r="U97">
        <f>IF((ContinuousStatsTable[[#This Row],[RepsRequested]]&gt;1),ContinuousStatsTable[[#This Row],[HalfWidth]],ContinuousStatsTable[[#This Row],[BatchMeansHalfWidth]])</f>
        <v>0.12678337363627387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0.44045702541822301</v>
      </c>
      <c r="H98">
        <v>2E+20</v>
      </c>
      <c r="I98">
        <v>0</v>
      </c>
      <c r="J98">
        <v>1</v>
      </c>
      <c r="K98">
        <v>0.5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0.35780838206908899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0.62716275812281796</v>
      </c>
      <c r="U98">
        <f>IF((ContinuousStatsTable[[#This Row],[RepsRequested]]&gt;1),ContinuousStatsTable[[#This Row],[HalfWidth]],ContinuousStatsTable[[#This Row],[BatchMeansHalfWidth]])</f>
        <v>2.5052604945405288E-2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1.7618281016728901</v>
      </c>
      <c r="H99">
        <v>2E+20</v>
      </c>
      <c r="I99">
        <v>0</v>
      </c>
      <c r="J99">
        <v>4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1.43123352827636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2.5086510324912701</v>
      </c>
      <c r="U99">
        <f>IF((ContinuousStatsTable[[#This Row],[RepsRequested]]&gt;1),ContinuousStatsTable[[#This Row],[HalfWidth]],ContinuousStatsTable[[#This Row],[BatchMeansHalfWidth]])</f>
        <v>0.10021041978162182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4</v>
      </c>
      <c r="H100">
        <v>2E+20</v>
      </c>
      <c r="I100">
        <v>4</v>
      </c>
      <c r="J100">
        <v>4</v>
      </c>
      <c r="K100">
        <v>4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4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4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1.9086827378027801E-2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1.9086827378027801E-2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0.54186494471421698</v>
      </c>
      <c r="U101">
        <f>IF((ContinuousStatsTable[[#This Row],[RepsRequested]]&gt;1),ContinuousStatsTable[[#This Row],[HalfWidth]],ContinuousStatsTable[[#This Row],[BatchMeansHalfWidth]])</f>
        <v>4.0249674119401432E-2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2.08266299764967</v>
      </c>
      <c r="H102">
        <v>2E+20</v>
      </c>
      <c r="I102">
        <v>0</v>
      </c>
      <c r="J102">
        <v>8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1.49846325156419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2.9737327083745901</v>
      </c>
      <c r="U102">
        <f>IF((ContinuousStatsTable[[#This Row],[RepsRequested]]&gt;1),ContinuousStatsTable[[#This Row],[HalfWidth]],ContinuousStatsTable[[#This Row],[BatchMeansHalfWidth]])</f>
        <v>0.12678337363627387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0.46978112824909002</v>
      </c>
      <c r="H103">
        <v>2E+20</v>
      </c>
      <c r="I103">
        <v>0</v>
      </c>
      <c r="J103">
        <v>1</v>
      </c>
      <c r="K103">
        <v>0.5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0.35780838206908899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0.62716275812281796</v>
      </c>
      <c r="U103">
        <f>IF((ContinuousStatsTable[[#This Row],[RepsRequested]]&gt;1),ContinuousStatsTable[[#This Row],[HalfWidth]],ContinuousStatsTable[[#This Row],[BatchMeansHalfWidth]])</f>
        <v>2.5052604945405288E-2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1.8791245129963601</v>
      </c>
      <c r="H104">
        <v>2E+20</v>
      </c>
      <c r="I104">
        <v>0</v>
      </c>
      <c r="J104">
        <v>4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1.43123352827636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2.5086510324912701</v>
      </c>
      <c r="U104">
        <f>IF((ContinuousStatsTable[[#This Row],[RepsRequested]]&gt;1),ContinuousStatsTable[[#This Row],[HalfWidth]],ContinuousStatsTable[[#This Row],[BatchMeansHalfWidth]])</f>
        <v>0.10021041978162182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4</v>
      </c>
      <c r="H105">
        <v>2E+20</v>
      </c>
      <c r="I105">
        <v>4</v>
      </c>
      <c r="J105">
        <v>4</v>
      </c>
      <c r="K105">
        <v>4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4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0.20353848465331301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1.9086827378027801E-2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0.54186494471421698</v>
      </c>
      <c r="U106">
        <f>IF((ContinuousStatsTable[[#This Row],[RepsRequested]]&gt;1),ContinuousStatsTable[[#This Row],[HalfWidth]],ContinuousStatsTable[[#This Row],[BatchMeansHalfWidth]])</f>
        <v>4.0249674119401432E-2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2.1676136801916499</v>
      </c>
      <c r="H107">
        <v>2E+20</v>
      </c>
      <c r="I107">
        <v>0</v>
      </c>
      <c r="J107">
        <v>6</v>
      </c>
      <c r="K107">
        <v>4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1.49846325156419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2.9737327083745901</v>
      </c>
      <c r="U107">
        <f>IF((ContinuousStatsTable[[#This Row],[RepsRequested]]&gt;1),ContinuousStatsTable[[#This Row],[HalfWidth]],ContinuousStatsTable[[#This Row],[BatchMeansHalfWidth]])</f>
        <v>0.12678337363627387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0.52601584729403195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0.35780838206908899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0.62716275812281796</v>
      </c>
      <c r="U108">
        <f>IF((ContinuousStatsTable[[#This Row],[RepsRequested]]&gt;1),ContinuousStatsTable[[#This Row],[HalfWidth]],ContinuousStatsTable[[#This Row],[BatchMeansHalfWidth]])</f>
        <v>2.5052604945405288E-2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2.10406338917613</v>
      </c>
      <c r="H109">
        <v>2E+20</v>
      </c>
      <c r="I109">
        <v>0</v>
      </c>
      <c r="J109">
        <v>4</v>
      </c>
      <c r="K109">
        <v>4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1.43123352827636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2.5086510324912701</v>
      </c>
      <c r="U109">
        <f>IF((ContinuousStatsTable[[#This Row],[RepsRequested]]&gt;1),ContinuousStatsTable[[#This Row],[HalfWidth]],ContinuousStatsTable[[#This Row],[BatchMeansHalfWidth]])</f>
        <v>0.10021041978162182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6.3550291015521496E-2</v>
      </c>
      <c r="H111">
        <v>2E+20</v>
      </c>
      <c r="I111">
        <v>0</v>
      </c>
      <c r="J111">
        <v>2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1.9086827378027801E-2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0.54186494471421698</v>
      </c>
      <c r="U111">
        <f>IF((ContinuousStatsTable[[#This Row],[RepsRequested]]&gt;1),ContinuousStatsTable[[#This Row],[HalfWidth]],ContinuousStatsTable[[#This Row],[BatchMeansHalfWidth]])</f>
        <v>4.0249674119401432E-2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2.0650612323971802</v>
      </c>
      <c r="H112">
        <v>2E+20</v>
      </c>
      <c r="I112">
        <v>0</v>
      </c>
      <c r="J112">
        <v>6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1.49846325156419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2.9737327083745901</v>
      </c>
      <c r="U112">
        <f>IF((ContinuousStatsTable[[#This Row],[RepsRequested]]&gt;1),ContinuousStatsTable[[#This Row],[HalfWidth]],ContinuousStatsTable[[#This Row],[BatchMeansHalfWidth]])</f>
        <v>0.12678337363627387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0.48370842860188801</v>
      </c>
      <c r="H113">
        <v>2E+20</v>
      </c>
      <c r="I113">
        <v>0</v>
      </c>
      <c r="J113">
        <v>1</v>
      </c>
      <c r="K113">
        <v>0.25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0.35780838206908899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0.62716275812281796</v>
      </c>
      <c r="U113">
        <f>IF((ContinuousStatsTable[[#This Row],[RepsRequested]]&gt;1),ContinuousStatsTable[[#This Row],[HalfWidth]],ContinuousStatsTable[[#This Row],[BatchMeansHalfWidth]])</f>
        <v>2.5052604945405288E-2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1.93483371440755</v>
      </c>
      <c r="H114">
        <v>2E+20</v>
      </c>
      <c r="I114">
        <v>0</v>
      </c>
      <c r="J114">
        <v>4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1.43123352827636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2.5086510324912701</v>
      </c>
      <c r="U114">
        <f>IF((ContinuousStatsTable[[#This Row],[RepsRequested]]&gt;1),ContinuousStatsTable[[#This Row],[HalfWidth]],ContinuousStatsTable[[#This Row],[BatchMeansHalfWidth]])</f>
        <v>0.10021041978162182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4</v>
      </c>
      <c r="H115">
        <v>2E+20</v>
      </c>
      <c r="I115">
        <v>4</v>
      </c>
      <c r="J115">
        <v>4</v>
      </c>
      <c r="K115">
        <v>4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4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0.13022751798962501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1.9086827378027801E-2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0.54186494471421698</v>
      </c>
      <c r="U116">
        <f>IF((ContinuousStatsTable[[#This Row],[RepsRequested]]&gt;1),ContinuousStatsTable[[#This Row],[HalfWidth]],ContinuousStatsTable[[#This Row],[BatchMeansHalfWidth]])</f>
        <v>4.0249674119401432E-2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1.82854294524135</v>
      </c>
      <c r="H117">
        <v>2E+20</v>
      </c>
      <c r="I117">
        <v>0</v>
      </c>
      <c r="J117">
        <v>7</v>
      </c>
      <c r="K117">
        <v>4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1.49846325156419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2.9737327083745901</v>
      </c>
      <c r="U117">
        <f>IF((ContinuousStatsTable[[#This Row],[RepsRequested]]&gt;1),ContinuousStatsTable[[#This Row],[HalfWidth]],ContinuousStatsTable[[#This Row],[BatchMeansHalfWidth]])</f>
        <v>0.12678337363627387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0.44455570602369998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0.35780838206908899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0.62716275812281796</v>
      </c>
      <c r="U118">
        <f>IF((ContinuousStatsTable[[#This Row],[RepsRequested]]&gt;1),ContinuousStatsTable[[#This Row],[HalfWidth]],ContinuousStatsTable[[#This Row],[BatchMeansHalfWidth]])</f>
        <v>2.5052604945405288E-2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1.7782228240947999</v>
      </c>
      <c r="H119">
        <v>2E+20</v>
      </c>
      <c r="I119">
        <v>0</v>
      </c>
      <c r="J119">
        <v>4</v>
      </c>
      <c r="K119">
        <v>4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1.43123352827636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2.5086510324912701</v>
      </c>
      <c r="U119">
        <f>IF((ContinuousStatsTable[[#This Row],[RepsRequested]]&gt;1),ContinuousStatsTable[[#This Row],[HalfWidth]],ContinuousStatsTable[[#This Row],[BatchMeansHalfWidth]])</f>
        <v>0.10021041978162182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4</v>
      </c>
      <c r="H120">
        <v>2E+20</v>
      </c>
      <c r="I120">
        <v>4</v>
      </c>
      <c r="J120">
        <v>4</v>
      </c>
      <c r="K120">
        <v>4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4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4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5.0320121146547298E-2</v>
      </c>
      <c r="H121">
        <v>2E+20</v>
      </c>
      <c r="I121">
        <v>0</v>
      </c>
      <c r="J121">
        <v>3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1.9086827378027801E-2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0.54186494471421698</v>
      </c>
      <c r="U121">
        <f>IF((ContinuousStatsTable[[#This Row],[RepsRequested]]&gt;1),ContinuousStatsTable[[#This Row],[HalfWidth]],ContinuousStatsTable[[#This Row],[BatchMeansHalfWidth]])</f>
        <v>4.0249674119401432E-2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1.9561755184982901</v>
      </c>
      <c r="H122">
        <v>2E+20</v>
      </c>
      <c r="I122">
        <v>0</v>
      </c>
      <c r="J122">
        <v>7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1.49846325156419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2.9737327083745901</v>
      </c>
      <c r="U122">
        <f>IF((ContinuousStatsTable[[#This Row],[RepsRequested]]&gt;1),ContinuousStatsTable[[#This Row],[HalfWidth]],ContinuousStatsTable[[#This Row],[BatchMeansHalfWidth]])</f>
        <v>0.12678337363627387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0.47396200786998299</v>
      </c>
      <c r="H123">
        <v>2E+20</v>
      </c>
      <c r="I123">
        <v>0</v>
      </c>
      <c r="J123">
        <v>1</v>
      </c>
      <c r="K123">
        <v>0.25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0.35780838206908899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0.62716275812281796</v>
      </c>
      <c r="U123">
        <f>IF((ContinuousStatsTable[[#This Row],[RepsRequested]]&gt;1),ContinuousStatsTable[[#This Row],[HalfWidth]],ContinuousStatsTable[[#This Row],[BatchMeansHalfWidth]])</f>
        <v>2.5052604945405288E-2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1.89584803147993</v>
      </c>
      <c r="H124">
        <v>2E+20</v>
      </c>
      <c r="I124">
        <v>0</v>
      </c>
      <c r="J124">
        <v>4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1.43123352827636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2.5086510324912701</v>
      </c>
      <c r="U124">
        <f>IF((ContinuousStatsTable[[#This Row],[RepsRequested]]&gt;1),ContinuousStatsTable[[#This Row],[HalfWidth]],ContinuousStatsTable[[#This Row],[BatchMeansHalfWidth]])</f>
        <v>0.10021041978162182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4</v>
      </c>
      <c r="H125">
        <v>2E+20</v>
      </c>
      <c r="I125">
        <v>4</v>
      </c>
      <c r="J125">
        <v>4</v>
      </c>
      <c r="K125">
        <v>4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4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4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6.0327487018357003E-2</v>
      </c>
      <c r="H126">
        <v>2E+20</v>
      </c>
      <c r="I126">
        <v>0</v>
      </c>
      <c r="J126">
        <v>3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1.9086827378027801E-2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0.54186494471421698</v>
      </c>
      <c r="U126">
        <f>IF((ContinuousStatsTable[[#This Row],[RepsRequested]]&gt;1),ContinuousStatsTable[[#This Row],[HalfWidth]],ContinuousStatsTable[[#This Row],[BatchMeansHalfWidth]])</f>
        <v>4.0249674119401432E-2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2.1386534857439798</v>
      </c>
      <c r="H127">
        <v>2E+20</v>
      </c>
      <c r="I127">
        <v>0</v>
      </c>
      <c r="J127">
        <v>7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1.49846325156419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2.9737327083745901</v>
      </c>
      <c r="U127">
        <f>IF((ContinuousStatsTable[[#This Row],[RepsRequested]]&gt;1),ContinuousStatsTable[[#This Row],[HalfWidth]],ContinuousStatsTable[[#This Row],[BatchMeansHalfWidth]])</f>
        <v>0.12678337363627387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0.48608350691788199</v>
      </c>
      <c r="H128">
        <v>2E+20</v>
      </c>
      <c r="I128">
        <v>0</v>
      </c>
      <c r="J128">
        <v>1</v>
      </c>
      <c r="K128">
        <v>0.5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0.35780838206908899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0.62716275812281796</v>
      </c>
      <c r="U128">
        <f>IF((ContinuousStatsTable[[#This Row],[RepsRequested]]&gt;1),ContinuousStatsTable[[#This Row],[HalfWidth]],ContinuousStatsTable[[#This Row],[BatchMeansHalfWidth]])</f>
        <v>2.5052604945405288E-2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1.94433402767153</v>
      </c>
      <c r="H129">
        <v>2E+20</v>
      </c>
      <c r="I129">
        <v>0</v>
      </c>
      <c r="J129">
        <v>4</v>
      </c>
      <c r="K129">
        <v>2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1.43123352827636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2.5086510324912701</v>
      </c>
      <c r="U129">
        <f>IF((ContinuousStatsTable[[#This Row],[RepsRequested]]&gt;1),ContinuousStatsTable[[#This Row],[HalfWidth]],ContinuousStatsTable[[#This Row],[BatchMeansHalfWidth]])</f>
        <v>0.10021041978162182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4</v>
      </c>
      <c r="H130">
        <v>2E+20</v>
      </c>
      <c r="I130">
        <v>4</v>
      </c>
      <c r="J130">
        <v>4</v>
      </c>
      <c r="K130">
        <v>4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4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0.19431945807244899</v>
      </c>
      <c r="H131">
        <v>2E+20</v>
      </c>
      <c r="I131">
        <v>0</v>
      </c>
      <c r="J131">
        <v>3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1.9086827378027801E-2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0.54186494471421698</v>
      </c>
      <c r="U131">
        <f>IF((ContinuousStatsTable[[#This Row],[RepsRequested]]&gt;1),ContinuousStatsTable[[#This Row],[HalfWidth]],ContinuousStatsTable[[#This Row],[BatchMeansHalfWidth]])</f>
        <v>4.0249674119401432E-2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2.6444835231125299</v>
      </c>
      <c r="H132">
        <v>2E+20</v>
      </c>
      <c r="I132">
        <v>0</v>
      </c>
      <c r="J132">
        <v>10</v>
      </c>
      <c r="K132">
        <v>5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1.49846325156419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2.9737327083745901</v>
      </c>
      <c r="U132">
        <f>IF((ContinuousStatsTable[[#This Row],[RepsRequested]]&gt;1),ContinuousStatsTable[[#This Row],[HalfWidth]],ContinuousStatsTable[[#This Row],[BatchMeansHalfWidth]])</f>
        <v>0.12678337363627387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0.58598289035519502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0.35780838206908899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0.62716275812281796</v>
      </c>
      <c r="U133">
        <f>IF((ContinuousStatsTable[[#This Row],[RepsRequested]]&gt;1),ContinuousStatsTable[[#This Row],[HalfWidth]],ContinuousStatsTable[[#This Row],[BatchMeansHalfWidth]])</f>
        <v>2.5052604945405288E-2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2.3439315614207801</v>
      </c>
      <c r="H134">
        <v>2E+20</v>
      </c>
      <c r="I134">
        <v>0</v>
      </c>
      <c r="J134">
        <v>4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1.43123352827636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2.5086510324912701</v>
      </c>
      <c r="U134">
        <f>IF((ContinuousStatsTable[[#This Row],[RepsRequested]]&gt;1),ContinuousStatsTable[[#This Row],[HalfWidth]],ContinuousStatsTable[[#This Row],[BatchMeansHalfWidth]])</f>
        <v>0.10021041978162182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4</v>
      </c>
      <c r="H135">
        <v>2E+20</v>
      </c>
      <c r="I135">
        <v>4</v>
      </c>
      <c r="J135">
        <v>4</v>
      </c>
      <c r="K135">
        <v>4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4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0.30055196169175402</v>
      </c>
      <c r="H136">
        <v>2E+20</v>
      </c>
      <c r="I136">
        <v>0</v>
      </c>
      <c r="J136">
        <v>6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1.9086827378027801E-2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0.54186494471421698</v>
      </c>
      <c r="U136">
        <f>IF((ContinuousStatsTable[[#This Row],[RepsRequested]]&gt;1),ContinuousStatsTable[[#This Row],[HalfWidth]],ContinuousStatsTable[[#This Row],[BatchMeansHalfWidth]])</f>
        <v>4.0249674119401432E-2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2.6725031811734898</v>
      </c>
      <c r="H137">
        <v>2E+20</v>
      </c>
      <c r="I137">
        <v>0</v>
      </c>
      <c r="J137">
        <v>7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1.49846325156419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2.9737327083745901</v>
      </c>
      <c r="U137">
        <f>IF((ContinuousStatsTable[[#This Row],[RepsRequested]]&gt;1),ContinuousStatsTable[[#This Row],[HalfWidth]],ContinuousStatsTable[[#This Row],[BatchMeansHalfWidth]])</f>
        <v>0.12678337363627387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0.59321522114103298</v>
      </c>
      <c r="H138">
        <v>2E+20</v>
      </c>
      <c r="I138">
        <v>0</v>
      </c>
      <c r="J138">
        <v>1</v>
      </c>
      <c r="K138">
        <v>0.75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0.35780838206908899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0.62716275812281796</v>
      </c>
      <c r="U138">
        <f>IF((ContinuousStatsTable[[#This Row],[RepsRequested]]&gt;1),ContinuousStatsTable[[#This Row],[HalfWidth]],ContinuousStatsTable[[#This Row],[BatchMeansHalfWidth]])</f>
        <v>2.5052604945405288E-2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2.3728608845641301</v>
      </c>
      <c r="H139">
        <v>2E+20</v>
      </c>
      <c r="I139">
        <v>0</v>
      </c>
      <c r="J139">
        <v>4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1.43123352827636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2.5086510324912701</v>
      </c>
      <c r="U139">
        <f>IF((ContinuousStatsTable[[#This Row],[RepsRequested]]&gt;1),ContinuousStatsTable[[#This Row],[HalfWidth]],ContinuousStatsTable[[#This Row],[BatchMeansHalfWidth]])</f>
        <v>0.10021041978162182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4</v>
      </c>
      <c r="H140">
        <v>2E+20</v>
      </c>
      <c r="I140">
        <v>4</v>
      </c>
      <c r="J140">
        <v>4</v>
      </c>
      <c r="K140">
        <v>4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4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4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0.29964229660935798</v>
      </c>
      <c r="H141">
        <v>2E+20</v>
      </c>
      <c r="I141">
        <v>0</v>
      </c>
      <c r="J141">
        <v>3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1.9086827378027801E-2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0.54186494471421698</v>
      </c>
      <c r="U141">
        <f>IF((ContinuousStatsTable[[#This Row],[RepsRequested]]&gt;1),ContinuousStatsTable[[#This Row],[HalfWidth]],ContinuousStatsTable[[#This Row],[BatchMeansHalfWidth]])</f>
        <v>4.0249674119401432E-2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2.1616679790061699</v>
      </c>
      <c r="H142">
        <v>2E+20</v>
      </c>
      <c r="I142">
        <v>0</v>
      </c>
      <c r="J142">
        <v>6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1.49846325156419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2.9737327083745901</v>
      </c>
      <c r="U142">
        <f>IF((ContinuousStatsTable[[#This Row],[RepsRequested]]&gt;1),ContinuousStatsTable[[#This Row],[HalfWidth]],ContinuousStatsTable[[#This Row],[BatchMeansHalfWidth]])</f>
        <v>0.12678337363627387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0.50685598343326299</v>
      </c>
      <c r="H143">
        <v>2E+20</v>
      </c>
      <c r="I143">
        <v>0</v>
      </c>
      <c r="J143">
        <v>1</v>
      </c>
      <c r="K143">
        <v>0.5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0.35780838206908899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0.62716275812281796</v>
      </c>
      <c r="U143">
        <f>IF((ContinuousStatsTable[[#This Row],[RepsRequested]]&gt;1),ContinuousStatsTable[[#This Row],[HalfWidth]],ContinuousStatsTable[[#This Row],[BatchMeansHalfWidth]])</f>
        <v>2.5052604945405288E-2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2.0274239337330502</v>
      </c>
      <c r="H144">
        <v>2E+20</v>
      </c>
      <c r="I144">
        <v>0</v>
      </c>
      <c r="J144">
        <v>4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1.43123352827636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2.5086510324912701</v>
      </c>
      <c r="U144">
        <f>IF((ContinuousStatsTable[[#This Row],[RepsRequested]]&gt;1),ContinuousStatsTable[[#This Row],[HalfWidth]],ContinuousStatsTable[[#This Row],[BatchMeansHalfWidth]])</f>
        <v>0.10021041978162182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4</v>
      </c>
      <c r="H145">
        <v>2E+20</v>
      </c>
      <c r="I145">
        <v>4</v>
      </c>
      <c r="J145">
        <v>4</v>
      </c>
      <c r="K145">
        <v>4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4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0.13424404527311601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1.9086827378027801E-2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0.54186494471421698</v>
      </c>
      <c r="U146">
        <f>IF((ContinuousStatsTable[[#This Row],[RepsRequested]]&gt;1),ContinuousStatsTable[[#This Row],[HalfWidth]],ContinuousStatsTable[[#This Row],[BatchMeansHalfWidth]])</f>
        <v>4.0249674119401432E-2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2.9737327083745901</v>
      </c>
      <c r="H147">
        <v>2E+20</v>
      </c>
      <c r="I147">
        <v>0</v>
      </c>
      <c r="J147">
        <v>10</v>
      </c>
      <c r="K147">
        <v>4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2.1519815556091424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0.33953211036380665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0.12678337363627387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1.49846325156419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2.9737327083745901</v>
      </c>
      <c r="U147">
        <f>IF((ContinuousStatsTable[[#This Row],[RepsRequested]]&gt;1),ContinuousStatsTable[[#This Row],[HalfWidth]],ContinuousStatsTable[[#This Row],[BatchMeansHalfWidth]])</f>
        <v>0.12678337363627387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0.60796694091509296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0.50585592210489994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6.7092108241474532E-2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2.5052604945405288E-2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0.35780838206908899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0.62716275812281796</v>
      </c>
      <c r="U148">
        <f>IF((ContinuousStatsTable[[#This Row],[RepsRequested]]&gt;1),ContinuousStatsTable[[#This Row],[HalfWidth]],ContinuousStatsTable[[#This Row],[BatchMeansHalfWidth]])</f>
        <v>2.5052604945405288E-2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2.4318677636603701</v>
      </c>
      <c r="H149">
        <v>2E+20</v>
      </c>
      <c r="I149">
        <v>0</v>
      </c>
      <c r="J149">
        <v>4</v>
      </c>
      <c r="K149">
        <v>4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2.0234236884195993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0.26836843296589996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0.10021041978162182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1.43123352827636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2.5086510324912701</v>
      </c>
      <c r="U149">
        <f>IF((ContinuousStatsTable[[#This Row],[RepsRequested]]&gt;1),ContinuousStatsTable[[#This Row],[HalfWidth]],ContinuousStatsTable[[#This Row],[BatchMeansHalfWidth]])</f>
        <v>0.10021041978162182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4</v>
      </c>
      <c r="H150">
        <v>2E+20</v>
      </c>
      <c r="I150">
        <v>4</v>
      </c>
      <c r="J150">
        <v>4</v>
      </c>
      <c r="K150">
        <v>4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4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0.54186494471421698</v>
      </c>
      <c r="H151">
        <v>2E+20</v>
      </c>
      <c r="I151">
        <v>0</v>
      </c>
      <c r="J151">
        <v>6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0.12855786718954387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0.10779060694836942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4.0249674119401432E-2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1.9086827378027801E-2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0.54186494471421698</v>
      </c>
      <c r="U151">
        <f>IF((ContinuousStatsTable[[#This Row],[RepsRequested]]&gt;1),ContinuousStatsTable[[#This Row],[HalfWidth]],ContinuousStatsTable[[#This Row],[BatchMeansHalfWidth]])</f>
        <v>4.0249674119401432E-2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74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87.733333333333334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9.1761810602545744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105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4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3.9333333333333331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3.6853234858560651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16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99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87.733333333333334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9.1761810602545744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105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1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3.9333333333333331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3.6853234858560651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16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105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87.733333333333334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9.1761810602545744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105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2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3.9333333333333331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3.6853234858560651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16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87.733333333333334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9.1761810602545744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105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2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3.9333333333333331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3.6853234858560651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16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87.733333333333334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9.1761810602545744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105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3.9333333333333331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3.6853234858560651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16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95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87.733333333333334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9.1761810602545744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105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5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3.9333333333333331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3.6853234858560651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16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86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87.733333333333334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9.1761810602545744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105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5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3.9333333333333331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3.6853234858560651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16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73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87.733333333333334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9.1761810602545744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105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3.9333333333333331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3.6853234858560651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16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87.733333333333334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9.1761810602545744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105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3.9333333333333331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3.6853234858560651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16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87.733333333333334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9.1761810602545744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105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3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3.9333333333333331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3.6853234858560651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16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90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87.733333333333334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9.1761810602545744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105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2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3.9333333333333331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3.6853234858560651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16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83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87.733333333333334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9.1761810602545744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105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9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3.9333333333333331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3.6853234858560651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16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91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87.733333333333334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9.1761810602545744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105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2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3.9333333333333331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3.6853234858560651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16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92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87.733333333333334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9.1761810602545744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105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1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3.9333333333333331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3.6853234858560651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16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83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87.733333333333334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9.1761810602545744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105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1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3.9333333333333331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3.6853234858560651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16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88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87.733333333333334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9.1761810602545744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105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8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3.9333333333333331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3.6853234858560651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16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87.733333333333334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9.1761810602545744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105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2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3.9333333333333331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3.6853234858560651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16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98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87.733333333333334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9.1761810602545744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105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5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3.9333333333333331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3.6853234858560651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16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84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87.733333333333334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9.1761810602545744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105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6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3.9333333333333331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3.6853234858560651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16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83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87.733333333333334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9.1761810602545744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105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3.9333333333333331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3.6853234858560651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16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95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87.733333333333334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9.1761810602545744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105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6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3.9333333333333331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3.6853234858560651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16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79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87.733333333333334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9.1761810602545744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105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3.9333333333333331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3.6853234858560651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16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87.733333333333334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9.1761810602545744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105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5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3.9333333333333331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3.6853234858560651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16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72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87.733333333333334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9.1761810602545744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105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1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3.9333333333333331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3.6853234858560651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16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89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87.733333333333334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9.1761810602545744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105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1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3.9333333333333331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3.6853234858560651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16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83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87.733333333333334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9.1761810602545744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105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6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3.9333333333333331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3.6853234858560651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16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89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87.733333333333334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9.1761810602545744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105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9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3.9333333333333331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3.6853234858560651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16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101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87.733333333333334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9.1761810602545744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105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10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3.9333333333333331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3.6853234858560651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16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87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87.733333333333334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9.1761810602545744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105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4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3.9333333333333331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3.6853234858560651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16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103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87.733333333333334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9.1761810602545744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3.426442319902506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105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16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3.9333333333333331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3.6853234858560651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1.3761224055574077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16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78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89.7</v>
      </c>
      <c r="L2" cm="1">
        <f t="array" ref="L2">IFERROR(_xlfn.STDEV.S(IF((OutputTable[GroupByKey]=OutputTable[[#This Row],[GroupByKey]]),(OutputTable[GroupByKey]=OutputTable[[#This Row],[GroupByKey]])*OutputTable[RecordedValue])),0)</f>
        <v>9.0407125138796811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107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74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87.733333333333334</v>
      </c>
      <c r="L3" cm="1">
        <f t="array" ref="L3">IFERROR(_xlfn.STDEV.S(IF((OutputTable[GroupByKey]=OutputTable[[#This Row],[GroupByKey]]),(OutputTable[GroupByKey]=OutputTable[[#This Row],[GroupByKey]])*OutputTable[RecordedValue])),0)</f>
        <v>9.1761810602545744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105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78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89.666666666666671</v>
      </c>
      <c r="L4" cm="1">
        <f t="array" ref="L4">IFERROR(_xlfn.STDEV.S(IF((OutputTable[GroupByKey]=OutputTable[[#This Row],[GroupByKey]]),(OutputTable[GroupByKey]=OutputTable[[#This Row],[GroupByKey]])*OutputTable[RecordedValue])),0)</f>
        <v>9.0261433828527267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107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0.49383628992811102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0.50585592210489994</v>
      </c>
      <c r="L5" cm="1">
        <f t="array" ref="L5">IFERROR(_xlfn.STDEV.S(IF((OutputTable[GroupByKey]=OutputTable[[#This Row],[GroupByKey]]),(OutputTable[GroupByKey]=OutputTable[[#This Row],[GroupByKey]])*OutputTable[RecordedValue])),0)</f>
        <v>6.7092108241474532E-2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5" cm="1">
        <f t="array" ref="O5">MIN(IF((OutputTable[GroupByKey]=OutputTable[[#This Row],[GroupByKey]]),(OutputTable[GroupByKey]=OutputTable[[#This Row],[GroupByKey]])*OutputTable[RecordedValue]))</f>
        <v>0.35780838206908899</v>
      </c>
      <c r="P5" cm="1">
        <f t="array" ref="P5">MAX(IF((OutputTable[GroupByKey]=OutputTable[[#This Row],[GroupByKey]]),(OutputTable[GroupByKey]=OutputTable[[#This Row],[GroupByKey]])*OutputTable[RecordedValue]))</f>
        <v>0.62716275812281796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87.733333333333334</v>
      </c>
      <c r="L6" cm="1">
        <f t="array" ref="L6">IFERROR(_xlfn.STDEV.S(IF((OutputTable[GroupByKey]=OutputTable[[#This Row],[GroupByKey]]),(OutputTable[GroupByKey]=OutputTable[[#This Row],[GroupByKey]])*OutputTable[RecordedValue])),0)</f>
        <v>9.1761810602545744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105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100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89.7</v>
      </c>
      <c r="L7" cm="1">
        <f t="array" ref="L7">IFERROR(_xlfn.STDEV.S(IF((OutputTable[GroupByKey]=OutputTable[[#This Row],[GroupByKey]]),(OutputTable[GroupByKey]=OutputTable[[#This Row],[GroupByKey]])*OutputTable[RecordedValue])),0)</f>
        <v>9.0407125138796811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107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99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87.733333333333334</v>
      </c>
      <c r="L8" cm="1">
        <f t="array" ref="L8">IFERROR(_xlfn.STDEV.S(IF((OutputTable[GroupByKey]=OutputTable[[#This Row],[GroupByKey]]),(OutputTable[GroupByKey]=OutputTable[[#This Row],[GroupByKey]])*OutputTable[RecordedValue])),0)</f>
        <v>9.1761810602545744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105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100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89.666666666666671</v>
      </c>
      <c r="L9" cm="1">
        <f t="array" ref="L9">IFERROR(_xlfn.STDEV.S(IF((OutputTable[GroupByKey]=OutputTable[[#This Row],[GroupByKey]]),(OutputTable[GroupByKey]=OutputTable[[#This Row],[GroupByKey]])*OutputTable[RecordedValue])),0)</f>
        <v>9.0261433828527267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107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0.58966883932172098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0.50585592210489994</v>
      </c>
      <c r="L10" cm="1">
        <f t="array" ref="L10">IFERROR(_xlfn.STDEV.S(IF((OutputTable[GroupByKey]=OutputTable[[#This Row],[GroupByKey]]),(OutputTable[GroupByKey]=OutputTable[[#This Row],[GroupByKey]])*OutputTable[RecordedValue])),0)</f>
        <v>6.7092108241474532E-2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0" cm="1">
        <f t="array" ref="O10">MIN(IF((OutputTable[GroupByKey]=OutputTable[[#This Row],[GroupByKey]]),(OutputTable[GroupByKey]=OutputTable[[#This Row],[GroupByKey]])*OutputTable[RecordedValue]))</f>
        <v>0.35780838206908899</v>
      </c>
      <c r="P10" cm="1">
        <f t="array" ref="P10">MAX(IF((OutputTable[GroupByKey]=OutputTable[[#This Row],[GroupByKey]]),(OutputTable[GroupByKey]=OutputTable[[#This Row],[GroupByKey]])*OutputTable[RecordedValue]))</f>
        <v>0.62716275812281796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99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87.733333333333334</v>
      </c>
      <c r="L11" cm="1">
        <f t="array" ref="L11">IFERROR(_xlfn.STDEV.S(IF((OutputTable[GroupByKey]=OutputTable[[#This Row],[GroupByKey]]),(OutputTable[GroupByKey]=OutputTable[[#This Row],[GroupByKey]])*OutputTable[RecordedValue])),0)</f>
        <v>9.1761810602545744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105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106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89.7</v>
      </c>
      <c r="L12" cm="1">
        <f t="array" ref="L12">IFERROR(_xlfn.STDEV.S(IF((OutputTable[GroupByKey]=OutputTable[[#This Row],[GroupByKey]]),(OutputTable[GroupByKey]=OutputTable[[#This Row],[GroupByKey]])*OutputTable[RecordedValue])),0)</f>
        <v>9.0407125138796811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107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105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87.733333333333334</v>
      </c>
      <c r="L13" cm="1">
        <f t="array" ref="L13">IFERROR(_xlfn.STDEV.S(IF((OutputTable[GroupByKey]=OutputTable[[#This Row],[GroupByKey]]),(OutputTable[GroupByKey]=OutputTable[[#This Row],[GroupByKey]])*OutputTable[RecordedValue])),0)</f>
        <v>9.1761810602545744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105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106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89.666666666666671</v>
      </c>
      <c r="L14" cm="1">
        <f t="array" ref="L14">IFERROR(_xlfn.STDEV.S(IF((OutputTable[GroupByKey]=OutputTable[[#This Row],[GroupByKey]]),(OutputTable[GroupByKey]=OutputTable[[#This Row],[GroupByKey]])*OutputTable[RecordedValue])),0)</f>
        <v>9.0261433828527267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107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0.59748883134632902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0.50585592210489994</v>
      </c>
      <c r="L15" cm="1">
        <f t="array" ref="L15">IFERROR(_xlfn.STDEV.S(IF((OutputTable[GroupByKey]=OutputTable[[#This Row],[GroupByKey]]),(OutputTable[GroupByKey]=OutputTable[[#This Row],[GroupByKey]])*OutputTable[RecordedValue])),0)</f>
        <v>6.7092108241474532E-2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5" cm="1">
        <f t="array" ref="O15">MIN(IF((OutputTable[GroupByKey]=OutputTable[[#This Row],[GroupByKey]]),(OutputTable[GroupByKey]=OutputTable[[#This Row],[GroupByKey]])*OutputTable[RecordedValue]))</f>
        <v>0.35780838206908899</v>
      </c>
      <c r="P15" cm="1">
        <f t="array" ref="P15">MAX(IF((OutputTable[GroupByKey]=OutputTable[[#This Row],[GroupByKey]]),(OutputTable[GroupByKey]=OutputTable[[#This Row],[GroupByKey]])*OutputTable[RecordedValue]))</f>
        <v>0.62716275812281796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105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87.733333333333334</v>
      </c>
      <c r="L16" cm="1">
        <f t="array" ref="L16">IFERROR(_xlfn.STDEV.S(IF((OutputTable[GroupByKey]=OutputTable[[#This Row],[GroupByKey]]),(OutputTable[GroupByKey]=OutputTable[[#This Row],[GroupByKey]])*OutputTable[RecordedValue])),0)</f>
        <v>9.1761810602545744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105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93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89.7</v>
      </c>
      <c r="L17" cm="1">
        <f t="array" ref="L17">IFERROR(_xlfn.STDEV.S(IF((OutputTable[GroupByKey]=OutputTable[[#This Row],[GroupByKey]]),(OutputTable[GroupByKey]=OutputTable[[#This Row],[GroupByKey]])*OutputTable[RecordedValue])),0)</f>
        <v>9.0407125138796811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107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87.733333333333334</v>
      </c>
      <c r="L18" cm="1">
        <f t="array" ref="L18">IFERROR(_xlfn.STDEV.S(IF((OutputTable[GroupByKey]=OutputTable[[#This Row],[GroupByKey]]),(OutputTable[GroupByKey]=OutputTable[[#This Row],[GroupByKey]])*OutputTable[RecordedValue])),0)</f>
        <v>9.1761810602545744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105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93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89.666666666666671</v>
      </c>
      <c r="L19" cm="1">
        <f t="array" ref="L19">IFERROR(_xlfn.STDEV.S(IF((OutputTable[GroupByKey]=OutputTable[[#This Row],[GroupByKey]]),(OutputTable[GroupByKey]=OutputTable[[#This Row],[GroupByKey]])*OutputTable[RecordedValue])),0)</f>
        <v>9.0261433828527267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107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0.51132891701139904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0.50585592210489994</v>
      </c>
      <c r="L20" cm="1">
        <f t="array" ref="L20">IFERROR(_xlfn.STDEV.S(IF((OutputTable[GroupByKey]=OutputTable[[#This Row],[GroupByKey]]),(OutputTable[GroupByKey]=OutputTable[[#This Row],[GroupByKey]])*OutputTable[RecordedValue])),0)</f>
        <v>6.7092108241474532E-2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20" cm="1">
        <f t="array" ref="O20">MIN(IF((OutputTable[GroupByKey]=OutputTable[[#This Row],[GroupByKey]]),(OutputTable[GroupByKey]=OutputTable[[#This Row],[GroupByKey]])*OutputTable[RecordedValue]))</f>
        <v>0.35780838206908899</v>
      </c>
      <c r="P20" cm="1">
        <f t="array" ref="P20">MAX(IF((OutputTable[GroupByKey]=OutputTable[[#This Row],[GroupByKey]]),(OutputTable[GroupByKey]=OutputTable[[#This Row],[GroupByKey]])*OutputTable[RecordedValue]))</f>
        <v>0.62716275812281796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87.733333333333334</v>
      </c>
      <c r="L21" cm="1">
        <f t="array" ref="L21">IFERROR(_xlfn.STDEV.S(IF((OutputTable[GroupByKey]=OutputTable[[#This Row],[GroupByKey]]),(OutputTable[GroupByKey]=OutputTable[[#This Row],[GroupByKey]])*OutputTable[RecordedValue])),0)</f>
        <v>9.1761810602545744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105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89.7</v>
      </c>
      <c r="L22" cm="1">
        <f t="array" ref="L22">IFERROR(_xlfn.STDEV.S(IF((OutputTable[GroupByKey]=OutputTable[[#This Row],[GroupByKey]]),(OutputTable[GroupByKey]=OutputTable[[#This Row],[GroupByKey]])*OutputTable[RecordedValue])),0)</f>
        <v>9.0407125138796811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107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87.733333333333334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9.1761810602545744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105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89.666666666666671</v>
      </c>
      <c r="L24" cm="1">
        <f t="array" ref="L24">IFERROR(_xlfn.STDEV.S(IF((OutputTable[GroupByKey]=OutputTable[[#This Row],[GroupByKey]]),(OutputTable[GroupByKey]=OutputTable[[#This Row],[GroupByKey]])*OutputTable[RecordedValue])),0)</f>
        <v>9.0261433828527267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107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0.46645552884283398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0.50585592210489994</v>
      </c>
      <c r="L25" cm="1">
        <f t="array" ref="L25">IFERROR(_xlfn.STDEV.S(IF((OutputTable[GroupByKey]=OutputTable[[#This Row],[GroupByKey]]),(OutputTable[GroupByKey]=OutputTable[[#This Row],[GroupByKey]])*OutputTable[RecordedValue])),0)</f>
        <v>6.7092108241474532E-2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25" cm="1">
        <f t="array" ref="O25">MIN(IF((OutputTable[GroupByKey]=OutputTable[[#This Row],[GroupByKey]]),(OutputTable[GroupByKey]=OutputTable[[#This Row],[GroupByKey]])*OutputTable[RecordedValue]))</f>
        <v>0.35780838206908899</v>
      </c>
      <c r="P25" cm="1">
        <f t="array" ref="P25">MAX(IF((OutputTable[GroupByKey]=OutputTable[[#This Row],[GroupByKey]]),(OutputTable[GroupByKey]=OutputTable[[#This Row],[GroupByKey]])*OutputTable[RecordedValue]))</f>
        <v>0.62716275812281796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87.733333333333334</v>
      </c>
      <c r="L26" cm="1">
        <f t="array" ref="L26">IFERROR(_xlfn.STDEV.S(IF((OutputTable[GroupByKey]=OutputTable[[#This Row],[GroupByKey]]),(OutputTable[GroupByKey]=OutputTable[[#This Row],[GroupByKey]])*OutputTable[RecordedValue])),0)</f>
        <v>9.1761810602545744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105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95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89.7</v>
      </c>
      <c r="L27" cm="1">
        <f t="array" ref="L27">IFERROR(_xlfn.STDEV.S(IF((OutputTable[GroupByKey]=OutputTable[[#This Row],[GroupByKey]]),(OutputTable[GroupByKey]=OutputTable[[#This Row],[GroupByKey]])*OutputTable[RecordedValue])),0)</f>
        <v>9.0407125138796811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107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87.733333333333334</v>
      </c>
      <c r="L28" cm="1">
        <f t="array" ref="L28">IFERROR(_xlfn.STDEV.S(IF((OutputTable[GroupByKey]=OutputTable[[#This Row],[GroupByKey]]),(OutputTable[GroupByKey]=OutputTable[[#This Row],[GroupByKey]])*OutputTable[RecordedValue])),0)</f>
        <v>9.1761810602545744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105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95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89.666666666666671</v>
      </c>
      <c r="L29" cm="1">
        <f t="array" ref="L29">IFERROR(_xlfn.STDEV.S(IF((OutputTable[GroupByKey]=OutputTable[[#This Row],[GroupByKey]]),(OutputTable[GroupByKey]=OutputTable[[#This Row],[GroupByKey]])*OutputTable[RecordedValue])),0)</f>
        <v>9.0261433828527267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107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0.55907458918076802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0.50585592210489994</v>
      </c>
      <c r="L30" cm="1">
        <f t="array" ref="L30">IFERROR(_xlfn.STDEV.S(IF((OutputTable[GroupByKey]=OutputTable[[#This Row],[GroupByKey]]),(OutputTable[GroupByKey]=OutputTable[[#This Row],[GroupByKey]])*OutputTable[RecordedValue])),0)</f>
        <v>6.7092108241474532E-2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30" cm="1">
        <f t="array" ref="O30">MIN(IF((OutputTable[GroupByKey]=OutputTable[[#This Row],[GroupByKey]]),(OutputTable[GroupByKey]=OutputTable[[#This Row],[GroupByKey]])*OutputTable[RecordedValue]))</f>
        <v>0.35780838206908899</v>
      </c>
      <c r="P30" cm="1">
        <f t="array" ref="P30">MAX(IF((OutputTable[GroupByKey]=OutputTable[[#This Row],[GroupByKey]]),(OutputTable[GroupByKey]=OutputTable[[#This Row],[GroupByKey]])*OutputTable[RecordedValue]))</f>
        <v>0.62716275812281796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87.733333333333334</v>
      </c>
      <c r="L31" cm="1">
        <f t="array" ref="L31">IFERROR(_xlfn.STDEV.S(IF((OutputTable[GroupByKey]=OutputTable[[#This Row],[GroupByKey]]),(OutputTable[GroupByKey]=OutputTable[[#This Row],[GroupByKey]])*OutputTable[RecordedValue])),0)</f>
        <v>9.1761810602545744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105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86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89.7</v>
      </c>
      <c r="L32" cm="1">
        <f t="array" ref="L32">IFERROR(_xlfn.STDEV.S(IF((OutputTable[GroupByKey]=OutputTable[[#This Row],[GroupByKey]]),(OutputTable[GroupByKey]=OutputTable[[#This Row],[GroupByKey]])*OutputTable[RecordedValue])),0)</f>
        <v>9.0407125138796811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107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86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87.733333333333334</v>
      </c>
      <c r="L33" cm="1">
        <f t="array" ref="L33">IFERROR(_xlfn.STDEV.S(IF((OutputTable[GroupByKey]=OutputTable[[#This Row],[GroupByKey]]),(OutputTable[GroupByKey]=OutputTable[[#This Row],[GroupByKey]])*OutputTable[RecordedValue])),0)</f>
        <v>9.1761810602545744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105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86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89.666666666666671</v>
      </c>
      <c r="L34" cm="1">
        <f t="array" ref="L34">IFERROR(_xlfn.STDEV.S(IF((OutputTable[GroupByKey]=OutputTable[[#This Row],[GroupByKey]]),(OutputTable[GroupByKey]=OutputTable[[#This Row],[GroupByKey]])*OutputTable[RecordedValue])),0)</f>
        <v>9.0261433828527267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107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0.54170870617565103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0.50585592210489994</v>
      </c>
      <c r="L35" cm="1">
        <f t="array" ref="L35">IFERROR(_xlfn.STDEV.S(IF((OutputTable[GroupByKey]=OutputTable[[#This Row],[GroupByKey]]),(OutputTable[GroupByKey]=OutputTable[[#This Row],[GroupByKey]])*OutputTable[RecordedValue])),0)</f>
        <v>6.7092108241474532E-2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35" cm="1">
        <f t="array" ref="O35">MIN(IF((OutputTable[GroupByKey]=OutputTable[[#This Row],[GroupByKey]]),(OutputTable[GroupByKey]=OutputTable[[#This Row],[GroupByKey]])*OutputTable[RecordedValue]))</f>
        <v>0.35780838206908899</v>
      </c>
      <c r="P35" cm="1">
        <f t="array" ref="P35">MAX(IF((OutputTable[GroupByKey]=OutputTable[[#This Row],[GroupByKey]]),(OutputTable[GroupByKey]=OutputTable[[#This Row],[GroupByKey]])*OutputTable[RecordedValue]))</f>
        <v>0.62716275812281796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86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87.733333333333334</v>
      </c>
      <c r="L36" cm="1">
        <f t="array" ref="L36">IFERROR(_xlfn.STDEV.S(IF((OutputTable[GroupByKey]=OutputTable[[#This Row],[GroupByKey]]),(OutputTable[GroupByKey]=OutputTable[[#This Row],[GroupByKey]])*OutputTable[RecordedValue])),0)</f>
        <v>9.1761810602545744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105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75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89.7</v>
      </c>
      <c r="L37" cm="1">
        <f t="array" ref="L37">IFERROR(_xlfn.STDEV.S(IF((OutputTable[GroupByKey]=OutputTable[[#This Row],[GroupByKey]]),(OutputTable[GroupByKey]=OutputTable[[#This Row],[GroupByKey]])*OutputTable[RecordedValue])),0)</f>
        <v>9.0407125138796811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107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73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87.733333333333334</v>
      </c>
      <c r="L38" cm="1">
        <f t="array" ref="L38">IFERROR(_xlfn.STDEV.S(IF((OutputTable[GroupByKey]=OutputTable[[#This Row],[GroupByKey]]),(OutputTable[GroupByKey]=OutputTable[[#This Row],[GroupByKey]])*OutputTable[RecordedValue])),0)</f>
        <v>9.1761810602545744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105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75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89.666666666666671</v>
      </c>
      <c r="L39" cm="1">
        <f t="array" ref="L39">IFERROR(_xlfn.STDEV.S(IF((OutputTable[GroupByKey]=OutputTable[[#This Row],[GroupByKey]]),(OutputTable[GroupByKey]=OutputTable[[#This Row],[GroupByKey]])*OutputTable[RecordedValue])),0)</f>
        <v>9.0261433828527267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107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0.47936981463695799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0.50585592210489994</v>
      </c>
      <c r="L40" cm="1">
        <f t="array" ref="L40">IFERROR(_xlfn.STDEV.S(IF((OutputTable[GroupByKey]=OutputTable[[#This Row],[GroupByKey]]),(OutputTable[GroupByKey]=OutputTable[[#This Row],[GroupByKey]])*OutputTable[RecordedValue])),0)</f>
        <v>6.7092108241474532E-2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40" cm="1">
        <f t="array" ref="O40">MIN(IF((OutputTable[GroupByKey]=OutputTable[[#This Row],[GroupByKey]]),(OutputTable[GroupByKey]=OutputTable[[#This Row],[GroupByKey]])*OutputTable[RecordedValue]))</f>
        <v>0.35780838206908899</v>
      </c>
      <c r="P40" cm="1">
        <f t="array" ref="P40">MAX(IF((OutputTable[GroupByKey]=OutputTable[[#This Row],[GroupByKey]]),(OutputTable[GroupByKey]=OutputTable[[#This Row],[GroupByKey]])*OutputTable[RecordedValue]))</f>
        <v>0.62716275812281796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73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87.733333333333334</v>
      </c>
      <c r="L41" cm="1">
        <f t="array" ref="L41">IFERROR(_xlfn.STDEV.S(IF((OutputTable[GroupByKey]=OutputTable[[#This Row],[GroupByKey]]),(OutputTable[GroupByKey]=OutputTable[[#This Row],[GroupByKey]])*OutputTable[RecordedValue])),0)</f>
        <v>9.1761810602545744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105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89.7</v>
      </c>
      <c r="L42" cm="1">
        <f t="array" ref="L42">IFERROR(_xlfn.STDEV.S(IF((OutputTable[GroupByKey]=OutputTable[[#This Row],[GroupByKey]]),(OutputTable[GroupByKey]=OutputTable[[#This Row],[GroupByKey]])*OutputTable[RecordedValue])),0)</f>
        <v>9.0407125138796811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107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87.733333333333334</v>
      </c>
      <c r="L43" cm="1">
        <f t="array" ref="L43">IFERROR(_xlfn.STDEV.S(IF((OutputTable[GroupByKey]=OutputTable[[#This Row],[GroupByKey]]),(OutputTable[GroupByKey]=OutputTable[[#This Row],[GroupByKey]])*OutputTable[RecordedValue])),0)</f>
        <v>9.1761810602545744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105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89.666666666666671</v>
      </c>
      <c r="L44" cm="1">
        <f t="array" ref="L44">IFERROR(_xlfn.STDEV.S(IF((OutputTable[GroupByKey]=OutputTable[[#This Row],[GroupByKey]]),(OutputTable[GroupByKey]=OutputTable[[#This Row],[GroupByKey]])*OutputTable[RecordedValue])),0)</f>
        <v>9.0261433828527267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107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0.43820879773654198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0.50585592210489994</v>
      </c>
      <c r="L45" cm="1">
        <f t="array" ref="L45">IFERROR(_xlfn.STDEV.S(IF((OutputTable[GroupByKey]=OutputTable[[#This Row],[GroupByKey]]),(OutputTable[GroupByKey]=OutputTable[[#This Row],[GroupByKey]])*OutputTable[RecordedValue])),0)</f>
        <v>6.7092108241474532E-2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45" cm="1">
        <f t="array" ref="O45">MIN(IF((OutputTable[GroupByKey]=OutputTable[[#This Row],[GroupByKey]]),(OutputTable[GroupByKey]=OutputTable[[#This Row],[GroupByKey]])*OutputTable[RecordedValue]))</f>
        <v>0.35780838206908899</v>
      </c>
      <c r="P45" cm="1">
        <f t="array" ref="P45">MAX(IF((OutputTable[GroupByKey]=OutputTable[[#This Row],[GroupByKey]]),(OutputTable[GroupByKey]=OutputTable[[#This Row],[GroupByKey]])*OutputTable[RecordedValue]))</f>
        <v>0.62716275812281796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87.733333333333334</v>
      </c>
      <c r="L46" cm="1">
        <f t="array" ref="L46">IFERROR(_xlfn.STDEV.S(IF((OutputTable[GroupByKey]=OutputTable[[#This Row],[GroupByKey]]),(OutputTable[GroupByKey]=OutputTable[[#This Row],[GroupByKey]])*OutputTable[RecordedValue])),0)</f>
        <v>9.1761810602545744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105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89.7</v>
      </c>
      <c r="L47" cm="1">
        <f t="array" ref="L47">IFERROR(_xlfn.STDEV.S(IF((OutputTable[GroupByKey]=OutputTable[[#This Row],[GroupByKey]]),(OutputTable[GroupByKey]=OutputTable[[#This Row],[GroupByKey]])*OutputTable[RecordedValue])),0)</f>
        <v>9.0407125138796811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107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87.733333333333334</v>
      </c>
      <c r="L48" cm="1">
        <f t="array" ref="L48">IFERROR(_xlfn.STDEV.S(IF((OutputTable[GroupByKey]=OutputTable[[#This Row],[GroupByKey]]),(OutputTable[GroupByKey]=OutputTable[[#This Row],[GroupByKey]])*OutputTable[RecordedValue])),0)</f>
        <v>9.1761810602545744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105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89.666666666666671</v>
      </c>
      <c r="L49" cm="1">
        <f t="array" ref="L49">IFERROR(_xlfn.STDEV.S(IF((OutputTable[GroupByKey]=OutputTable[[#This Row],[GroupByKey]]),(OutputTable[GroupByKey]=OutputTable[[#This Row],[GroupByKey]])*OutputTable[RecordedValue])),0)</f>
        <v>9.0261433828527267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107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0.37732764232190502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0.50585592210489994</v>
      </c>
      <c r="L50" cm="1">
        <f t="array" ref="L50">IFERROR(_xlfn.STDEV.S(IF((OutputTable[GroupByKey]=OutputTable[[#This Row],[GroupByKey]]),(OutputTable[GroupByKey]=OutputTable[[#This Row],[GroupByKey]])*OutputTable[RecordedValue])),0)</f>
        <v>6.7092108241474532E-2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50" cm="1">
        <f t="array" ref="O50">MIN(IF((OutputTable[GroupByKey]=OutputTable[[#This Row],[GroupByKey]]),(OutputTable[GroupByKey]=OutputTable[[#This Row],[GroupByKey]])*OutputTable[RecordedValue]))</f>
        <v>0.35780838206908899</v>
      </c>
      <c r="P50" cm="1">
        <f t="array" ref="P50">MAX(IF((OutputTable[GroupByKey]=OutputTable[[#This Row],[GroupByKey]]),(OutputTable[GroupByKey]=OutputTable[[#This Row],[GroupByKey]])*OutputTable[RecordedValue]))</f>
        <v>0.62716275812281796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87.733333333333334</v>
      </c>
      <c r="L51" cm="1">
        <f t="array" ref="L51">IFERROR(_xlfn.STDEV.S(IF((OutputTable[GroupByKey]=OutputTable[[#This Row],[GroupByKey]]),(OutputTable[GroupByKey]=OutputTable[[#This Row],[GroupByKey]])*OutputTable[RecordedValue])),0)</f>
        <v>9.1761810602545744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105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94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89.7</v>
      </c>
      <c r="L52" cm="1">
        <f t="array" ref="L52">IFERROR(_xlfn.STDEV.S(IF((OutputTable[GroupByKey]=OutputTable[[#This Row],[GroupByKey]]),(OutputTable[GroupByKey]=OutputTable[[#This Row],[GroupByKey]])*OutputTable[RecordedValue])),0)</f>
        <v>9.0407125138796811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107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90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87.733333333333334</v>
      </c>
      <c r="L53" cm="1">
        <f t="array" ref="L53">IFERROR(_xlfn.STDEV.S(IF((OutputTable[GroupByKey]=OutputTable[[#This Row],[GroupByKey]]),(OutputTable[GroupByKey]=OutputTable[[#This Row],[GroupByKey]])*OutputTable[RecordedValue])),0)</f>
        <v>9.1761810602545744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105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94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89.666666666666671</v>
      </c>
      <c r="L54" cm="1">
        <f t="array" ref="L54">IFERROR(_xlfn.STDEV.S(IF((OutputTable[GroupByKey]=OutputTable[[#This Row],[GroupByKey]]),(OutputTable[GroupByKey]=OutputTable[[#This Row],[GroupByKey]])*OutputTable[RecordedValue])),0)</f>
        <v>9.0261433828527267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107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0.470687915467491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0.50585592210489994</v>
      </c>
      <c r="L55" cm="1">
        <f t="array" ref="L55">IFERROR(_xlfn.STDEV.S(IF((OutputTable[GroupByKey]=OutputTable[[#This Row],[GroupByKey]]),(OutputTable[GroupByKey]=OutputTable[[#This Row],[GroupByKey]])*OutputTable[RecordedValue])),0)</f>
        <v>6.7092108241474532E-2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55" cm="1">
        <f t="array" ref="O55">MIN(IF((OutputTable[GroupByKey]=OutputTable[[#This Row],[GroupByKey]]),(OutputTable[GroupByKey]=OutputTable[[#This Row],[GroupByKey]])*OutputTable[RecordedValue]))</f>
        <v>0.35780838206908899</v>
      </c>
      <c r="P55" cm="1">
        <f t="array" ref="P55">MAX(IF((OutputTable[GroupByKey]=OutputTable[[#This Row],[GroupByKey]]),(OutputTable[GroupByKey]=OutputTable[[#This Row],[GroupByKey]])*OutputTable[RecordedValue]))</f>
        <v>0.62716275812281796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90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87.733333333333334</v>
      </c>
      <c r="L56" cm="1">
        <f t="array" ref="L56">IFERROR(_xlfn.STDEV.S(IF((OutputTable[GroupByKey]=OutputTable[[#This Row],[GroupByKey]]),(OutputTable[GroupByKey]=OutputTable[[#This Row],[GroupByKey]])*OutputTable[RecordedValue])),0)</f>
        <v>9.1761810602545744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105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89.7</v>
      </c>
      <c r="L57" cm="1">
        <f t="array" ref="L57">IFERROR(_xlfn.STDEV.S(IF((OutputTable[GroupByKey]=OutputTable[[#This Row],[GroupByKey]]),(OutputTable[GroupByKey]=OutputTable[[#This Row],[GroupByKey]])*OutputTable[RecordedValue])),0)</f>
        <v>9.0407125138796811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107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83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87.733333333333334</v>
      </c>
      <c r="L58" cm="1">
        <f t="array" ref="L58">IFERROR(_xlfn.STDEV.S(IF((OutputTable[GroupByKey]=OutputTable[[#This Row],[GroupByKey]]),(OutputTable[GroupByKey]=OutputTable[[#This Row],[GroupByKey]])*OutputTable[RecordedValue])),0)</f>
        <v>9.1761810602545744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105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89.666666666666671</v>
      </c>
      <c r="L59" cm="1">
        <f t="array" ref="L59">IFERROR(_xlfn.STDEV.S(IF((OutputTable[GroupByKey]=OutputTable[[#This Row],[GroupByKey]]),(OutputTable[GroupByKey]=OutputTable[[#This Row],[GroupByKey]])*OutputTable[RecordedValue])),0)</f>
        <v>9.0261433828527267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107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0.47490967560191899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0.50585592210489994</v>
      </c>
      <c r="L60" cm="1">
        <f t="array" ref="L60">IFERROR(_xlfn.STDEV.S(IF((OutputTable[GroupByKey]=OutputTable[[#This Row],[GroupByKey]]),(OutputTable[GroupByKey]=OutputTable[[#This Row],[GroupByKey]])*OutputTable[RecordedValue])),0)</f>
        <v>6.7092108241474532E-2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60" cm="1">
        <f t="array" ref="O60">MIN(IF((OutputTable[GroupByKey]=OutputTable[[#This Row],[GroupByKey]]),(OutputTable[GroupByKey]=OutputTable[[#This Row],[GroupByKey]])*OutputTable[RecordedValue]))</f>
        <v>0.35780838206908899</v>
      </c>
      <c r="P60" cm="1">
        <f t="array" ref="P60">MAX(IF((OutputTable[GroupByKey]=OutputTable[[#This Row],[GroupByKey]]),(OutputTable[GroupByKey]=OutputTable[[#This Row],[GroupByKey]])*OutputTable[RecordedValue]))</f>
        <v>0.62716275812281796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83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87.733333333333334</v>
      </c>
      <c r="L61" cm="1">
        <f t="array" ref="L61">IFERROR(_xlfn.STDEV.S(IF((OutputTable[GroupByKey]=OutputTable[[#This Row],[GroupByKey]]),(OutputTable[GroupByKey]=OutputTable[[#This Row],[GroupByKey]])*OutputTable[RecordedValue])),0)</f>
        <v>9.1761810602545744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105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89.7</v>
      </c>
      <c r="L62" cm="1">
        <f t="array" ref="L62">IFERROR(_xlfn.STDEV.S(IF((OutputTable[GroupByKey]=OutputTable[[#This Row],[GroupByKey]]),(OutputTable[GroupByKey]=OutputTable[[#This Row],[GroupByKey]])*OutputTable[RecordedValue])),0)</f>
        <v>9.0407125138796811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107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91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87.733333333333334</v>
      </c>
      <c r="L63" cm="1">
        <f t="array" ref="L63">IFERROR(_xlfn.STDEV.S(IF((OutputTable[GroupByKey]=OutputTable[[#This Row],[GroupByKey]]),(OutputTable[GroupByKey]=OutputTable[[#This Row],[GroupByKey]])*OutputTable[RecordedValue])),0)</f>
        <v>9.1761810602545744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105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89.666666666666671</v>
      </c>
      <c r="L64" cm="1">
        <f t="array" ref="L64">IFERROR(_xlfn.STDEV.S(IF((OutputTable[GroupByKey]=OutputTable[[#This Row],[GroupByKey]]),(OutputTable[GroupByKey]=OutputTable[[#This Row],[GroupByKey]])*OutputTable[RecordedValue])),0)</f>
        <v>9.0261433828527267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107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0.531137679397923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0.50585592210489994</v>
      </c>
      <c r="L65" cm="1">
        <f t="array" ref="L65">IFERROR(_xlfn.STDEV.S(IF((OutputTable[GroupByKey]=OutputTable[[#This Row],[GroupByKey]]),(OutputTable[GroupByKey]=OutputTable[[#This Row],[GroupByKey]])*OutputTable[RecordedValue])),0)</f>
        <v>6.7092108241474532E-2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65" cm="1">
        <f t="array" ref="O65">MIN(IF((OutputTable[GroupByKey]=OutputTable[[#This Row],[GroupByKey]]),(OutputTable[GroupByKey]=OutputTable[[#This Row],[GroupByKey]])*OutputTable[RecordedValue]))</f>
        <v>0.35780838206908899</v>
      </c>
      <c r="P65" cm="1">
        <f t="array" ref="P65">MAX(IF((OutputTable[GroupByKey]=OutputTable[[#This Row],[GroupByKey]]),(OutputTable[GroupByKey]=OutputTable[[#This Row],[GroupByKey]])*OutputTable[RecordedValue]))</f>
        <v>0.62716275812281796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91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87.733333333333334</v>
      </c>
      <c r="L66" cm="1">
        <f t="array" ref="L66">IFERROR(_xlfn.STDEV.S(IF((OutputTable[GroupByKey]=OutputTable[[#This Row],[GroupByKey]]),(OutputTable[GroupByKey]=OutputTable[[#This Row],[GroupByKey]])*OutputTable[RecordedValue])),0)</f>
        <v>9.1761810602545744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105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93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89.7</v>
      </c>
      <c r="L67" cm="1">
        <f t="array" ref="L67">IFERROR(_xlfn.STDEV.S(IF((OutputTable[GroupByKey]=OutputTable[[#This Row],[GroupByKey]]),(OutputTable[GroupByKey]=OutputTable[[#This Row],[GroupByKey]])*OutputTable[RecordedValue])),0)</f>
        <v>9.0407125138796811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107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92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87.733333333333334</v>
      </c>
      <c r="L68" cm="1">
        <f t="array" ref="L68">IFERROR(_xlfn.STDEV.S(IF((OutputTable[GroupByKey]=OutputTable[[#This Row],[GroupByKey]]),(OutputTable[GroupByKey]=OutputTable[[#This Row],[GroupByKey]])*OutputTable[RecordedValue])),0)</f>
        <v>9.1761810602545744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105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93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89.666666666666671</v>
      </c>
      <c r="L69" cm="1">
        <f t="array" ref="L69">IFERROR(_xlfn.STDEV.S(IF((OutputTable[GroupByKey]=OutputTable[[#This Row],[GroupByKey]]),(OutputTable[GroupByKey]=OutputTable[[#This Row],[GroupByKey]])*OutputTable[RecordedValue])),0)</f>
        <v>9.0261433828527267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107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0.48722159316116698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0.50585592210489994</v>
      </c>
      <c r="L70" cm="1">
        <f t="array" ref="L70">IFERROR(_xlfn.STDEV.S(IF((OutputTable[GroupByKey]=OutputTable[[#This Row],[GroupByKey]]),(OutputTable[GroupByKey]=OutputTable[[#This Row],[GroupByKey]])*OutputTable[RecordedValue])),0)</f>
        <v>6.7092108241474532E-2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70" cm="1">
        <f t="array" ref="O70">MIN(IF((OutputTable[GroupByKey]=OutputTable[[#This Row],[GroupByKey]]),(OutputTable[GroupByKey]=OutputTable[[#This Row],[GroupByKey]])*OutputTable[RecordedValue]))</f>
        <v>0.35780838206908899</v>
      </c>
      <c r="P70" cm="1">
        <f t="array" ref="P70">MAX(IF((OutputTable[GroupByKey]=OutputTable[[#This Row],[GroupByKey]]),(OutputTable[GroupByKey]=OutputTable[[#This Row],[GroupByKey]])*OutputTable[RecordedValue]))</f>
        <v>0.62716275812281796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92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87.733333333333334</v>
      </c>
      <c r="L71" cm="1">
        <f t="array" ref="L71">IFERROR(_xlfn.STDEV.S(IF((OutputTable[GroupByKey]=OutputTable[[#This Row],[GroupByKey]]),(OutputTable[GroupByKey]=OutputTable[[#This Row],[GroupByKey]])*OutputTable[RecordedValue])),0)</f>
        <v>9.1761810602545744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105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83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89.7</v>
      </c>
      <c r="L72" cm="1">
        <f t="array" ref="L72">IFERROR(_xlfn.STDEV.S(IF((OutputTable[GroupByKey]=OutputTable[[#This Row],[GroupByKey]]),(OutputTable[GroupByKey]=OutputTable[[#This Row],[GroupByKey]])*OutputTable[RecordedValue])),0)</f>
        <v>9.0407125138796811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107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83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87.733333333333334</v>
      </c>
      <c r="L73" cm="1">
        <f t="array" ref="L73">IFERROR(_xlfn.STDEV.S(IF((OutputTable[GroupByKey]=OutputTable[[#This Row],[GroupByKey]]),(OutputTable[GroupByKey]=OutputTable[[#This Row],[GroupByKey]])*OutputTable[RecordedValue])),0)</f>
        <v>9.1761810602545744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105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83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89.666666666666671</v>
      </c>
      <c r="L74" cm="1">
        <f t="array" ref="L74">IFERROR(_xlfn.STDEV.S(IF((OutputTable[GroupByKey]=OutputTable[[#This Row],[GroupByKey]]),(OutputTable[GroupByKey]=OutputTable[[#This Row],[GroupByKey]])*OutputTable[RecordedValue])),0)</f>
        <v>9.0261433828527267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107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0.44317826667955201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0.50585592210489994</v>
      </c>
      <c r="L75" cm="1">
        <f t="array" ref="L75">IFERROR(_xlfn.STDEV.S(IF((OutputTable[GroupByKey]=OutputTable[[#This Row],[GroupByKey]]),(OutputTable[GroupByKey]=OutputTable[[#This Row],[GroupByKey]])*OutputTable[RecordedValue])),0)</f>
        <v>6.7092108241474532E-2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75" cm="1">
        <f t="array" ref="O75">MIN(IF((OutputTable[GroupByKey]=OutputTable[[#This Row],[GroupByKey]]),(OutputTable[GroupByKey]=OutputTable[[#This Row],[GroupByKey]])*OutputTable[RecordedValue]))</f>
        <v>0.35780838206908899</v>
      </c>
      <c r="P75" cm="1">
        <f t="array" ref="P75">MAX(IF((OutputTable[GroupByKey]=OutputTable[[#This Row],[GroupByKey]]),(OutputTable[GroupByKey]=OutputTable[[#This Row],[GroupByKey]])*OutputTable[RecordedValue]))</f>
        <v>0.62716275812281796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83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87.733333333333334</v>
      </c>
      <c r="L76" cm="1">
        <f t="array" ref="L76">IFERROR(_xlfn.STDEV.S(IF((OutputTable[GroupByKey]=OutputTable[[#This Row],[GroupByKey]]),(OutputTable[GroupByKey]=OutputTable[[#This Row],[GroupByKey]])*OutputTable[RecordedValue])),0)</f>
        <v>9.1761810602545744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105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89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89.7</v>
      </c>
      <c r="L77" cm="1">
        <f t="array" ref="L77">IFERROR(_xlfn.STDEV.S(IF((OutputTable[GroupByKey]=OutputTable[[#This Row],[GroupByKey]]),(OutputTable[GroupByKey]=OutputTable[[#This Row],[GroupByKey]])*OutputTable[RecordedValue])),0)</f>
        <v>9.0407125138796811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107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88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87.733333333333334</v>
      </c>
      <c r="L78" cm="1">
        <f t="array" ref="L78">IFERROR(_xlfn.STDEV.S(IF((OutputTable[GroupByKey]=OutputTable[[#This Row],[GroupByKey]]),(OutputTable[GroupByKey]=OutputTable[[#This Row],[GroupByKey]])*OutputTable[RecordedValue])),0)</f>
        <v>9.1761810602545744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105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89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89.666666666666671</v>
      </c>
      <c r="L79" cm="1">
        <f t="array" ref="L79">IFERROR(_xlfn.STDEV.S(IF((OutputTable[GroupByKey]=OutputTable[[#This Row],[GroupByKey]]),(OutputTable[GroupByKey]=OutputTable[[#This Row],[GroupByKey]])*OutputTable[RecordedValue])),0)</f>
        <v>9.0261433828527267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107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0.59221413990377503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0.50585592210489994</v>
      </c>
      <c r="L80" cm="1">
        <f t="array" ref="L80">IFERROR(_xlfn.STDEV.S(IF((OutputTable[GroupByKey]=OutputTable[[#This Row],[GroupByKey]]),(OutputTable[GroupByKey]=OutputTable[[#This Row],[GroupByKey]])*OutputTable[RecordedValue])),0)</f>
        <v>6.7092108241474532E-2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80" cm="1">
        <f t="array" ref="O80">MIN(IF((OutputTable[GroupByKey]=OutputTable[[#This Row],[GroupByKey]]),(OutputTable[GroupByKey]=OutputTable[[#This Row],[GroupByKey]])*OutputTable[RecordedValue]))</f>
        <v>0.35780838206908899</v>
      </c>
      <c r="P80" cm="1">
        <f t="array" ref="P80">MAX(IF((OutputTable[GroupByKey]=OutputTable[[#This Row],[GroupByKey]]),(OutputTable[GroupByKey]=OutputTable[[#This Row],[GroupByKey]])*OutputTable[RecordedValue]))</f>
        <v>0.62716275812281796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88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87.733333333333334</v>
      </c>
      <c r="L81" cm="1">
        <f t="array" ref="L81">IFERROR(_xlfn.STDEV.S(IF((OutputTable[GroupByKey]=OutputTable[[#This Row],[GroupByKey]]),(OutputTable[GroupByKey]=OutputTable[[#This Row],[GroupByKey]])*OutputTable[RecordedValue])),0)</f>
        <v>9.1761810602545744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105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89.7</v>
      </c>
      <c r="L82" cm="1">
        <f t="array" ref="L82">IFERROR(_xlfn.STDEV.S(IF((OutputTable[GroupByKey]=OutputTable[[#This Row],[GroupByKey]]),(OutputTable[GroupByKey]=OutputTable[[#This Row],[GroupByKey]])*OutputTable[RecordedValue])),0)</f>
        <v>9.0407125138796811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107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87.733333333333334</v>
      </c>
      <c r="L83" cm="1">
        <f t="array" ref="L83">IFERROR(_xlfn.STDEV.S(IF((OutputTable[GroupByKey]=OutputTable[[#This Row],[GroupByKey]]),(OutputTable[GroupByKey]=OutputTable[[#This Row],[GroupByKey]])*OutputTable[RecordedValue])),0)</f>
        <v>9.1761810602545744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105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89.666666666666671</v>
      </c>
      <c r="L84" cm="1">
        <f t="array" ref="L84">IFERROR(_xlfn.STDEV.S(IF((OutputTable[GroupByKey]=OutputTable[[#This Row],[GroupByKey]]),(OutputTable[GroupByKey]=OutputTable[[#This Row],[GroupByKey]])*OutputTable[RecordedValue])),0)</f>
        <v>9.0261433828527267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107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0.35780838206908899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0.50585592210489994</v>
      </c>
      <c r="L85" cm="1">
        <f t="array" ref="L85">IFERROR(_xlfn.STDEV.S(IF((OutputTable[GroupByKey]=OutputTable[[#This Row],[GroupByKey]]),(OutputTable[GroupByKey]=OutputTable[[#This Row],[GroupByKey]])*OutputTable[RecordedValue])),0)</f>
        <v>6.7092108241474532E-2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85" cm="1">
        <f t="array" ref="O85">MIN(IF((OutputTable[GroupByKey]=OutputTable[[#This Row],[GroupByKey]]),(OutputTable[GroupByKey]=OutputTable[[#This Row],[GroupByKey]])*OutputTable[RecordedValue]))</f>
        <v>0.35780838206908899</v>
      </c>
      <c r="P85" cm="1">
        <f t="array" ref="P85">MAX(IF((OutputTable[GroupByKey]=OutputTable[[#This Row],[GroupByKey]]),(OutputTable[GroupByKey]=OutputTable[[#This Row],[GroupByKey]])*OutputTable[RecordedValue]))</f>
        <v>0.62716275812281796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87.733333333333334</v>
      </c>
      <c r="L86" cm="1">
        <f t="array" ref="L86">IFERROR(_xlfn.STDEV.S(IF((OutputTable[GroupByKey]=OutputTable[[#This Row],[GroupByKey]]),(OutputTable[GroupByKey]=OutputTable[[#This Row],[GroupByKey]])*OutputTable[RecordedValue])),0)</f>
        <v>9.1761810602545744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105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89.7</v>
      </c>
      <c r="L87" cm="1">
        <f t="array" ref="L87">IFERROR(_xlfn.STDEV.S(IF((OutputTable[GroupByKey]=OutputTable[[#This Row],[GroupByKey]]),(OutputTable[GroupByKey]=OutputTable[[#This Row],[GroupByKey]])*OutputTable[RecordedValue])),0)</f>
        <v>9.0407125138796811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107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98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87.733333333333334</v>
      </c>
      <c r="L88" cm="1">
        <f t="array" ref="L88">IFERROR(_xlfn.STDEV.S(IF((OutputTable[GroupByKey]=OutputTable[[#This Row],[GroupByKey]]),(OutputTable[GroupByKey]=OutputTable[[#This Row],[GroupByKey]])*OutputTable[RecordedValue])),0)</f>
        <v>9.1761810602545744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105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101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89.666666666666671</v>
      </c>
      <c r="L89" cm="1">
        <f t="array" ref="L89">IFERROR(_xlfn.STDEV.S(IF((OutputTable[GroupByKey]=OutputTable[[#This Row],[GroupByKey]]),(OutputTable[GroupByKey]=OutputTable[[#This Row],[GroupByKey]])*OutputTable[RecordedValue])),0)</f>
        <v>9.0261433828527267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107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0.62716275812281796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0.50585592210489994</v>
      </c>
      <c r="L90" cm="1">
        <f t="array" ref="L90">IFERROR(_xlfn.STDEV.S(IF((OutputTable[GroupByKey]=OutputTable[[#This Row],[GroupByKey]]),(OutputTable[GroupByKey]=OutputTable[[#This Row],[GroupByKey]])*OutputTable[RecordedValue])),0)</f>
        <v>6.7092108241474532E-2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90" cm="1">
        <f t="array" ref="O90">MIN(IF((OutputTable[GroupByKey]=OutputTable[[#This Row],[GroupByKey]]),(OutputTable[GroupByKey]=OutputTable[[#This Row],[GroupByKey]])*OutputTable[RecordedValue]))</f>
        <v>0.35780838206908899</v>
      </c>
      <c r="P90" cm="1">
        <f t="array" ref="P90">MAX(IF((OutputTable[GroupByKey]=OutputTable[[#This Row],[GroupByKey]]),(OutputTable[GroupByKey]=OutputTable[[#This Row],[GroupByKey]])*OutputTable[RecordedValue]))</f>
        <v>0.62716275812281796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98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87.733333333333334</v>
      </c>
      <c r="L91" cm="1">
        <f t="array" ref="L91">IFERROR(_xlfn.STDEV.S(IF((OutputTable[GroupByKey]=OutputTable[[#This Row],[GroupByKey]]),(OutputTable[GroupByKey]=OutputTable[[#This Row],[GroupByKey]])*OutputTable[RecordedValue])),0)</f>
        <v>9.1761810602545744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105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85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89.7</v>
      </c>
      <c r="L92" cm="1">
        <f t="array" ref="L92">IFERROR(_xlfn.STDEV.S(IF((OutputTable[GroupByKey]=OutputTable[[#This Row],[GroupByKey]]),(OutputTable[GroupByKey]=OutputTable[[#This Row],[GroupByKey]])*OutputTable[RecordedValue])),0)</f>
        <v>9.0407125138796811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107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84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87.733333333333334</v>
      </c>
      <c r="L93" cm="1">
        <f t="array" ref="L93">IFERROR(_xlfn.STDEV.S(IF((OutputTable[GroupByKey]=OutputTable[[#This Row],[GroupByKey]]),(OutputTable[GroupByKey]=OutputTable[[#This Row],[GroupByKey]])*OutputTable[RecordedValue])),0)</f>
        <v>9.1761810602545744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105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85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89.666666666666671</v>
      </c>
      <c r="L94" cm="1">
        <f t="array" ref="L94">IFERROR(_xlfn.STDEV.S(IF((OutputTable[GroupByKey]=OutputTable[[#This Row],[GroupByKey]]),(OutputTable[GroupByKey]=OutputTable[[#This Row],[GroupByKey]])*OutputTable[RecordedValue])),0)</f>
        <v>9.0261433828527267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107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0.51830461002166195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0.50585592210489994</v>
      </c>
      <c r="L95" cm="1">
        <f t="array" ref="L95">IFERROR(_xlfn.STDEV.S(IF((OutputTable[GroupByKey]=OutputTable[[#This Row],[GroupByKey]]),(OutputTable[GroupByKey]=OutputTable[[#This Row],[GroupByKey]])*OutputTable[RecordedValue])),0)</f>
        <v>6.7092108241474532E-2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95" cm="1">
        <f t="array" ref="O95">MIN(IF((OutputTable[GroupByKey]=OutputTable[[#This Row],[GroupByKey]]),(OutputTable[GroupByKey]=OutputTable[[#This Row],[GroupByKey]])*OutputTable[RecordedValue]))</f>
        <v>0.35780838206908899</v>
      </c>
      <c r="P95" cm="1">
        <f t="array" ref="P95">MAX(IF((OutputTable[GroupByKey]=OutputTable[[#This Row],[GroupByKey]]),(OutputTable[GroupByKey]=OutputTable[[#This Row],[GroupByKey]])*OutputTable[RecordedValue]))</f>
        <v>0.62716275812281796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84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87.733333333333334</v>
      </c>
      <c r="L96" cm="1">
        <f t="array" ref="L96">IFERROR(_xlfn.STDEV.S(IF((OutputTable[GroupByKey]=OutputTable[[#This Row],[GroupByKey]]),(OutputTable[GroupByKey]=OutputTable[[#This Row],[GroupByKey]])*OutputTable[RecordedValue])),0)</f>
        <v>9.1761810602545744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105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89.7</v>
      </c>
      <c r="L97" cm="1">
        <f t="array" ref="L97">IFERROR(_xlfn.STDEV.S(IF((OutputTable[GroupByKey]=OutputTable[[#This Row],[GroupByKey]]),(OutputTable[GroupByKey]=OutputTable[[#This Row],[GroupByKey]])*OutputTable[RecordedValue])),0)</f>
        <v>9.0407125138796811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107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83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87.733333333333334</v>
      </c>
      <c r="L98" cm="1">
        <f t="array" ref="L98">IFERROR(_xlfn.STDEV.S(IF((OutputTable[GroupByKey]=OutputTable[[#This Row],[GroupByKey]]),(OutputTable[GroupByKey]=OutputTable[[#This Row],[GroupByKey]])*OutputTable[RecordedValue])),0)</f>
        <v>9.1761810602545744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105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89.666666666666671</v>
      </c>
      <c r="L99" cm="1">
        <f t="array" ref="L99">IFERROR(_xlfn.STDEV.S(IF((OutputTable[GroupByKey]=OutputTable[[#This Row],[GroupByKey]]),(OutputTable[GroupByKey]=OutputTable[[#This Row],[GroupByKey]])*OutputTable[RecordedValue])),0)</f>
        <v>9.0261433828527267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107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0.44045702541822301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0.50585592210489994</v>
      </c>
      <c r="L100" cm="1">
        <f t="array" ref="L100">IFERROR(_xlfn.STDEV.S(IF((OutputTable[GroupByKey]=OutputTable[[#This Row],[GroupByKey]]),(OutputTable[GroupByKey]=OutputTable[[#This Row],[GroupByKey]])*OutputTable[RecordedValue])),0)</f>
        <v>6.7092108241474532E-2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00" cm="1">
        <f t="array" ref="O100">MIN(IF((OutputTable[GroupByKey]=OutputTable[[#This Row],[GroupByKey]]),(OutputTable[GroupByKey]=OutputTable[[#This Row],[GroupByKey]])*OutputTable[RecordedValue]))</f>
        <v>0.35780838206908899</v>
      </c>
      <c r="P100" cm="1">
        <f t="array" ref="P100">MAX(IF((OutputTable[GroupByKey]=OutputTable[[#This Row],[GroupByKey]]),(OutputTable[GroupByKey]=OutputTable[[#This Row],[GroupByKey]])*OutputTable[RecordedValue]))</f>
        <v>0.62716275812281796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83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87.733333333333334</v>
      </c>
      <c r="L101" cm="1">
        <f t="array" ref="L101">IFERROR(_xlfn.STDEV.S(IF((OutputTable[GroupByKey]=OutputTable[[#This Row],[GroupByKey]]),(OutputTable[GroupByKey]=OutputTable[[#This Row],[GroupByKey]])*OutputTable[RecordedValue])),0)</f>
        <v>9.1761810602545744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105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97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89.7</v>
      </c>
      <c r="L102" cm="1">
        <f t="array" ref="L102">IFERROR(_xlfn.STDEV.S(IF((OutputTable[GroupByKey]=OutputTable[[#This Row],[GroupByKey]]),(OutputTable[GroupByKey]=OutputTable[[#This Row],[GroupByKey]])*OutputTable[RecordedValue])),0)</f>
        <v>9.0407125138796811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107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95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87.733333333333334</v>
      </c>
      <c r="L103" cm="1">
        <f t="array" ref="L103">IFERROR(_xlfn.STDEV.S(IF((OutputTable[GroupByKey]=OutputTable[[#This Row],[GroupByKey]]),(OutputTable[GroupByKey]=OutputTable[[#This Row],[GroupByKey]])*OutputTable[RecordedValue])),0)</f>
        <v>9.1761810602545744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105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97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89.666666666666671</v>
      </c>
      <c r="L104" cm="1">
        <f t="array" ref="L104">IFERROR(_xlfn.STDEV.S(IF((OutputTable[GroupByKey]=OutputTable[[#This Row],[GroupByKey]]),(OutputTable[GroupByKey]=OutputTable[[#This Row],[GroupByKey]])*OutputTable[RecordedValue])),0)</f>
        <v>9.0261433828527267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107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0.46978112824909002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0.50585592210489994</v>
      </c>
      <c r="L105" cm="1">
        <f t="array" ref="L105">IFERROR(_xlfn.STDEV.S(IF((OutputTable[GroupByKey]=OutputTable[[#This Row],[GroupByKey]]),(OutputTable[GroupByKey]=OutputTable[[#This Row],[GroupByKey]])*OutputTable[RecordedValue])),0)</f>
        <v>6.7092108241474532E-2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05" cm="1">
        <f t="array" ref="O105">MIN(IF((OutputTable[GroupByKey]=OutputTable[[#This Row],[GroupByKey]]),(OutputTable[GroupByKey]=OutputTable[[#This Row],[GroupByKey]])*OutputTable[RecordedValue]))</f>
        <v>0.35780838206908899</v>
      </c>
      <c r="P105" cm="1">
        <f t="array" ref="P105">MAX(IF((OutputTable[GroupByKey]=OutputTable[[#This Row],[GroupByKey]]),(OutputTable[GroupByKey]=OutputTable[[#This Row],[GroupByKey]])*OutputTable[RecordedValue]))</f>
        <v>0.62716275812281796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95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87.733333333333334</v>
      </c>
      <c r="L106" cm="1">
        <f t="array" ref="L106">IFERROR(_xlfn.STDEV.S(IF((OutputTable[GroupByKey]=OutputTable[[#This Row],[GroupByKey]]),(OutputTable[GroupByKey]=OutputTable[[#This Row],[GroupByKey]])*OutputTable[RecordedValue])),0)</f>
        <v>9.1761810602545744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105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83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89.7</v>
      </c>
      <c r="L107" cm="1">
        <f t="array" ref="L107">IFERROR(_xlfn.STDEV.S(IF((OutputTable[GroupByKey]=OutputTable[[#This Row],[GroupByKey]]),(OutputTable[GroupByKey]=OutputTable[[#This Row],[GroupByKey]])*OutputTable[RecordedValue])),0)</f>
        <v>9.0407125138796811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107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79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87.733333333333334</v>
      </c>
      <c r="L108" cm="1">
        <f t="array" ref="L108">IFERROR(_xlfn.STDEV.S(IF((OutputTable[GroupByKey]=OutputTable[[#This Row],[GroupByKey]]),(OutputTable[GroupByKey]=OutputTable[[#This Row],[GroupByKey]])*OutputTable[RecordedValue])),0)</f>
        <v>9.1761810602545744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105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83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89.666666666666671</v>
      </c>
      <c r="L109" cm="1">
        <f t="array" ref="L109">IFERROR(_xlfn.STDEV.S(IF((OutputTable[GroupByKey]=OutputTable[[#This Row],[GroupByKey]]),(OutputTable[GroupByKey]=OutputTable[[#This Row],[GroupByKey]])*OutputTable[RecordedValue])),0)</f>
        <v>9.0261433828527267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107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0.52601584729403195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0.50585592210489994</v>
      </c>
      <c r="L110" cm="1">
        <f t="array" ref="L110">IFERROR(_xlfn.STDEV.S(IF((OutputTable[GroupByKey]=OutputTable[[#This Row],[GroupByKey]]),(OutputTable[GroupByKey]=OutputTable[[#This Row],[GroupByKey]])*OutputTable[RecordedValue])),0)</f>
        <v>6.7092108241474532E-2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10" cm="1">
        <f t="array" ref="O110">MIN(IF((OutputTable[GroupByKey]=OutputTable[[#This Row],[GroupByKey]]),(OutputTable[GroupByKey]=OutputTable[[#This Row],[GroupByKey]])*OutputTable[RecordedValue]))</f>
        <v>0.35780838206908899</v>
      </c>
      <c r="P110" cm="1">
        <f t="array" ref="P110">MAX(IF((OutputTable[GroupByKey]=OutputTable[[#This Row],[GroupByKey]]),(OutputTable[GroupByKey]=OutputTable[[#This Row],[GroupByKey]])*OutputTable[RecordedValue]))</f>
        <v>0.62716275812281796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79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87.733333333333334</v>
      </c>
      <c r="L111" cm="1">
        <f t="array" ref="L111">IFERROR(_xlfn.STDEV.S(IF((OutputTable[GroupByKey]=OutputTable[[#This Row],[GroupByKey]]),(OutputTable[GroupByKey]=OutputTable[[#This Row],[GroupByKey]])*OutputTable[RecordedValue])),0)</f>
        <v>9.1761810602545744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105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92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89.7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9.0407125138796811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107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87.733333333333334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9.1761810602545744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105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89.666666666666671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9.0261433828527267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107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0.48370842860188801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0.50585592210489994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6.7092108241474532E-2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15" s="5" cm="1">
        <f t="array" ref="O115">MIN(IF((OutputTable[GroupByKey]=OutputTable[[#This Row],[GroupByKey]]),(OutputTable[GroupByKey]=OutputTable[[#This Row],[GroupByKey]])*OutputTable[RecordedValue]))</f>
        <v>0.35780838206908899</v>
      </c>
      <c r="P115" s="5" cm="1">
        <f t="array" ref="P115">MAX(IF((OutputTable[GroupByKey]=OutputTable[[#This Row],[GroupByKey]]),(OutputTable[GroupByKey]=OutputTable[[#This Row],[GroupByKey]])*OutputTable[RecordedValue]))</f>
        <v>0.62716275812281796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87.733333333333334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9.1761810602545744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105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9.0407125138796811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107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87.733333333333334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9.1761810602545744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105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89.666666666666671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9.0261433828527267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107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0.44455570602369998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0.50585592210489994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6.7092108241474532E-2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20" s="5" cm="1">
        <f t="array" ref="O120">MIN(IF((OutputTable[GroupByKey]=OutputTable[[#This Row],[GroupByKey]]),(OutputTable[GroupByKey]=OutputTable[[#This Row],[GroupByKey]])*OutputTable[RecordedValue]))</f>
        <v>0.35780838206908899</v>
      </c>
      <c r="P120" s="5" cm="1">
        <f t="array" ref="P120">MAX(IF((OutputTable[GroupByKey]=OutputTable[[#This Row],[GroupByKey]]),(OutputTable[GroupByKey]=OutputTable[[#This Row],[GroupByKey]])*OutputTable[RecordedValue]))</f>
        <v>0.62716275812281796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72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87.733333333333334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9.1761810602545744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105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90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89.7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9.0407125138796811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107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87.733333333333334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9.1761810602545744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105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90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89.666666666666671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9.0261433828527267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107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0.47396200786998299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0.50585592210489994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6.7092108241474532E-2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25" s="5" cm="1">
        <f t="array" ref="O125">MIN(IF((OutputTable[GroupByKey]=OutputTable[[#This Row],[GroupByKey]]),(OutputTable[GroupByKey]=OutputTable[[#This Row],[GroupByKey]])*OutputTable[RecordedValue]))</f>
        <v>0.35780838206908899</v>
      </c>
      <c r="P125" s="5" cm="1">
        <f t="array" ref="P125">MAX(IF((OutputTable[GroupByKey]=OutputTable[[#This Row],[GroupByKey]]),(OutputTable[GroupByKey]=OutputTable[[#This Row],[GroupByKey]])*OutputTable[RecordedValue]))</f>
        <v>0.62716275812281796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87.733333333333334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9.1761810602545744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105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85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89.7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9.0407125138796811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107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87.733333333333334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9.1761810602545744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105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85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89.666666666666671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9.0261433828527267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107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0.48608350691788199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0.50585592210489994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6.7092108241474532E-2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30" s="5" cm="1">
        <f t="array" ref="O130">MIN(IF((OutputTable[GroupByKey]=OutputTable[[#This Row],[GroupByKey]]),(OutputTable[GroupByKey]=OutputTable[[#This Row],[GroupByKey]])*OutputTable[RecordedValue]))</f>
        <v>0.35780838206908899</v>
      </c>
      <c r="P130" s="5" cm="1">
        <f t="array" ref="P130">MAX(IF((OutputTable[GroupByKey]=OutputTable[[#This Row],[GroupByKey]]),(OutputTable[GroupByKey]=OutputTable[[#This Row],[GroupByKey]])*OutputTable[RecordedValue]))</f>
        <v>0.62716275812281796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87.733333333333334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9.1761810602545744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105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94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9.0407125138796811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107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89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87.733333333333334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9.1761810602545744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105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93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89.666666666666671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9.0261433828527267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107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0.58598289035519502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0.50585592210489994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6.7092108241474532E-2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35" s="5" cm="1">
        <f t="array" ref="O135">MIN(IF((OutputTable[GroupByKey]=OutputTable[[#This Row],[GroupByKey]]),(OutputTable[GroupByKey]=OutputTable[[#This Row],[GroupByKey]])*OutputTable[RecordedValue]))</f>
        <v>0.35780838206908899</v>
      </c>
      <c r="P135" s="5" cm="1">
        <f t="array" ref="P135">MAX(IF((OutputTable[GroupByKey]=OutputTable[[#This Row],[GroupByKey]]),(OutputTable[GroupByKey]=OutputTable[[#This Row],[GroupByKey]])*OutputTable[RecordedValue]))</f>
        <v>0.62716275812281796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87.733333333333334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9.1761810602545744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105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104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89.7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9.0407125138796811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107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101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87.733333333333334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9.1761810602545744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105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104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89.666666666666671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9.0261433828527267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107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0.59321522114103298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0.50585592210489994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6.7092108241474532E-2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40" s="5" cm="1">
        <f t="array" ref="O140">MIN(IF((OutputTable[GroupByKey]=OutputTable[[#This Row],[GroupByKey]]),(OutputTable[GroupByKey]=OutputTable[[#This Row],[GroupByKey]])*OutputTable[RecordedValue]))</f>
        <v>0.35780838206908899</v>
      </c>
      <c r="P140" s="5" cm="1">
        <f t="array" ref="P140">MAX(IF((OutputTable[GroupByKey]=OutputTable[[#This Row],[GroupByKey]]),(OutputTable[GroupByKey]=OutputTable[[#This Row],[GroupByKey]])*OutputTable[RecordedValue]))</f>
        <v>0.62716275812281796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101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87.733333333333334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9.1761810602545744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105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89.7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9.0407125138796811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107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87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87.733333333333334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9.1761810602545744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105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89.666666666666671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9.0261433828527267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107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0.50685598343326299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0.50585592210489994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6.7092108241474532E-2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45" s="5" cm="1">
        <f t="array" ref="O145">MIN(IF((OutputTable[GroupByKey]=OutputTable[[#This Row],[GroupByKey]]),(OutputTable[GroupByKey]=OutputTable[[#This Row],[GroupByKey]])*OutputTable[RecordedValue]))</f>
        <v>0.35780838206908899</v>
      </c>
      <c r="P145" s="5" cm="1">
        <f t="array" ref="P145">MAX(IF((OutputTable[GroupByKey]=OutputTable[[#This Row],[GroupByKey]]),(OutputTable[GroupByKey]=OutputTable[[#This Row],[GroupByKey]])*OutputTable[RecordedValue]))</f>
        <v>0.62716275812281796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87.733333333333334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9.1761810602545744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105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89.7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9.0407125138796811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3.3758575333484222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107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87.733333333333334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9.1761810602545744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105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107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89.666666666666671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9.0261433828527267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3.3704173304157248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107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0.60796694091509296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0.50585592210489994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6.7092108241474532E-2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2.5052604945405288E-2</v>
      </c>
      <c r="O150" s="5" cm="1">
        <f t="array" ref="O150">MIN(IF((OutputTable[GroupByKey]=OutputTable[[#This Row],[GroupByKey]]),(OutputTable[GroupByKey]=OutputTable[[#This Row],[GroupByKey]])*OutputTable[RecordedValue]))</f>
        <v>0.35780838206908899</v>
      </c>
      <c r="P150" s="5" cm="1">
        <f t="array" ref="P150">MAX(IF((OutputTable[GroupByKey]=OutputTable[[#This Row],[GroupByKey]]),(OutputTable[GroupByKey]=OutputTable[[#This Row],[GroupByKey]])*OutputTable[RecordedValue]))</f>
        <v>0.62716275812281796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87.733333333333334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9.1761810602545744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3.426442319902506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105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2025-02-11T15:41:27Z</dcterms:modified>
</cp:coreProperties>
</file>