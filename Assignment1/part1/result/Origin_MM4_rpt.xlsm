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8_{52322526-C7F1-4161-9229-B44D96C1E671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K35" i="20" s="1" a="1"/>
  <c r="K35" i="20" s="1"/>
  <c r="I9" i="20"/>
  <c r="K39" i="20" s="1" a="1"/>
  <c r="K39" i="20" s="1"/>
  <c r="I10" i="20"/>
  <c r="I11" i="20"/>
  <c r="I12" i="20"/>
  <c r="I13" i="20"/>
  <c r="I14" i="20"/>
  <c r="K11" i="20" s="1" a="1"/>
  <c r="K11" i="20" s="1"/>
  <c r="I15" i="20"/>
  <c r="K21" i="20" s="1" a="1"/>
  <c r="K21" i="20" s="1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K67" i="20" s="1" a="1"/>
  <c r="K67" i="20" s="1"/>
  <c r="I44" i="20"/>
  <c r="I45" i="20"/>
  <c r="K73" i="20" s="1" a="1"/>
  <c r="K73" i="20" s="1"/>
  <c r="I46" i="20"/>
  <c r="I47" i="20"/>
  <c r="K7" i="20" s="1" a="1"/>
  <c r="K7" i="20" s="1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K77" i="20" s="1" a="1"/>
  <c r="K77" i="20" s="1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K109" i="20" s="1" a="1"/>
  <c r="K109" i="20" s="1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K131" i="20" s="1" a="1"/>
  <c r="K131" i="20" s="1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K141" i="20" s="1" a="1"/>
  <c r="K141" i="20" s="1"/>
  <c r="I142" i="20"/>
  <c r="I143" i="20"/>
  <c r="I144" i="20"/>
  <c r="I145" i="20"/>
  <c r="I146" i="20"/>
  <c r="I147" i="20"/>
  <c r="I148" i="20"/>
  <c r="I149" i="20"/>
  <c r="I150" i="20"/>
  <c r="I15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/>
  <c r="J12" i="20" a="1"/>
  <c r="J12" i="20" s="1"/>
  <c r="J13" i="20" a="1"/>
  <c r="J13" i="20" s="1"/>
  <c r="J14" i="20" a="1"/>
  <c r="J14" i="20"/>
  <c r="J15" i="20" a="1"/>
  <c r="J15" i="20" s="1"/>
  <c r="J16" i="20" a="1"/>
  <c r="J16" i="20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/>
  <c r="J28" i="20" a="1"/>
  <c r="J28" i="20" s="1"/>
  <c r="J29" i="20" a="1"/>
  <c r="J29" i="20" s="1"/>
  <c r="J30" i="20" a="1"/>
  <c r="J30" i="20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/>
  <c r="J75" i="20" a="1"/>
  <c r="J75" i="20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K32" i="20" a="1"/>
  <c r="K32" i="20" s="1"/>
  <c r="K48" i="20" a="1"/>
  <c r="K48" i="20" s="1"/>
  <c r="K64" i="20" a="1"/>
  <c r="K64" i="20" s="1"/>
  <c r="K76" i="20" a="1"/>
  <c r="K76" i="20" s="1"/>
  <c r="K78" i="20" a="1"/>
  <c r="K78" i="20" s="1"/>
  <c r="K80" i="20" a="1"/>
  <c r="K80" i="20" s="1"/>
  <c r="K81" i="20" a="1"/>
  <c r="K81" i="20" s="1"/>
  <c r="K90" i="20" a="1"/>
  <c r="K90" i="20" s="1"/>
  <c r="K91" i="20" a="1"/>
  <c r="K91" i="20" s="1"/>
  <c r="K92" i="20" a="1"/>
  <c r="K92" i="20" s="1"/>
  <c r="K94" i="20" a="1"/>
  <c r="K94" i="20" s="1"/>
  <c r="K96" i="20" a="1"/>
  <c r="K96" i="20" s="1"/>
  <c r="K97" i="20" a="1"/>
  <c r="K97" i="20" s="1"/>
  <c r="K106" i="20" a="1"/>
  <c r="K106" i="20" s="1"/>
  <c r="K107" i="20" a="1"/>
  <c r="K107" i="20" s="1"/>
  <c r="K108" i="20" a="1"/>
  <c r="K108" i="20" s="1"/>
  <c r="K110" i="20" a="1"/>
  <c r="K110" i="20" s="1"/>
  <c r="K111" i="20" a="1"/>
  <c r="K111" i="20" s="1"/>
  <c r="K112" i="20" a="1"/>
  <c r="K112" i="20" s="1"/>
  <c r="K113" i="20" a="1"/>
  <c r="K113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N14" i="20" s="1"/>
  <c r="M15" i="20" a="1"/>
  <c r="M15" i="20" s="1"/>
  <c r="M16" i="20" a="1"/>
  <c r="M16" i="20" s="1"/>
  <c r="N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N27" i="20" s="1"/>
  <c r="M28" i="20" a="1"/>
  <c r="M28" i="20" s="1"/>
  <c r="M29" i="20" a="1"/>
  <c r="M29" i="20" s="1"/>
  <c r="M30" i="20" a="1"/>
  <c r="M30" i="20" s="1"/>
  <c r="N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N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N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N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67" i="20" a="1"/>
  <c r="M67" i="20" s="1"/>
  <c r="M68" i="20" a="1"/>
  <c r="M68" i="20" s="1"/>
  <c r="N68" i="20" s="1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77" i="20" a="1"/>
  <c r="M77" i="20" s="1"/>
  <c r="M78" i="20" a="1"/>
  <c r="M78" i="20" s="1"/>
  <c r="M79" i="20" a="1"/>
  <c r="M79" i="20" s="1"/>
  <c r="M80" i="20" a="1"/>
  <c r="M80" i="20" s="1"/>
  <c r="M81" i="20" a="1"/>
  <c r="M81" i="20" s="1"/>
  <c r="M82" i="20" a="1"/>
  <c r="M82" i="20" s="1"/>
  <c r="M83" i="20" a="1"/>
  <c r="M83" i="20" s="1"/>
  <c r="M84" i="20" a="1"/>
  <c r="M84" i="20" s="1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N91" i="20" s="1"/>
  <c r="M92" i="20" a="1"/>
  <c r="M92" i="20" s="1"/>
  <c r="M93" i="20" a="1"/>
  <c r="M93" i="20" s="1"/>
  <c r="M94" i="20" a="1"/>
  <c r="M94" i="20" s="1"/>
  <c r="M95" i="20" a="1"/>
  <c r="M95" i="20" s="1"/>
  <c r="M96" i="20" a="1"/>
  <c r="M96" i="20" s="1"/>
  <c r="M97" i="20" a="1"/>
  <c r="M97" i="20" s="1"/>
  <c r="M98" i="20" a="1"/>
  <c r="M98" i="20" s="1"/>
  <c r="M99" i="20" a="1"/>
  <c r="M99" i="20" s="1"/>
  <c r="M100" i="20" a="1"/>
  <c r="M100" i="20" s="1"/>
  <c r="N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 s="1"/>
  <c r="M110" i="20" a="1"/>
  <c r="M110" i="20" s="1"/>
  <c r="M111" i="20" a="1"/>
  <c r="M111" i="20" s="1"/>
  <c r="M112" i="20" a="1"/>
  <c r="M112" i="20" s="1"/>
  <c r="M113" i="20" a="1"/>
  <c r="M113" i="20" s="1"/>
  <c r="M114" i="20" a="1"/>
  <c r="M114" i="20" s="1"/>
  <c r="M115" i="20" a="1"/>
  <c r="M115" i="20" s="1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 s="1"/>
  <c r="M125" i="20" a="1"/>
  <c r="M125" i="20" s="1"/>
  <c r="M126" i="20" a="1"/>
  <c r="M126" i="20" s="1"/>
  <c r="M127" i="20" a="1"/>
  <c r="M127" i="20" s="1"/>
  <c r="M128" i="20" a="1"/>
  <c r="M128" i="20" s="1"/>
  <c r="M129" i="20" a="1"/>
  <c r="M129" i="20" s="1"/>
  <c r="M130" i="20" a="1"/>
  <c r="M130" i="20" s="1"/>
  <c r="M131" i="20" a="1"/>
  <c r="M131" i="20" s="1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 s="1"/>
  <c r="M141" i="20" a="1"/>
  <c r="M141" i="20" s="1"/>
  <c r="M142" i="20" a="1"/>
  <c r="M142" i="20" s="1"/>
  <c r="M143" i="20" a="1"/>
  <c r="M143" i="20" s="1"/>
  <c r="M144" i="20" a="1"/>
  <c r="M144" i="20" s="1"/>
  <c r="M145" i="20" a="1"/>
  <c r="M145" i="20" s="1"/>
  <c r="M146" i="20" a="1"/>
  <c r="M146" i="20" s="1"/>
  <c r="M147" i="20" a="1"/>
  <c r="M147" i="20" s="1"/>
  <c r="M148" i="20" a="1"/>
  <c r="M148" i="20" s="1"/>
  <c r="M149" i="20" a="1"/>
  <c r="M149" i="20" s="1"/>
  <c r="M150" i="20" a="1"/>
  <c r="M150" i="20" s="1"/>
  <c r="M151" i="20" a="1"/>
  <c r="M151" i="20" s="1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H2" i="19"/>
  <c r="H3" i="19"/>
  <c r="H4" i="19"/>
  <c r="H5" i="19"/>
  <c r="H6" i="19"/>
  <c r="H7" i="19"/>
  <c r="K36" i="19" s="1" a="1"/>
  <c r="K36" i="19" s="1"/>
  <c r="H8" i="19"/>
  <c r="H9" i="19"/>
  <c r="K11" i="19" s="1" a="1"/>
  <c r="K11" i="19" s="1"/>
  <c r="H10" i="19"/>
  <c r="H11" i="19"/>
  <c r="H12" i="19"/>
  <c r="H13" i="19"/>
  <c r="H14" i="19"/>
  <c r="H15" i="19"/>
  <c r="H16" i="19"/>
  <c r="H17" i="19"/>
  <c r="H18" i="19"/>
  <c r="H19" i="19"/>
  <c r="H20" i="19"/>
  <c r="H21" i="19"/>
  <c r="J21" i="19" s="1" a="1"/>
  <c r="J21" i="19" s="1"/>
  <c r="H22" i="19"/>
  <c r="J22" i="19" s="1" a="1"/>
  <c r="J22" i="19" s="1"/>
  <c r="H23" i="19"/>
  <c r="H24" i="19"/>
  <c r="H25" i="19"/>
  <c r="H26" i="19"/>
  <c r="H27" i="19"/>
  <c r="H28" i="19"/>
  <c r="H29" i="19"/>
  <c r="H30" i="19"/>
  <c r="H31" i="19"/>
  <c r="J51" i="19" s="1" a="1"/>
  <c r="J51" i="19" s="1"/>
  <c r="H32" i="19"/>
  <c r="J32" i="19" s="1" a="1"/>
  <c r="J32" i="19" s="1"/>
  <c r="H33" i="19"/>
  <c r="H34" i="19"/>
  <c r="H35" i="19"/>
  <c r="H36" i="19"/>
  <c r="H37" i="19"/>
  <c r="H38" i="19"/>
  <c r="H39" i="19"/>
  <c r="H40" i="19"/>
  <c r="J50" i="19" s="1" a="1"/>
  <c r="J50" i="19" s="1"/>
  <c r="H41" i="19"/>
  <c r="J19" i="19" s="1" a="1"/>
  <c r="J19" i="19" s="1"/>
  <c r="H42" i="19"/>
  <c r="H43" i="19"/>
  <c r="H44" i="19"/>
  <c r="H45" i="19"/>
  <c r="H46" i="19"/>
  <c r="H47" i="19"/>
  <c r="H48" i="19"/>
  <c r="H49" i="19"/>
  <c r="H50" i="19"/>
  <c r="H51" i="19"/>
  <c r="H52" i="19"/>
  <c r="J52" i="19" s="1" a="1"/>
  <c r="J52" i="19" s="1"/>
  <c r="H53" i="19"/>
  <c r="J53" i="19" s="1" a="1"/>
  <c r="J53" i="19" s="1"/>
  <c r="H54" i="19"/>
  <c r="J54" i="19" s="1" a="1"/>
  <c r="J54" i="19" s="1"/>
  <c r="H55" i="19"/>
  <c r="J55" i="19" s="1" a="1"/>
  <c r="J55" i="19" s="1"/>
  <c r="H56" i="19"/>
  <c r="H57" i="19"/>
  <c r="H58" i="19"/>
  <c r="H59" i="19"/>
  <c r="H60" i="19"/>
  <c r="H61" i="19"/>
  <c r="K61" i="19" s="1" a="1"/>
  <c r="K61" i="19" s="1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/>
  <c r="I8" i="19" a="1"/>
  <c r="I8" i="19" s="1"/>
  <c r="I9" i="19" a="1"/>
  <c r="I9" i="19"/>
  <c r="I10" i="19" a="1"/>
  <c r="I10" i="19" s="1"/>
  <c r="I11" i="19" a="1"/>
  <c r="I11" i="19" s="1"/>
  <c r="I12" i="19" a="1"/>
  <c r="I12" i="19"/>
  <c r="I13" i="19" a="1"/>
  <c r="I13" i="19" s="1"/>
  <c r="I14" i="19" a="1"/>
  <c r="I14" i="19" s="1"/>
  <c r="I15" i="19" a="1"/>
  <c r="I15" i="19"/>
  <c r="I16" i="19" a="1"/>
  <c r="I16" i="19" s="1"/>
  <c r="I17" i="19" a="1"/>
  <c r="I17" i="19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/>
  <c r="I40" i="19" a="1"/>
  <c r="I40" i="19" s="1"/>
  <c r="I41" i="19" a="1"/>
  <c r="I41" i="19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J5" i="19" a="1"/>
  <c r="J5" i="19" s="1"/>
  <c r="J6" i="19" a="1"/>
  <c r="J6" i="19" s="1"/>
  <c r="J7" i="19" a="1"/>
  <c r="J7" i="19" s="1"/>
  <c r="J12" i="19" a="1"/>
  <c r="J12" i="19" s="1"/>
  <c r="J14" i="19" a="1"/>
  <c r="J14" i="19" s="1"/>
  <c r="J18" i="19" a="1"/>
  <c r="J18" i="19" s="1"/>
  <c r="J20" i="19" a="1"/>
  <c r="J20" i="19" s="1"/>
  <c r="J36" i="19" a="1"/>
  <c r="J36" i="19" s="1"/>
  <c r="J37" i="19" a="1"/>
  <c r="J37" i="19" s="1"/>
  <c r="J38" i="19" a="1"/>
  <c r="J38" i="19" s="1"/>
  <c r="J39" i="19" a="1"/>
  <c r="J39" i="19" s="1"/>
  <c r="J44" i="19" a="1"/>
  <c r="J44" i="19" s="1"/>
  <c r="J46" i="19" a="1"/>
  <c r="J46" i="19" s="1"/>
  <c r="J48" i="19" a="1"/>
  <c r="J48" i="19" s="1"/>
  <c r="J49" i="19" a="1"/>
  <c r="J49" i="19" s="1"/>
  <c r="K2" i="19" a="1"/>
  <c r="K2" i="19" s="1"/>
  <c r="K4" i="19" a="1"/>
  <c r="K4" i="19" s="1"/>
  <c r="K5" i="19" a="1"/>
  <c r="K5" i="19" s="1"/>
  <c r="K6" i="19" a="1"/>
  <c r="K6" i="19" s="1"/>
  <c r="K7" i="19" a="1"/>
  <c r="K7" i="19" s="1"/>
  <c r="K8" i="19" a="1"/>
  <c r="K8" i="19" s="1"/>
  <c r="K9" i="19" a="1"/>
  <c r="K9" i="19" s="1"/>
  <c r="K10" i="19" a="1"/>
  <c r="K10" i="19" s="1"/>
  <c r="K23" i="19" a="1"/>
  <c r="K23" i="19" s="1"/>
  <c r="K24" i="19" a="1"/>
  <c r="K24" i="19" s="1"/>
  <c r="K25" i="19" a="1"/>
  <c r="K25" i="19" s="1"/>
  <c r="K26" i="19" a="1"/>
  <c r="K26" i="19" s="1"/>
  <c r="K27" i="19" a="1"/>
  <c r="K27" i="19" s="1"/>
  <c r="K31" i="19" a="1"/>
  <c r="K31" i="19" s="1"/>
  <c r="K32" i="19" a="1"/>
  <c r="K32" i="19" s="1"/>
  <c r="K33" i="19" a="1"/>
  <c r="K33" i="19" s="1"/>
  <c r="K42" i="19" a="1"/>
  <c r="K42" i="19" s="1"/>
  <c r="K43" i="19" a="1"/>
  <c r="K43" i="19" s="1"/>
  <c r="K47" i="19" a="1"/>
  <c r="K47" i="19" s="1"/>
  <c r="K48" i="19" a="1"/>
  <c r="K48" i="19" s="1"/>
  <c r="K49" i="19" a="1"/>
  <c r="K49" i="19" s="1"/>
  <c r="K50" i="19" a="1"/>
  <c r="K50" i="19" s="1"/>
  <c r="K51" i="19" a="1"/>
  <c r="K51" i="19" s="1"/>
  <c r="K52" i="19" a="1"/>
  <c r="K52" i="19" s="1"/>
  <c r="K59" i="19" a="1"/>
  <c r="K59" i="19" s="1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M6" i="19" s="1"/>
  <c r="L7" i="19" a="1"/>
  <c r="L7" i="19" s="1"/>
  <c r="M7" i="19" s="1"/>
  <c r="L8" i="19" a="1"/>
  <c r="L8" i="19" s="1"/>
  <c r="M8" i="19" s="1"/>
  <c r="L9" i="19" a="1"/>
  <c r="L9" i="19" s="1"/>
  <c r="M9" i="19" s="1"/>
  <c r="L10" i="19" a="1"/>
  <c r="L10" i="19" s="1"/>
  <c r="L11" i="19" a="1"/>
  <c r="L11" i="19" s="1"/>
  <c r="L12" i="19" a="1"/>
  <c r="L12" i="19" s="1"/>
  <c r="L13" i="19" a="1"/>
  <c r="L13" i="19" s="1"/>
  <c r="L14" i="19" a="1"/>
  <c r="L14" i="19" s="1"/>
  <c r="L15" i="19" a="1"/>
  <c r="L15" i="19" s="1"/>
  <c r="L16" i="19" a="1"/>
  <c r="L16" i="19" s="1"/>
  <c r="L17" i="19" a="1"/>
  <c r="L17" i="19" s="1"/>
  <c r="L18" i="19" a="1"/>
  <c r="L18" i="19" s="1"/>
  <c r="L19" i="19" a="1"/>
  <c r="L19" i="19" s="1"/>
  <c r="L20" i="19" a="1"/>
  <c r="L20" i="19" s="1"/>
  <c r="L21" i="19" a="1"/>
  <c r="L21" i="19" s="1"/>
  <c r="L22" i="19" a="1"/>
  <c r="L22" i="19" s="1"/>
  <c r="L23" i="19" a="1"/>
  <c r="L23" i="19" s="1"/>
  <c r="M23" i="19" s="1"/>
  <c r="L24" i="19" a="1"/>
  <c r="L24" i="19" s="1"/>
  <c r="M24" i="19" s="1"/>
  <c r="L25" i="19" a="1"/>
  <c r="L25" i="19" s="1"/>
  <c r="L26" i="19" a="1"/>
  <c r="L26" i="19" s="1"/>
  <c r="L27" i="19" a="1"/>
  <c r="L27" i="19" s="1"/>
  <c r="L28" i="19" a="1"/>
  <c r="L28" i="19" s="1"/>
  <c r="L29" i="19" a="1"/>
  <c r="L29" i="19" s="1"/>
  <c r="L30" i="19" a="1"/>
  <c r="L30" i="19" s="1"/>
  <c r="L31" i="19" a="1"/>
  <c r="L31" i="19" s="1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 s="1"/>
  <c r="L40" i="19" a="1"/>
  <c r="L40" i="19" s="1"/>
  <c r="L41" i="19" a="1"/>
  <c r="L41" i="19" s="1"/>
  <c r="L42" i="19" a="1"/>
  <c r="L42" i="19" s="1"/>
  <c r="L43" i="19" a="1"/>
  <c r="L43" i="19" s="1"/>
  <c r="L44" i="19" a="1"/>
  <c r="L44" i="19" s="1"/>
  <c r="L45" i="19" a="1"/>
  <c r="L45" i="19" s="1"/>
  <c r="L46" i="19" a="1"/>
  <c r="L46" i="19" s="1"/>
  <c r="L47" i="19" a="1"/>
  <c r="L47" i="19" s="1"/>
  <c r="L48" i="19" a="1"/>
  <c r="L48" i="19" s="1"/>
  <c r="L49" i="19" a="1"/>
  <c r="L49" i="19" s="1"/>
  <c r="L50" i="19" a="1"/>
  <c r="L50" i="19" s="1"/>
  <c r="L51" i="19" a="1"/>
  <c r="L51" i="19" s="1"/>
  <c r="L52" i="19" a="1"/>
  <c r="L52" i="19" s="1"/>
  <c r="L53" i="19" a="1"/>
  <c r="L53" i="19" s="1"/>
  <c r="L54" i="19" a="1"/>
  <c r="L54" i="19" s="1"/>
  <c r="L55" i="19" a="1"/>
  <c r="L55" i="19" s="1"/>
  <c r="L56" i="19" a="1"/>
  <c r="L56" i="19" s="1"/>
  <c r="L57" i="19" a="1"/>
  <c r="L57" i="19" s="1"/>
  <c r="L58" i="19" a="1"/>
  <c r="L58" i="19" s="1"/>
  <c r="L59" i="19" a="1"/>
  <c r="L59" i="19" s="1"/>
  <c r="L60" i="19" a="1"/>
  <c r="L60" i="19" s="1"/>
  <c r="L61" i="19" a="1"/>
  <c r="L61" i="19" s="1"/>
  <c r="N4" i="19" a="1"/>
  <c r="N4" i="19" s="1"/>
  <c r="N5" i="19" a="1"/>
  <c r="N5" i="19" s="1"/>
  <c r="N8" i="19" a="1"/>
  <c r="N8" i="19" s="1"/>
  <c r="N9" i="19" a="1"/>
  <c r="N9" i="19" s="1"/>
  <c r="N10" i="19" a="1"/>
  <c r="N10" i="19" s="1"/>
  <c r="N11" i="19" a="1"/>
  <c r="N11" i="19" s="1"/>
  <c r="N12" i="19" a="1"/>
  <c r="N12" i="19" s="1"/>
  <c r="N13" i="19" a="1"/>
  <c r="N13" i="19" s="1"/>
  <c r="N14" i="19" a="1"/>
  <c r="N14" i="19" s="1"/>
  <c r="N15" i="19" a="1"/>
  <c r="N15" i="19" s="1"/>
  <c r="N16" i="19" a="1"/>
  <c r="N16" i="19" s="1"/>
  <c r="N17" i="19" a="1"/>
  <c r="N17" i="19" s="1"/>
  <c r="N18" i="19" a="1"/>
  <c r="N18" i="19" s="1"/>
  <c r="N26" i="19" a="1"/>
  <c r="N26" i="19" s="1"/>
  <c r="N27" i="19" a="1"/>
  <c r="N27" i="19" s="1"/>
  <c r="N28" i="19" a="1"/>
  <c r="N28" i="19" s="1"/>
  <c r="N29" i="19" a="1"/>
  <c r="N29" i="19" s="1"/>
  <c r="N30" i="19" a="1"/>
  <c r="N30" i="19" s="1"/>
  <c r="N31" i="19" a="1"/>
  <c r="N31" i="19" s="1"/>
  <c r="N32" i="19" a="1"/>
  <c r="N32" i="19" s="1"/>
  <c r="N33" i="19" a="1"/>
  <c r="N33" i="19" s="1"/>
  <c r="N36" i="19" a="1"/>
  <c r="N36" i="19" s="1"/>
  <c r="N38" i="19" a="1"/>
  <c r="N38" i="19" s="1"/>
  <c r="N39" i="19" a="1"/>
  <c r="N39" i="19" s="1"/>
  <c r="N40" i="19" a="1"/>
  <c r="N40" i="19" s="1"/>
  <c r="N41" i="19" a="1"/>
  <c r="N41" i="19" s="1"/>
  <c r="N42" i="19" a="1"/>
  <c r="N42" i="19" s="1"/>
  <c r="N43" i="19" a="1"/>
  <c r="N43" i="19" s="1"/>
  <c r="N44" i="19" a="1"/>
  <c r="N44" i="19" s="1"/>
  <c r="N45" i="19" a="1"/>
  <c r="N45" i="19" s="1"/>
  <c r="N46" i="19" a="1"/>
  <c r="N46" i="19" s="1"/>
  <c r="N47" i="19" a="1"/>
  <c r="N47" i="19" s="1"/>
  <c r="N48" i="19" a="1"/>
  <c r="N48" i="19" s="1"/>
  <c r="N49" i="19" a="1"/>
  <c r="N49" i="19" s="1"/>
  <c r="N50" i="19" a="1"/>
  <c r="N50" i="19" s="1"/>
  <c r="N51" i="19" a="1"/>
  <c r="N51" i="19" s="1"/>
  <c r="N54" i="19" a="1"/>
  <c r="N54" i="19" s="1"/>
  <c r="N55" i="19" a="1"/>
  <c r="N55" i="19" s="1"/>
  <c r="N57" i="19" a="1"/>
  <c r="N57" i="19" s="1"/>
  <c r="N58" i="19" a="1"/>
  <c r="N58" i="19" s="1"/>
  <c r="N59" i="19" a="1"/>
  <c r="N59" i="19" s="1"/>
  <c r="N60" i="19" a="1"/>
  <c r="N60" i="19" s="1"/>
  <c r="N61" i="19" a="1"/>
  <c r="N61" i="19" s="1"/>
  <c r="O2" i="19" a="1"/>
  <c r="O2" i="19" s="1"/>
  <c r="O3" i="19" a="1"/>
  <c r="O3" i="19" s="1"/>
  <c r="O4" i="19" a="1"/>
  <c r="O4" i="19" s="1"/>
  <c r="O5" i="19" a="1"/>
  <c r="O5" i="19" s="1"/>
  <c r="O6" i="19" a="1"/>
  <c r="O6" i="19" s="1"/>
  <c r="O7" i="19" a="1"/>
  <c r="O7" i="19" s="1"/>
  <c r="O8" i="19" a="1"/>
  <c r="O8" i="19" s="1"/>
  <c r="O9" i="19" a="1"/>
  <c r="O9" i="19" s="1"/>
  <c r="O10" i="19" a="1"/>
  <c r="O10" i="19" s="1"/>
  <c r="O11" i="19" a="1"/>
  <c r="O11" i="19" s="1"/>
  <c r="O12" i="19" a="1"/>
  <c r="O12" i="19" s="1"/>
  <c r="O13" i="19" a="1"/>
  <c r="O13" i="19" s="1"/>
  <c r="O14" i="19" a="1"/>
  <c r="O14" i="19" s="1"/>
  <c r="O15" i="19" a="1"/>
  <c r="O15" i="19" s="1"/>
  <c r="O16" i="19" a="1"/>
  <c r="O16" i="19" s="1"/>
  <c r="O17" i="19" a="1"/>
  <c r="O17" i="19" s="1"/>
  <c r="O18" i="19" a="1"/>
  <c r="O18" i="19" s="1"/>
  <c r="O19" i="19" a="1"/>
  <c r="O19" i="19" s="1"/>
  <c r="O20" i="19" a="1"/>
  <c r="O20" i="19" s="1"/>
  <c r="O21" i="19" a="1"/>
  <c r="O21" i="19" s="1"/>
  <c r="O22" i="19" a="1"/>
  <c r="O22" i="19" s="1"/>
  <c r="O23" i="19" a="1"/>
  <c r="O23" i="19" s="1"/>
  <c r="O26" i="19" a="1"/>
  <c r="O26" i="19" s="1"/>
  <c r="O27" i="19" a="1"/>
  <c r="O27" i="19" s="1"/>
  <c r="O29" i="19" a="1"/>
  <c r="O29" i="19" s="1"/>
  <c r="O30" i="19" a="1"/>
  <c r="O30" i="19" s="1"/>
  <c r="O31" i="19" a="1"/>
  <c r="O31" i="19" s="1"/>
  <c r="O32" i="19" a="1"/>
  <c r="O32" i="19" s="1"/>
  <c r="O33" i="19" a="1"/>
  <c r="O33" i="19" s="1"/>
  <c r="O34" i="19" a="1"/>
  <c r="O34" i="19" s="1"/>
  <c r="O35" i="19" a="1"/>
  <c r="O35" i="19" s="1"/>
  <c r="O36" i="19" a="1"/>
  <c r="O36" i="19" s="1"/>
  <c r="O37" i="19" a="1"/>
  <c r="O37" i="19" s="1"/>
  <c r="O38" i="19" a="1"/>
  <c r="O38" i="19" s="1"/>
  <c r="O39" i="19" a="1"/>
  <c r="O39" i="19" s="1"/>
  <c r="O40" i="19" a="1"/>
  <c r="O40" i="19" s="1"/>
  <c r="O41" i="19" a="1"/>
  <c r="O41" i="19" s="1"/>
  <c r="O42" i="19" a="1"/>
  <c r="O42" i="19" s="1"/>
  <c r="O43" i="19" a="1"/>
  <c r="O43" i="19" s="1"/>
  <c r="O44" i="19" a="1"/>
  <c r="O44" i="19" s="1"/>
  <c r="O45" i="19" a="1"/>
  <c r="O45" i="19" s="1"/>
  <c r="O46" i="19" a="1"/>
  <c r="O46" i="19" s="1"/>
  <c r="O47" i="19" a="1"/>
  <c r="O47" i="19" s="1"/>
  <c r="O48" i="19" a="1"/>
  <c r="O48" i="19" s="1"/>
  <c r="O49" i="19" a="1"/>
  <c r="O49" i="19" s="1"/>
  <c r="O50" i="19" a="1"/>
  <c r="O50" i="19" s="1"/>
  <c r="O51" i="19" a="1"/>
  <c r="O51" i="19" s="1"/>
  <c r="O52" i="19" a="1"/>
  <c r="O52" i="19" s="1"/>
  <c r="O53" i="19" a="1"/>
  <c r="O53" i="19" s="1"/>
  <c r="O54" i="19" a="1"/>
  <c r="O54" i="19" s="1"/>
  <c r="O55" i="19" a="1"/>
  <c r="O55" i="19" s="1"/>
  <c r="O56" i="19" a="1"/>
  <c r="O56" i="19" s="1"/>
  <c r="O57" i="19" a="1"/>
  <c r="O57" i="19" s="1"/>
  <c r="O58" i="19" a="1"/>
  <c r="O58" i="19" s="1"/>
  <c r="O59" i="19" a="1"/>
  <c r="O59" i="19" s="1"/>
  <c r="O60" i="19" a="1"/>
  <c r="O60" i="19" s="1"/>
  <c r="O61" i="19" a="1"/>
  <c r="O61" i="19" s="1"/>
  <c r="M2" i="18"/>
  <c r="M3" i="18"/>
  <c r="M4" i="18"/>
  <c r="M5" i="18"/>
  <c r="M6" i="18"/>
  <c r="M7" i="18"/>
  <c r="M8" i="18"/>
  <c r="M9" i="18"/>
  <c r="O7" i="18" s="1" a="1"/>
  <c r="O7" i="18" s="1"/>
  <c r="M10" i="18"/>
  <c r="M11" i="18"/>
  <c r="O13" i="18" s="1" a="1"/>
  <c r="O13" i="18" s="1"/>
  <c r="M12" i="18"/>
  <c r="O34" i="18" s="1" a="1"/>
  <c r="O34" i="18" s="1"/>
  <c r="M13" i="18"/>
  <c r="M14" i="18"/>
  <c r="O14" i="18" s="1" a="1"/>
  <c r="O14" i="18" s="1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O32" i="18" s="1" a="1"/>
  <c r="O32" i="18" s="1"/>
  <c r="M33" i="18"/>
  <c r="M34" i="18"/>
  <c r="M35" i="18"/>
  <c r="M36" i="18"/>
  <c r="M37" i="18"/>
  <c r="M38" i="18"/>
  <c r="M39" i="18"/>
  <c r="M40" i="18"/>
  <c r="M41" i="18"/>
  <c r="M42" i="18"/>
  <c r="M43" i="18"/>
  <c r="M44" i="18"/>
  <c r="O38" i="18" s="1" a="1"/>
  <c r="O38" i="18" s="1"/>
  <c r="M45" i="18"/>
  <c r="O50" i="18" s="1" a="1"/>
  <c r="O50" i="18" s="1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O47" i="18" s="1" a="1"/>
  <c r="O47" i="18" s="1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O116" i="18" s="1" a="1"/>
  <c r="O116" i="18" s="1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O125" i="18" s="1" a="1"/>
  <c r="O125" i="18" s="1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O44" i="18" a="1"/>
  <c r="O44" i="18" s="1"/>
  <c r="O78" i="18" a="1"/>
  <c r="O78" i="18" s="1"/>
  <c r="O95" i="18" a="1"/>
  <c r="O95" i="18" s="1"/>
  <c r="O97" i="18" a="1"/>
  <c r="O97" i="18" s="1"/>
  <c r="O111" i="18" a="1"/>
  <c r="O111" i="18" s="1"/>
  <c r="O113" i="18" a="1"/>
  <c r="O113" i="18" s="1"/>
  <c r="O127" i="18" a="1"/>
  <c r="O127" i="18" s="1"/>
  <c r="O128" i="18" a="1"/>
  <c r="O128" i="18" s="1"/>
  <c r="O129" i="18" a="1"/>
  <c r="O129" i="18" s="1"/>
  <c r="O143" i="18" a="1"/>
  <c r="O143" i="18" s="1"/>
  <c r="O145" i="18" a="1"/>
  <c r="O145" i="18" s="1"/>
  <c r="O146" i="18" a="1"/>
  <c r="O146" i="18" s="1"/>
  <c r="O147" i="18" a="1"/>
  <c r="O147" i="18" s="1"/>
  <c r="O150" i="18" a="1"/>
  <c r="O150" i="18" s="1"/>
  <c r="P2" i="18" a="1"/>
  <c r="P2" i="18" s="1"/>
  <c r="P3" i="18" a="1"/>
  <c r="P3" i="18" s="1"/>
  <c r="P5" i="18" a="1"/>
  <c r="P5" i="18" s="1"/>
  <c r="P6" i="18" a="1"/>
  <c r="P6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R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R23" i="18" s="1"/>
  <c r="U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R36" i="18" s="1"/>
  <c r="U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Q50" i="18" a="1"/>
  <c r="Q50" i="18" s="1"/>
  <c r="Q51" i="18" a="1"/>
  <c r="Q51" i="18" s="1"/>
  <c r="Q52" i="18" a="1"/>
  <c r="Q52" i="18" s="1"/>
  <c r="R52" i="18" s="1"/>
  <c r="U52" i="18" s="1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 s="1"/>
  <c r="Q61" i="18" a="1"/>
  <c r="Q61" i="18" s="1"/>
  <c r="Q62" i="18" a="1"/>
  <c r="Q62" i="18" s="1"/>
  <c r="Q63" i="18" a="1"/>
  <c r="Q63" i="18" s="1"/>
  <c r="Q64" i="18" a="1"/>
  <c r="Q64" i="18" s="1"/>
  <c r="Q65" i="18" a="1"/>
  <c r="Q65" i="18" s="1"/>
  <c r="Q66" i="18" a="1"/>
  <c r="Q66" i="18" s="1"/>
  <c r="Q67" i="18" a="1"/>
  <c r="Q67" i="18" s="1"/>
  <c r="Q68" i="18" a="1"/>
  <c r="Q68" i="18" s="1"/>
  <c r="Q69" i="18" a="1"/>
  <c r="Q69" i="18" s="1"/>
  <c r="Q70" i="18" a="1"/>
  <c r="Q70" i="18" s="1"/>
  <c r="Q71" i="18" a="1"/>
  <c r="Q71" i="18" s="1"/>
  <c r="R71" i="18" s="1"/>
  <c r="U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 s="1"/>
  <c r="Q77" i="18" a="1"/>
  <c r="Q77" i="18" s="1"/>
  <c r="Q78" i="18" a="1"/>
  <c r="Q78" i="18" s="1"/>
  <c r="Q79" i="18" a="1"/>
  <c r="Q79" i="18" s="1"/>
  <c r="Q80" i="18" a="1"/>
  <c r="Q80" i="18" s="1"/>
  <c r="Q81" i="18" a="1"/>
  <c r="Q81" i="18" s="1"/>
  <c r="Q82" i="18" a="1"/>
  <c r="Q82" i="18" s="1"/>
  <c r="Q83" i="18" a="1"/>
  <c r="Q83" i="18" s="1"/>
  <c r="Q84" i="18" a="1"/>
  <c r="Q84" i="18" s="1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 s="1"/>
  <c r="Q92" i="18" a="1"/>
  <c r="Q92" i="18" s="1"/>
  <c r="Q93" i="18" a="1"/>
  <c r="Q93" i="18" s="1"/>
  <c r="Q94" i="18" a="1"/>
  <c r="Q94" i="18" s="1"/>
  <c r="Q95" i="18" a="1"/>
  <c r="Q95" i="18" s="1"/>
  <c r="Q96" i="18" a="1"/>
  <c r="Q96" i="18" s="1"/>
  <c r="Q97" i="18" a="1"/>
  <c r="Q97" i="18" s="1"/>
  <c r="Q98" i="18" a="1"/>
  <c r="Q98" i="18" s="1"/>
  <c r="Q99" i="18" a="1"/>
  <c r="Q99" i="18" s="1"/>
  <c r="Q100" i="18" a="1"/>
  <c r="Q100" i="18" s="1"/>
  <c r="Q101" i="18" a="1"/>
  <c r="Q101" i="18" s="1"/>
  <c r="Q102" i="18" a="1"/>
  <c r="Q102" i="18" s="1"/>
  <c r="Q103" i="18" a="1"/>
  <c r="Q103" i="18" s="1"/>
  <c r="R103" i="18" s="1"/>
  <c r="U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 s="1"/>
  <c r="Q109" i="18" a="1"/>
  <c r="Q109" i="18" s="1"/>
  <c r="Q110" i="18" a="1"/>
  <c r="Q110" i="18" s="1"/>
  <c r="Q111" i="18" a="1"/>
  <c r="Q111" i="18" s="1"/>
  <c r="Q112" i="18" a="1"/>
  <c r="Q112" i="18" s="1"/>
  <c r="Q113" i="18" a="1"/>
  <c r="Q113" i="18" s="1"/>
  <c r="Q114" i="18" a="1"/>
  <c r="Q114" i="18" s="1"/>
  <c r="Q115" i="18" a="1"/>
  <c r="Q115" i="18" s="1"/>
  <c r="Q116" i="18" a="1"/>
  <c r="Q116" i="18" s="1"/>
  <c r="Q117" i="18" a="1"/>
  <c r="Q117" i="18" s="1"/>
  <c r="Q118" i="18" a="1"/>
  <c r="Q118" i="18" s="1"/>
  <c r="Q119" i="18" a="1"/>
  <c r="Q119" i="18" s="1"/>
  <c r="R119" i="18" s="1"/>
  <c r="U119" i="18" s="1"/>
  <c r="Q120" i="18" a="1"/>
  <c r="Q120" i="18" s="1"/>
  <c r="Q121" i="18" a="1"/>
  <c r="Q121" i="18" s="1"/>
  <c r="Q122" i="18" a="1"/>
  <c r="Q122" i="18" s="1"/>
  <c r="Q123" i="18" a="1"/>
  <c r="Q123" i="18" s="1"/>
  <c r="Q124" i="18" a="1"/>
  <c r="Q124" i="18" s="1"/>
  <c r="Q125" i="18" a="1"/>
  <c r="Q125" i="18" s="1"/>
  <c r="Q126" i="18" a="1"/>
  <c r="Q126" i="18" s="1"/>
  <c r="Q127" i="18" a="1"/>
  <c r="Q127" i="18" s="1"/>
  <c r="Q128" i="18" a="1"/>
  <c r="Q128" i="18" s="1"/>
  <c r="Q129" i="18" a="1"/>
  <c r="Q129" i="18" s="1"/>
  <c r="Q130" i="18" a="1"/>
  <c r="Q130" i="18" s="1"/>
  <c r="Q131" i="18" a="1"/>
  <c r="Q131" i="18" s="1"/>
  <c r="Q132" i="18" a="1"/>
  <c r="Q132" i="18" s="1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 s="1"/>
  <c r="Q141" i="18" a="1"/>
  <c r="Q141" i="18" s="1"/>
  <c r="Q142" i="18" a="1"/>
  <c r="Q142" i="18" s="1"/>
  <c r="Q143" i="18" a="1"/>
  <c r="Q143" i="18" s="1"/>
  <c r="Q144" i="18" a="1"/>
  <c r="Q144" i="18" s="1"/>
  <c r="Q145" i="18" a="1"/>
  <c r="Q145" i="18" s="1"/>
  <c r="Q146" i="18" a="1"/>
  <c r="Q146" i="18" s="1"/>
  <c r="Q147" i="18" a="1"/>
  <c r="Q147" i="18" s="1"/>
  <c r="Q148" i="18" a="1"/>
  <c r="Q148" i="18" s="1"/>
  <c r="Q149" i="18" a="1"/>
  <c r="Q149" i="18" s="1"/>
  <c r="Q150" i="18" a="1"/>
  <c r="Q150" i="18" s="1"/>
  <c r="Q151" i="18" a="1"/>
  <c r="Q151" i="18" s="1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L2" i="17"/>
  <c r="L3" i="17"/>
  <c r="L4" i="17"/>
  <c r="L5" i="17"/>
  <c r="L6" i="17"/>
  <c r="L7" i="17"/>
  <c r="L182" i="17"/>
  <c r="L8" i="17"/>
  <c r="L9" i="17"/>
  <c r="N35" i="17" s="1" a="1"/>
  <c r="N35" i="17" s="1"/>
  <c r="L10" i="17"/>
  <c r="L11" i="17"/>
  <c r="L12" i="17"/>
  <c r="L13" i="17"/>
  <c r="L183" i="17"/>
  <c r="L14" i="17"/>
  <c r="L15" i="17"/>
  <c r="L16" i="17"/>
  <c r="L17" i="17"/>
  <c r="L18" i="17"/>
  <c r="L19" i="17"/>
  <c r="L184" i="17"/>
  <c r="L20" i="17"/>
  <c r="L21" i="17"/>
  <c r="L22" i="17"/>
  <c r="L23" i="17"/>
  <c r="L24" i="17"/>
  <c r="L25" i="17"/>
  <c r="L185" i="17"/>
  <c r="L26" i="17"/>
  <c r="L27" i="17"/>
  <c r="L28" i="17"/>
  <c r="L29" i="17"/>
  <c r="L30" i="17"/>
  <c r="L31" i="17"/>
  <c r="L186" i="17"/>
  <c r="L32" i="17"/>
  <c r="L33" i="17"/>
  <c r="L34" i="17"/>
  <c r="L35" i="17"/>
  <c r="L36" i="17"/>
  <c r="O14" i="17" s="1" a="1"/>
  <c r="O14" i="17" s="1"/>
  <c r="L37" i="17"/>
  <c r="L187" i="17"/>
  <c r="L38" i="17"/>
  <c r="L39" i="17"/>
  <c r="L40" i="17"/>
  <c r="L41" i="17"/>
  <c r="L42" i="17"/>
  <c r="L43" i="17"/>
  <c r="L188" i="17"/>
  <c r="L44" i="17"/>
  <c r="L45" i="17"/>
  <c r="L46" i="17"/>
  <c r="L47" i="17"/>
  <c r="L48" i="17"/>
  <c r="L49" i="17"/>
  <c r="L189" i="17"/>
  <c r="L50" i="17"/>
  <c r="L51" i="17"/>
  <c r="L52" i="17"/>
  <c r="L53" i="17"/>
  <c r="L54" i="17"/>
  <c r="L55" i="17"/>
  <c r="L190" i="17"/>
  <c r="L56" i="17"/>
  <c r="L57" i="17"/>
  <c r="L58" i="17"/>
  <c r="L59" i="17"/>
  <c r="L60" i="17"/>
  <c r="L61" i="17"/>
  <c r="L191" i="17"/>
  <c r="L62" i="17"/>
  <c r="L63" i="17"/>
  <c r="O35" i="17" s="1" a="1"/>
  <c r="O35" i="17" s="1"/>
  <c r="L64" i="17"/>
  <c r="L65" i="17"/>
  <c r="L66" i="17"/>
  <c r="L67" i="17"/>
  <c r="L192" i="17"/>
  <c r="L68" i="17"/>
  <c r="L69" i="17"/>
  <c r="L70" i="17"/>
  <c r="L71" i="17"/>
  <c r="L72" i="17"/>
  <c r="L73" i="17"/>
  <c r="L193" i="17"/>
  <c r="L74" i="17"/>
  <c r="L75" i="17"/>
  <c r="L76" i="17"/>
  <c r="L77" i="17"/>
  <c r="L78" i="17"/>
  <c r="L79" i="17"/>
  <c r="L194" i="17"/>
  <c r="L80" i="17"/>
  <c r="L81" i="17"/>
  <c r="L82" i="17"/>
  <c r="L83" i="17"/>
  <c r="L84" i="17"/>
  <c r="L85" i="17"/>
  <c r="L195" i="17"/>
  <c r="L86" i="17"/>
  <c r="L87" i="17"/>
  <c r="L88" i="17"/>
  <c r="L89" i="17"/>
  <c r="L90" i="17"/>
  <c r="L91" i="17"/>
  <c r="L196" i="17"/>
  <c r="L92" i="17"/>
  <c r="L93" i="17"/>
  <c r="L94" i="17"/>
  <c r="L95" i="17"/>
  <c r="L96" i="17"/>
  <c r="L97" i="17"/>
  <c r="L197" i="17"/>
  <c r="L98" i="17"/>
  <c r="L99" i="17"/>
  <c r="L100" i="17"/>
  <c r="L101" i="17"/>
  <c r="L102" i="17"/>
  <c r="L103" i="17"/>
  <c r="L198" i="17"/>
  <c r="N198" i="17" s="1" a="1"/>
  <c r="N198" i="17" s="1"/>
  <c r="L104" i="17"/>
  <c r="L105" i="17"/>
  <c r="L106" i="17"/>
  <c r="L107" i="17"/>
  <c r="L108" i="17"/>
  <c r="L109" i="17"/>
  <c r="L199" i="17"/>
  <c r="L110" i="17"/>
  <c r="L111" i="17"/>
  <c r="L112" i="17"/>
  <c r="L113" i="17"/>
  <c r="L114" i="17"/>
  <c r="L115" i="17"/>
  <c r="L200" i="17"/>
  <c r="L116" i="17"/>
  <c r="L117" i="17"/>
  <c r="N117" i="17" s="1" a="1"/>
  <c r="N117" i="17" s="1"/>
  <c r="L118" i="17"/>
  <c r="L119" i="17"/>
  <c r="L120" i="17"/>
  <c r="L121" i="17"/>
  <c r="L201" i="17"/>
  <c r="L122" i="17"/>
  <c r="N122" i="17" s="1" a="1"/>
  <c r="N122" i="17" s="1"/>
  <c r="L123" i="17"/>
  <c r="L124" i="17"/>
  <c r="L125" i="17"/>
  <c r="L126" i="17"/>
  <c r="L127" i="17"/>
  <c r="L202" i="17"/>
  <c r="L128" i="17"/>
  <c r="L129" i="17"/>
  <c r="L130" i="17"/>
  <c r="L131" i="17"/>
  <c r="O8" i="17" s="1" a="1"/>
  <c r="O8" i="17" s="1"/>
  <c r="L132" i="17"/>
  <c r="L133" i="17"/>
  <c r="L203" i="17"/>
  <c r="N203" i="17" s="1" a="1"/>
  <c r="N203" i="17" s="1"/>
  <c r="L134" i="17"/>
  <c r="L135" i="17"/>
  <c r="L136" i="17"/>
  <c r="L137" i="17"/>
  <c r="L138" i="17"/>
  <c r="N138" i="17" s="1" a="1"/>
  <c r="N138" i="17" s="1"/>
  <c r="L139" i="17"/>
  <c r="L204" i="17"/>
  <c r="L140" i="17"/>
  <c r="L141" i="17"/>
  <c r="L142" i="17"/>
  <c r="L143" i="17"/>
  <c r="L144" i="17"/>
  <c r="L145" i="17"/>
  <c r="N145" i="17" s="1" a="1"/>
  <c r="N145" i="17" s="1"/>
  <c r="L205" i="17"/>
  <c r="L146" i="17"/>
  <c r="L147" i="17"/>
  <c r="L148" i="17"/>
  <c r="O184" i="17" s="1" a="1"/>
  <c r="O184" i="17" s="1"/>
  <c r="L149" i="17"/>
  <c r="L150" i="17"/>
  <c r="N150" i="17" s="1" a="1"/>
  <c r="N150" i="17" s="1"/>
  <c r="L151" i="17"/>
  <c r="L206" i="17"/>
  <c r="L152" i="17"/>
  <c r="L153" i="17"/>
  <c r="L154" i="17"/>
  <c r="L155" i="17"/>
  <c r="N155" i="17" s="1" a="1"/>
  <c r="N155" i="17" s="1"/>
  <c r="L156" i="17"/>
  <c r="L157" i="17"/>
  <c r="L207" i="17"/>
  <c r="L158" i="17"/>
  <c r="L159" i="17"/>
  <c r="L160" i="17"/>
  <c r="L161" i="17"/>
  <c r="L162" i="17"/>
  <c r="N162" i="17" s="1" a="1"/>
  <c r="N162" i="17" s="1"/>
  <c r="L163" i="17"/>
  <c r="L208" i="17"/>
  <c r="L164" i="17"/>
  <c r="L165" i="17"/>
  <c r="L166" i="17"/>
  <c r="N166" i="17" s="1" a="1"/>
  <c r="N166" i="17" s="1"/>
  <c r="L167" i="17"/>
  <c r="L168" i="17"/>
  <c r="L169" i="17"/>
  <c r="L209" i="17"/>
  <c r="L170" i="17"/>
  <c r="L171" i="17"/>
  <c r="L172" i="17"/>
  <c r="L173" i="17"/>
  <c r="N173" i="17" s="1" a="1"/>
  <c r="N173" i="17" s="1"/>
  <c r="L174" i="17"/>
  <c r="L175" i="17"/>
  <c r="L210" i="17"/>
  <c r="O89" i="17" s="1" a="1"/>
  <c r="O89" i="17" s="1"/>
  <c r="L176" i="17"/>
  <c r="L177" i="17"/>
  <c r="N177" i="17" s="1" a="1"/>
  <c r="N177" i="17" s="1"/>
  <c r="L178" i="17"/>
  <c r="L179" i="17"/>
  <c r="L180" i="17"/>
  <c r="L181" i="17"/>
  <c r="L21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182" i="17" a="1"/>
  <c r="M18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3" i="17" a="1"/>
  <c r="M18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184" i="17" a="1"/>
  <c r="M184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185" i="17" a="1"/>
  <c r="M18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186" i="17" a="1"/>
  <c r="M186" i="17" s="1"/>
  <c r="M32" i="17" a="1"/>
  <c r="M32" i="17" s="1"/>
  <c r="M33" i="17" a="1"/>
  <c r="M33" i="17"/>
  <c r="M34" i="17" a="1"/>
  <c r="M34" i="17" s="1"/>
  <c r="M35" i="17" a="1"/>
  <c r="M35" i="17" s="1"/>
  <c r="M36" i="17" a="1"/>
  <c r="M36" i="17" s="1"/>
  <c r="M37" i="17" a="1"/>
  <c r="M37" i="17" s="1"/>
  <c r="M187" i="17" a="1"/>
  <c r="M187" i="17"/>
  <c r="M38" i="17" a="1"/>
  <c r="M38" i="17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188" i="17" a="1"/>
  <c r="M188" i="17" s="1"/>
  <c r="M44" i="17" a="1"/>
  <c r="M44" i="17" s="1"/>
  <c r="M45" i="17" a="1"/>
  <c r="M45" i="17" s="1"/>
  <c r="M46" i="17" a="1"/>
  <c r="M46" i="17" s="1"/>
  <c r="M47" i="17" a="1"/>
  <c r="M47" i="17"/>
  <c r="M48" i="17" a="1"/>
  <c r="M48" i="17" s="1"/>
  <c r="M49" i="17" a="1"/>
  <c r="M49" i="17" s="1"/>
  <c r="M189" i="17" a="1"/>
  <c r="M189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/>
  <c r="M190" i="17" a="1"/>
  <c r="M190" i="17" s="1"/>
  <c r="M56" i="17" a="1"/>
  <c r="M56" i="17" s="1"/>
  <c r="M57" i="17" a="1"/>
  <c r="M57" i="17" s="1"/>
  <c r="M58" i="17" a="1"/>
  <c r="M58" i="17" s="1"/>
  <c r="M59" i="17" a="1"/>
  <c r="M59" i="17"/>
  <c r="M60" i="17" a="1"/>
  <c r="M60" i="17" s="1"/>
  <c r="M61" i="17" a="1"/>
  <c r="M61" i="17" s="1"/>
  <c r="M191" i="17" a="1"/>
  <c r="M19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92" i="17" a="1"/>
  <c r="M192" i="17" s="1"/>
  <c r="M68" i="17" a="1"/>
  <c r="M68" i="17" s="1"/>
  <c r="M69" i="17" a="1"/>
  <c r="M69" i="17"/>
  <c r="M70" i="17" a="1"/>
  <c r="M70" i="17" s="1"/>
  <c r="M71" i="17" a="1"/>
  <c r="M71" i="17" s="1"/>
  <c r="M72" i="17" a="1"/>
  <c r="M72" i="17" s="1"/>
  <c r="M73" i="17" a="1"/>
  <c r="M73" i="17" s="1"/>
  <c r="M193" i="17" a="1"/>
  <c r="M193" i="17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194" i="17" a="1"/>
  <c r="M194" i="17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195" i="17" a="1"/>
  <c r="M195" i="17"/>
  <c r="M86" i="17" a="1"/>
  <c r="M86" i="17" s="1"/>
  <c r="M87" i="17" a="1"/>
  <c r="M87" i="17" s="1"/>
  <c r="M88" i="17" a="1"/>
  <c r="M88" i="17" s="1"/>
  <c r="M89" i="17" a="1"/>
  <c r="M89" i="17"/>
  <c r="M90" i="17" a="1"/>
  <c r="M90" i="17" s="1"/>
  <c r="M91" i="17" a="1"/>
  <c r="M91" i="17" s="1"/>
  <c r="M196" i="17" a="1"/>
  <c r="M196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197" i="17" a="1"/>
  <c r="M197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/>
  <c r="M198" i="17" a="1"/>
  <c r="M198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199" i="17" a="1"/>
  <c r="M199" i="17"/>
  <c r="M110" i="17" a="1"/>
  <c r="M110" i="17" s="1"/>
  <c r="M111" i="17" a="1"/>
  <c r="M111" i="17" s="1"/>
  <c r="M112" i="17" a="1"/>
  <c r="M112" i="17" s="1"/>
  <c r="M113" i="17" a="1"/>
  <c r="M113" i="17"/>
  <c r="M114" i="17" a="1"/>
  <c r="M114" i="17" s="1"/>
  <c r="M115" i="17" a="1"/>
  <c r="M115" i="17" s="1"/>
  <c r="M200" i="17" a="1"/>
  <c r="M200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201" i="17" a="1"/>
  <c r="M201" i="17" s="1"/>
  <c r="M122" i="17" a="1"/>
  <c r="M122" i="17" s="1"/>
  <c r="M123" i="17" a="1"/>
  <c r="M123" i="17" s="1"/>
  <c r="M124" i="17" a="1"/>
  <c r="M124" i="17"/>
  <c r="M125" i="17" a="1"/>
  <c r="M125" i="17" s="1"/>
  <c r="M126" i="17" a="1"/>
  <c r="M126" i="17"/>
  <c r="M127" i="17" a="1"/>
  <c r="M127" i="17" s="1"/>
  <c r="M202" i="17" a="1"/>
  <c r="M202" i="17" s="1"/>
  <c r="M128" i="17" a="1"/>
  <c r="M128" i="17" s="1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/>
  <c r="M203" i="17" a="1"/>
  <c r="M203" i="17" s="1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204" i="17" a="1"/>
  <c r="M204" i="17" s="1"/>
  <c r="M140" i="17" a="1"/>
  <c r="M140" i="17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 s="1"/>
  <c r="M205" i="17" a="1"/>
  <c r="M205" i="17" s="1"/>
  <c r="M146" i="17" a="1"/>
  <c r="M146" i="17" s="1"/>
  <c r="M147" i="17" a="1"/>
  <c r="M147" i="17"/>
  <c r="M148" i="17" a="1"/>
  <c r="M148" i="17"/>
  <c r="M149" i="17" a="1"/>
  <c r="M149" i="17" s="1"/>
  <c r="M150" i="17" a="1"/>
  <c r="M150" i="17" s="1"/>
  <c r="M151" i="17" a="1"/>
  <c r="M151" i="17" s="1"/>
  <c r="M206" i="17" a="1"/>
  <c r="M206" i="17"/>
  <c r="M152" i="17" a="1"/>
  <c r="M152" i="17" s="1"/>
  <c r="M153" i="17" a="1"/>
  <c r="M153" i="17" s="1"/>
  <c r="M154" i="17" a="1"/>
  <c r="M154" i="17" s="1"/>
  <c r="M155" i="17" a="1"/>
  <c r="M155" i="17" s="1"/>
  <c r="M156" i="17" a="1"/>
  <c r="M156" i="17" s="1"/>
  <c r="M157" i="17" a="1"/>
  <c r="M157" i="17" s="1"/>
  <c r="M207" i="17" a="1"/>
  <c r="M207" i="17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208" i="17" a="1"/>
  <c r="M208" i="17" s="1"/>
  <c r="M164" i="17" a="1"/>
  <c r="M164" i="17" s="1"/>
  <c r="M165" i="17" a="1"/>
  <c r="M165" i="17" s="1"/>
  <c r="M166" i="17" a="1"/>
  <c r="M166" i="17" s="1"/>
  <c r="M167" i="17" a="1"/>
  <c r="M167" i="17"/>
  <c r="M168" i="17" a="1"/>
  <c r="M168" i="17" s="1"/>
  <c r="M169" i="17" a="1"/>
  <c r="M169" i="17" s="1"/>
  <c r="M209" i="17" a="1"/>
  <c r="M209" i="17" s="1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/>
  <c r="M210" i="17" a="1"/>
  <c r="M210" i="17" s="1"/>
  <c r="M176" i="17" a="1"/>
  <c r="M176" i="17" s="1"/>
  <c r="M177" i="17" a="1"/>
  <c r="M177" i="17" s="1"/>
  <c r="M178" i="17" a="1"/>
  <c r="M178" i="17" s="1"/>
  <c r="M179" i="17" a="1"/>
  <c r="M179" i="17" s="1"/>
  <c r="M180" i="17" a="1"/>
  <c r="M180" i="17" s="1"/>
  <c r="M181" i="17" a="1"/>
  <c r="M181" i="17" s="1"/>
  <c r="M211" i="17" a="1"/>
  <c r="M211" i="17" s="1"/>
  <c r="N105" i="17" a="1"/>
  <c r="N105" i="17" s="1"/>
  <c r="N208" i="17" a="1"/>
  <c r="N208" i="17" s="1"/>
  <c r="N176" i="17" a="1"/>
  <c r="N176" i="17" s="1"/>
  <c r="O183" i="17" a="1"/>
  <c r="O183" i="17" s="1"/>
  <c r="O15" i="17" a="1"/>
  <c r="O15" i="17" s="1"/>
  <c r="O22" i="17" a="1"/>
  <c r="O22" i="17" s="1"/>
  <c r="O29" i="17" a="1"/>
  <c r="O29" i="17" s="1"/>
  <c r="O33" i="17" a="1"/>
  <c r="O33" i="17" s="1"/>
  <c r="O41" i="17" a="1"/>
  <c r="O41" i="17" s="1"/>
  <c r="O42" i="17" a="1"/>
  <c r="O42" i="17" s="1"/>
  <c r="O188" i="17" a="1"/>
  <c r="O188" i="17" s="1"/>
  <c r="O44" i="17" a="1"/>
  <c r="O44" i="17" s="1"/>
  <c r="O45" i="17" a="1"/>
  <c r="O45" i="17" s="1"/>
  <c r="O46" i="17" a="1"/>
  <c r="O46" i="17" s="1"/>
  <c r="O49" i="17" a="1"/>
  <c r="O49" i="17" s="1"/>
  <c r="O50" i="17" a="1"/>
  <c r="O50" i="17" s="1"/>
  <c r="O55" i="17" a="1"/>
  <c r="O55" i="17" s="1"/>
  <c r="O56" i="17" a="1"/>
  <c r="O56" i="17" s="1"/>
  <c r="O58" i="17" a="1"/>
  <c r="O58" i="17" s="1"/>
  <c r="O191" i="17" a="1"/>
  <c r="O191" i="17" s="1"/>
  <c r="O62" i="17" a="1"/>
  <c r="O62" i="17" s="1"/>
  <c r="O64" i="17" a="1"/>
  <c r="O64" i="17" s="1"/>
  <c r="O65" i="17" a="1"/>
  <c r="O65" i="17" s="1"/>
  <c r="O66" i="17" a="1"/>
  <c r="O66" i="17" s="1"/>
  <c r="O67" i="17" a="1"/>
  <c r="O67" i="17" s="1"/>
  <c r="O192" i="17" a="1"/>
  <c r="O192" i="17" s="1"/>
  <c r="O68" i="17" a="1"/>
  <c r="O68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193" i="17" a="1"/>
  <c r="O193" i="17" s="1"/>
  <c r="O75" i="17" a="1"/>
  <c r="O75" i="17" s="1"/>
  <c r="O77" i="17" a="1"/>
  <c r="O77" i="17" s="1"/>
  <c r="O78" i="17" a="1"/>
  <c r="O78" i="17" s="1"/>
  <c r="O194" i="17" a="1"/>
  <c r="O194" i="17" s="1"/>
  <c r="O80" i="17" a="1"/>
  <c r="O80" i="17" s="1"/>
  <c r="O82" i="17" a="1"/>
  <c r="O82" i="17" s="1"/>
  <c r="O83" i="17" a="1"/>
  <c r="O83" i="17" s="1"/>
  <c r="O84" i="17" a="1"/>
  <c r="O84" i="17" s="1"/>
  <c r="O85" i="17" a="1"/>
  <c r="O85" i="17" s="1"/>
  <c r="O195" i="17" a="1"/>
  <c r="O195" i="17" s="1"/>
  <c r="O86" i="17" a="1"/>
  <c r="O86" i="17" s="1"/>
  <c r="O87" i="17" a="1"/>
  <c r="O87" i="17" s="1"/>
  <c r="O88" i="17" a="1"/>
  <c r="O88" i="17" s="1"/>
  <c r="O90" i="17" a="1"/>
  <c r="O90" i="17" s="1"/>
  <c r="O91" i="17" a="1"/>
  <c r="O91" i="17" s="1"/>
  <c r="O196" i="17" a="1"/>
  <c r="O196" i="17" s="1"/>
  <c r="O92" i="17" a="1"/>
  <c r="O92" i="17" s="1"/>
  <c r="O93" i="17" a="1"/>
  <c r="O93" i="17" s="1"/>
  <c r="O94" i="17" a="1"/>
  <c r="O94" i="17" s="1"/>
  <c r="O95" i="17" a="1"/>
  <c r="O95" i="17" s="1"/>
  <c r="O97" i="17" a="1"/>
  <c r="O97" i="17" s="1"/>
  <c r="O197" i="17" a="1"/>
  <c r="O197" i="17" s="1"/>
  <c r="O98" i="17" a="1"/>
  <c r="O98" i="17" s="1"/>
  <c r="O99" i="17" a="1"/>
  <c r="O99" i="17" s="1"/>
  <c r="O100" i="17" a="1"/>
  <c r="O100" i="17" s="1"/>
  <c r="O102" i="17" a="1"/>
  <c r="O102" i="17" s="1"/>
  <c r="O198" i="17" a="1"/>
  <c r="O198" i="17" s="1"/>
  <c r="O104" i="17" a="1"/>
  <c r="O104" i="17" s="1"/>
  <c r="O105" i="17" a="1"/>
  <c r="O105" i="17" s="1"/>
  <c r="O106" i="17" a="1"/>
  <c r="O106" i="17" s="1"/>
  <c r="O107" i="17" a="1"/>
  <c r="O107" i="17" s="1"/>
  <c r="O108" i="17" a="1"/>
  <c r="O108" i="17" s="1"/>
  <c r="O199" i="17" a="1"/>
  <c r="O199" i="17" s="1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200" i="17" a="1"/>
  <c r="O200" i="17" s="1"/>
  <c r="O116" i="17" a="1"/>
  <c r="O116" i="17" s="1"/>
  <c r="O117" i="17" a="1"/>
  <c r="O117" i="17" s="1"/>
  <c r="O118" i="17" a="1"/>
  <c r="O118" i="17" s="1"/>
  <c r="O119" i="17" a="1"/>
  <c r="O119" i="17" s="1"/>
  <c r="O120" i="17" a="1"/>
  <c r="O120" i="17" s="1"/>
  <c r="O121" i="17" a="1"/>
  <c r="O121" i="17" s="1"/>
  <c r="O201" i="17" a="1"/>
  <c r="O201" i="17" s="1"/>
  <c r="O122" i="17" a="1"/>
  <c r="O122" i="17" s="1"/>
  <c r="O123" i="17" a="1"/>
  <c r="O123" i="17" s="1"/>
  <c r="O124" i="17" a="1"/>
  <c r="O124" i="17" s="1"/>
  <c r="O125" i="17" a="1"/>
  <c r="O125" i="17" s="1"/>
  <c r="O127" i="17" a="1"/>
  <c r="O127" i="17" s="1"/>
  <c r="O202" i="17" a="1"/>
  <c r="O202" i="17" s="1"/>
  <c r="O128" i="17" a="1"/>
  <c r="O128" i="17" s="1"/>
  <c r="O129" i="17" a="1"/>
  <c r="O129" i="17" s="1"/>
  <c r="O130" i="17" a="1"/>
  <c r="O130" i="17" s="1"/>
  <c r="O131" i="17" a="1"/>
  <c r="O131" i="17" s="1"/>
  <c r="O132" i="17" a="1"/>
  <c r="O132" i="17" s="1"/>
  <c r="O133" i="17" a="1"/>
  <c r="O133" i="17" s="1"/>
  <c r="O203" i="17" a="1"/>
  <c r="O203" i="17" s="1"/>
  <c r="O134" i="17" a="1"/>
  <c r="O134" i="17" s="1"/>
  <c r="O135" i="17" a="1"/>
  <c r="O135" i="17" s="1"/>
  <c r="O136" i="17" a="1"/>
  <c r="O136" i="17" s="1"/>
  <c r="O137" i="17" a="1"/>
  <c r="O137" i="17" s="1"/>
  <c r="O138" i="17" a="1"/>
  <c r="O138" i="17" s="1"/>
  <c r="O139" i="17" a="1"/>
  <c r="O139" i="17" s="1"/>
  <c r="O204" i="17" a="1"/>
  <c r="O204" i="17" s="1"/>
  <c r="O140" i="17" a="1"/>
  <c r="O140" i="17" s="1"/>
  <c r="O141" i="17" a="1"/>
  <c r="O141" i="17" s="1"/>
  <c r="O142" i="17" a="1"/>
  <c r="O142" i="17" s="1"/>
  <c r="O143" i="17" a="1"/>
  <c r="O143" i="17" s="1"/>
  <c r="O144" i="17" a="1"/>
  <c r="O144" i="17" s="1"/>
  <c r="O145" i="17" a="1"/>
  <c r="O145" i="17" s="1"/>
  <c r="O205" i="17" a="1"/>
  <c r="O205" i="17" s="1"/>
  <c r="O146" i="17" a="1"/>
  <c r="O146" i="17" s="1"/>
  <c r="O148" i="17" a="1"/>
  <c r="O148" i="17" s="1"/>
  <c r="O149" i="17" a="1"/>
  <c r="O149" i="17" s="1"/>
  <c r="O151" i="17" a="1"/>
  <c r="O151" i="17" s="1"/>
  <c r="O206" i="17" a="1"/>
  <c r="O206" i="17" s="1"/>
  <c r="O152" i="17" a="1"/>
  <c r="O152" i="17" s="1"/>
  <c r="O153" i="17" a="1"/>
  <c r="O153" i="17" s="1"/>
  <c r="O154" i="17" a="1"/>
  <c r="O154" i="17" s="1"/>
  <c r="O155" i="17" a="1"/>
  <c r="O155" i="17" s="1"/>
  <c r="O156" i="17" a="1"/>
  <c r="O156" i="17" s="1"/>
  <c r="O157" i="17" a="1"/>
  <c r="O157" i="17" s="1"/>
  <c r="O207" i="17" a="1"/>
  <c r="O207" i="17" s="1"/>
  <c r="O158" i="17" a="1"/>
  <c r="O158" i="17" s="1"/>
  <c r="O159" i="17" a="1"/>
  <c r="O159" i="17" s="1"/>
  <c r="O160" i="17" a="1"/>
  <c r="O160" i="17" s="1"/>
  <c r="O161" i="17" a="1"/>
  <c r="O161" i="17" s="1"/>
  <c r="O162" i="17" a="1"/>
  <c r="O162" i="17" s="1"/>
  <c r="O163" i="17" a="1"/>
  <c r="O163" i="17" s="1"/>
  <c r="O208" i="17" a="1"/>
  <c r="O208" i="17" s="1"/>
  <c r="O164" i="17" a="1"/>
  <c r="O164" i="17"/>
  <c r="O165" i="17" a="1"/>
  <c r="O165" i="17" s="1"/>
  <c r="O166" i="17" a="1"/>
  <c r="O166" i="17" s="1"/>
  <c r="O167" i="17" a="1"/>
  <c r="O167" i="17" s="1"/>
  <c r="O168" i="17" a="1"/>
  <c r="O168" i="17" s="1"/>
  <c r="O169" i="17" a="1"/>
  <c r="O169" i="17" s="1"/>
  <c r="O209" i="17" a="1"/>
  <c r="O209" i="17" s="1"/>
  <c r="O170" i="17" a="1"/>
  <c r="O170" i="17" s="1"/>
  <c r="O172" i="17" a="1"/>
  <c r="O172" i="17" s="1"/>
  <c r="O173" i="17" a="1"/>
  <c r="O173" i="17" s="1"/>
  <c r="O174" i="17" a="1"/>
  <c r="O174" i="17" s="1"/>
  <c r="O175" i="17" a="1"/>
  <c r="O175" i="17" s="1"/>
  <c r="O210" i="17" a="1"/>
  <c r="O210" i="17" s="1"/>
  <c r="O176" i="17" a="1"/>
  <c r="O176" i="17" s="1"/>
  <c r="O177" i="17" a="1"/>
  <c r="O177" i="17" s="1"/>
  <c r="O178" i="17" a="1"/>
  <c r="O178" i="17" s="1"/>
  <c r="O179" i="17" a="1"/>
  <c r="O179" i="17" s="1"/>
  <c r="O180" i="17" a="1"/>
  <c r="O180" i="17" s="1"/>
  <c r="O181" i="17" a="1"/>
  <c r="O181" i="17" s="1"/>
  <c r="O211" i="17" a="1"/>
  <c r="O211" i="17" s="1"/>
  <c r="P2" i="17" a="1"/>
  <c r="P2" i="17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182" i="17" a="1"/>
  <c r="P182" i="17" s="1"/>
  <c r="P8" i="17" a="1"/>
  <c r="P8" i="17" s="1"/>
  <c r="P9" i="17" a="1"/>
  <c r="P9" i="17"/>
  <c r="P10" i="17" a="1"/>
  <c r="P10" i="17" s="1"/>
  <c r="P11" i="17" a="1"/>
  <c r="P11" i="17" s="1"/>
  <c r="P12" i="17" a="1"/>
  <c r="P12" i="17" s="1"/>
  <c r="P13" i="17" a="1"/>
  <c r="P13" i="17"/>
  <c r="P183" i="17" a="1"/>
  <c r="P183" i="17"/>
  <c r="P14" i="17" a="1"/>
  <c r="P14" i="17"/>
  <c r="P15" i="17" a="1"/>
  <c r="P15" i="17" s="1"/>
  <c r="P16" i="17" a="1"/>
  <c r="P16" i="17"/>
  <c r="P17" i="17" a="1"/>
  <c r="P17" i="17" s="1"/>
  <c r="P18" i="17" a="1"/>
  <c r="P18" i="17"/>
  <c r="P19" i="17" a="1"/>
  <c r="P19" i="17" s="1"/>
  <c r="P184" i="17" a="1"/>
  <c r="P184" i="17" s="1"/>
  <c r="P20" i="17" a="1"/>
  <c r="P20" i="17" s="1"/>
  <c r="P21" i="17" a="1"/>
  <c r="P21" i="17" s="1"/>
  <c r="P22" i="17" a="1"/>
  <c r="P22" i="17"/>
  <c r="P23" i="17" a="1"/>
  <c r="P23" i="17" s="1"/>
  <c r="P24" i="17" a="1"/>
  <c r="P24" i="17" s="1"/>
  <c r="P25" i="17" a="1"/>
  <c r="P25" i="17" s="1"/>
  <c r="P185" i="17" a="1"/>
  <c r="P18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186" i="17" a="1"/>
  <c r="P186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187" i="17" a="1"/>
  <c r="P187" i="17" s="1"/>
  <c r="P38" i="17" a="1"/>
  <c r="P38" i="17"/>
  <c r="P39" i="17" a="1"/>
  <c r="P39" i="17" s="1"/>
  <c r="P40" i="17" a="1"/>
  <c r="P40" i="17"/>
  <c r="P41" i="17" a="1"/>
  <c r="P41" i="17"/>
  <c r="P42" i="17" a="1"/>
  <c r="P42" i="17" s="1"/>
  <c r="P43" i="17" a="1"/>
  <c r="P43" i="17" s="1"/>
  <c r="P188" i="17" a="1"/>
  <c r="P188" i="17" s="1"/>
  <c r="P44" i="17" a="1"/>
  <c r="P44" i="17" s="1"/>
  <c r="P45" i="17" a="1"/>
  <c r="P45" i="17" s="1"/>
  <c r="P46" i="17" a="1"/>
  <c r="P46" i="17"/>
  <c r="P47" i="17" a="1"/>
  <c r="P47" i="17" s="1"/>
  <c r="P48" i="17" a="1"/>
  <c r="P48" i="17" s="1"/>
  <c r="P49" i="17" a="1"/>
  <c r="P49" i="17" s="1"/>
  <c r="P189" i="17" a="1"/>
  <c r="P189" i="17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190" i="17" a="1"/>
  <c r="P190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/>
  <c r="P191" i="17" a="1"/>
  <c r="P191" i="17" s="1"/>
  <c r="P62" i="17" a="1"/>
  <c r="P62" i="17" s="1"/>
  <c r="P63" i="17" a="1"/>
  <c r="P63" i="17" s="1"/>
  <c r="P64" i="17" a="1"/>
  <c r="P64" i="17"/>
  <c r="P65" i="17" a="1"/>
  <c r="P65" i="17" s="1"/>
  <c r="P66" i="17" a="1"/>
  <c r="P66" i="17"/>
  <c r="P67" i="17" a="1"/>
  <c r="P67" i="17" s="1"/>
  <c r="P192" i="17" a="1"/>
  <c r="P192" i="17" s="1"/>
  <c r="P68" i="17" a="1"/>
  <c r="P68" i="17" s="1"/>
  <c r="P69" i="17" a="1"/>
  <c r="P69" i="17" s="1"/>
  <c r="P70" i="17" a="1"/>
  <c r="P70" i="17" s="1"/>
  <c r="P71" i="17" a="1"/>
  <c r="P71" i="17"/>
  <c r="P72" i="17" a="1"/>
  <c r="P72" i="17" s="1"/>
  <c r="P73" i="17" a="1"/>
  <c r="P73" i="17" s="1"/>
  <c r="P193" i="17" a="1"/>
  <c r="P19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194" i="17" a="1"/>
  <c r="P194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195" i="17" a="1"/>
  <c r="P195" i="17" s="1"/>
  <c r="P86" i="17" a="1"/>
  <c r="P86" i="17" s="1"/>
  <c r="P87" i="17" a="1"/>
  <c r="P87" i="17"/>
  <c r="P88" i="17" a="1"/>
  <c r="P88" i="17" s="1"/>
  <c r="P89" i="17" a="1"/>
  <c r="P89" i="17" s="1"/>
  <c r="P90" i="17" a="1"/>
  <c r="P90" i="17" s="1"/>
  <c r="P91" i="17" a="1"/>
  <c r="P91" i="17"/>
  <c r="P196" i="17" a="1"/>
  <c r="P196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/>
  <c r="P97" i="17" a="1"/>
  <c r="P97" i="17" s="1"/>
  <c r="P197" i="17" a="1"/>
  <c r="P197" i="17" s="1"/>
  <c r="P98" i="17" a="1"/>
  <c r="P98" i="17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198" i="17" a="1"/>
  <c r="P198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199" i="17" a="1"/>
  <c r="P199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/>
  <c r="P115" i="17" a="1"/>
  <c r="P115" i="17" s="1"/>
  <c r="P200" i="17" a="1"/>
  <c r="P200" i="17" s="1"/>
  <c r="P116" i="17" a="1"/>
  <c r="P116" i="17" s="1"/>
  <c r="P117" i="17" a="1"/>
  <c r="P117" i="17" s="1"/>
  <c r="P118" i="17" a="1"/>
  <c r="P118" i="17"/>
  <c r="P119" i="17" a="1"/>
  <c r="P119" i="17" s="1"/>
  <c r="P120" i="17" a="1"/>
  <c r="P120" i="17" s="1"/>
  <c r="P121" i="17" a="1"/>
  <c r="P121" i="17" s="1"/>
  <c r="P201" i="17" a="1"/>
  <c r="P201" i="17" s="1"/>
  <c r="P122" i="17" a="1"/>
  <c r="P122" i="17" s="1"/>
  <c r="P123" i="17" a="1"/>
  <c r="P123" i="17" s="1"/>
  <c r="P124" i="17" a="1"/>
  <c r="P124" i="17" s="1"/>
  <c r="P125" i="17" a="1"/>
  <c r="P125" i="17" s="1"/>
  <c r="P126" i="17" a="1"/>
  <c r="P126" i="17"/>
  <c r="P127" i="17" a="1"/>
  <c r="P127" i="17" s="1"/>
  <c r="P202" i="17" a="1"/>
  <c r="P202" i="17" s="1"/>
  <c r="P128" i="17" a="1"/>
  <c r="P128" i="17" s="1"/>
  <c r="P129" i="17" a="1"/>
  <c r="P129" i="17" s="1"/>
  <c r="P130" i="17" a="1"/>
  <c r="P130" i="17" s="1"/>
  <c r="P131" i="17" a="1"/>
  <c r="P131" i="17"/>
  <c r="P132" i="17" a="1"/>
  <c r="P132" i="17" s="1"/>
  <c r="P133" i="17" a="1"/>
  <c r="P133" i="17" s="1"/>
  <c r="P203" i="17" a="1"/>
  <c r="P203" i="17" s="1"/>
  <c r="P134" i="17" a="1"/>
  <c r="P134" i="17" s="1"/>
  <c r="P135" i="17" a="1"/>
  <c r="P135" i="17"/>
  <c r="P136" i="17" a="1"/>
  <c r="P136" i="17" s="1"/>
  <c r="P137" i="17" a="1"/>
  <c r="P137" i="17" s="1"/>
  <c r="P138" i="17" a="1"/>
  <c r="P138" i="17" s="1"/>
  <c r="P139" i="17" a="1"/>
  <c r="P139" i="17" s="1"/>
  <c r="P204" i="17" a="1"/>
  <c r="P204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/>
  <c r="P145" i="17" a="1"/>
  <c r="P145" i="17" s="1"/>
  <c r="P205" i="17" a="1"/>
  <c r="P205" i="17"/>
  <c r="P146" i="17" a="1"/>
  <c r="P146" i="17" s="1"/>
  <c r="P147" i="17" a="1"/>
  <c r="P147" i="17"/>
  <c r="P148" i="17" a="1"/>
  <c r="P148" i="17" s="1"/>
  <c r="P149" i="17" a="1"/>
  <c r="P149" i="17" s="1"/>
  <c r="P150" i="17" a="1"/>
  <c r="P150" i="17" s="1"/>
  <c r="P151" i="17" a="1"/>
  <c r="P151" i="17"/>
  <c r="P206" i="17" a="1"/>
  <c r="P206" i="17" s="1"/>
  <c r="P152" i="17" a="1"/>
  <c r="P152" i="17" s="1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207" i="17" a="1"/>
  <c r="P207" i="17" s="1"/>
  <c r="P158" i="17" a="1"/>
  <c r="P158" i="17" s="1"/>
  <c r="P159" i="17" a="1"/>
  <c r="P159" i="17"/>
  <c r="P160" i="17" a="1"/>
  <c r="P160" i="17" s="1"/>
  <c r="P161" i="17" a="1"/>
  <c r="P161" i="17" s="1"/>
  <c r="P162" i="17" a="1"/>
  <c r="P162" i="17" s="1"/>
  <c r="P163" i="17" a="1"/>
  <c r="P163" i="17" s="1"/>
  <c r="P208" i="17" a="1"/>
  <c r="P208" i="17" s="1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209" i="17" a="1"/>
  <c r="P209" i="17" s="1"/>
  <c r="P170" i="17" a="1"/>
  <c r="P170" i="17" s="1"/>
  <c r="P171" i="17" a="1"/>
  <c r="P171" i="17" s="1"/>
  <c r="P172" i="17" a="1"/>
  <c r="P172" i="17"/>
  <c r="P173" i="17" a="1"/>
  <c r="P173" i="17" s="1"/>
  <c r="P174" i="17" a="1"/>
  <c r="P174" i="17" s="1"/>
  <c r="P175" i="17" a="1"/>
  <c r="P175" i="17" s="1"/>
  <c r="P210" i="17" a="1"/>
  <c r="P210" i="17" s="1"/>
  <c r="P176" i="17" a="1"/>
  <c r="P176" i="17" s="1"/>
  <c r="P177" i="17" a="1"/>
  <c r="P177" i="17"/>
  <c r="P178" i="17" a="1"/>
  <c r="P178" i="17" s="1"/>
  <c r="P179" i="17" a="1"/>
  <c r="P179" i="17" s="1"/>
  <c r="P180" i="17" a="1"/>
  <c r="P180" i="17" s="1"/>
  <c r="P181" i="17" a="1"/>
  <c r="P181" i="17" s="1"/>
  <c r="P211" i="17" a="1"/>
  <c r="P211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182" i="17" a="1"/>
  <c r="R182" i="17" s="1"/>
  <c r="R8" i="17" a="1"/>
  <c r="R8" i="17" s="1"/>
  <c r="R9" i="17" a="1"/>
  <c r="R9" i="17" s="1"/>
  <c r="R10" i="17" a="1"/>
  <c r="R10" i="17"/>
  <c r="R11" i="17" a="1"/>
  <c r="R11" i="17" s="1"/>
  <c r="R12" i="17" a="1"/>
  <c r="R12" i="17" s="1"/>
  <c r="R13" i="17" a="1"/>
  <c r="R13" i="17" s="1"/>
  <c r="R183" i="17" a="1"/>
  <c r="R183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/>
  <c r="R184" i="17" a="1"/>
  <c r="R184" i="17" s="1"/>
  <c r="R20" i="17" a="1"/>
  <c r="R20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185" i="17" a="1"/>
  <c r="R185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186" i="17" a="1"/>
  <c r="R186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/>
  <c r="R187" i="17" a="1"/>
  <c r="R187" i="17" s="1"/>
  <c r="R38" i="17" a="1"/>
  <c r="R38" i="17" s="1"/>
  <c r="R39" i="17" a="1"/>
  <c r="R39" i="17" s="1"/>
  <c r="R40" i="17" a="1"/>
  <c r="R40" i="17" s="1"/>
  <c r="R41" i="17" a="1"/>
  <c r="R41" i="17"/>
  <c r="R42" i="17" a="1"/>
  <c r="R42" i="17" s="1"/>
  <c r="R43" i="17" a="1"/>
  <c r="R43" i="17" s="1"/>
  <c r="R188" i="17" a="1"/>
  <c r="R188" i="17" s="1"/>
  <c r="R44" i="17" a="1"/>
  <c r="R44" i="17" s="1"/>
  <c r="R45" i="17" a="1"/>
  <c r="R45" i="17"/>
  <c r="R46" i="17" a="1"/>
  <c r="R46" i="17" s="1"/>
  <c r="R47" i="17" a="1"/>
  <c r="R47" i="17" s="1"/>
  <c r="R48" i="17" a="1"/>
  <c r="R48" i="17" s="1"/>
  <c r="R49" i="17" a="1"/>
  <c r="R49" i="17" s="1"/>
  <c r="R189" i="17" a="1"/>
  <c r="R189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190" i="17" a="1"/>
  <c r="R190" i="17" s="1"/>
  <c r="R56" i="17" a="1"/>
  <c r="R56" i="17" s="1"/>
  <c r="R57" i="17" a="1"/>
  <c r="R57" i="17" s="1"/>
  <c r="R58" i="17" a="1"/>
  <c r="R58" i="17" s="1"/>
  <c r="R59" i="17" a="1"/>
  <c r="R59" i="17"/>
  <c r="R60" i="17" a="1"/>
  <c r="R60" i="17" s="1"/>
  <c r="R61" i="17" a="1"/>
  <c r="R61" i="17" s="1"/>
  <c r="R191" i="17" a="1"/>
  <c r="R191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192" i="17" a="1"/>
  <c r="R192" i="17" s="1"/>
  <c r="R68" i="17" a="1"/>
  <c r="R68" i="17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193" i="17" a="1"/>
  <c r="R193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194" i="17" a="1"/>
  <c r="R194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195" i="17" a="1"/>
  <c r="R195" i="17" s="1"/>
  <c r="R86" i="17" a="1"/>
  <c r="R86" i="17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196" i="17" a="1"/>
  <c r="R196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197" i="17" a="1"/>
  <c r="R197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198" i="17" a="1"/>
  <c r="R198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199" i="17" a="1"/>
  <c r="R199" i="17" s="1"/>
  <c r="R110" i="17" a="1"/>
  <c r="R110" i="17" s="1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200" i="17" a="1"/>
  <c r="R200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201" i="17" a="1"/>
  <c r="R201" i="17" s="1"/>
  <c r="R122" i="17" a="1"/>
  <c r="R122" i="17" s="1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 s="1"/>
  <c r="R202" i="17" a="1"/>
  <c r="R202" i="17" s="1"/>
  <c r="R128" i="17" a="1"/>
  <c r="R128" i="17" s="1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 s="1"/>
  <c r="R203" i="17" a="1"/>
  <c r="R203" i="17" s="1"/>
  <c r="R134" i="17" a="1"/>
  <c r="R134" i="17" s="1"/>
  <c r="R135" i="17" a="1"/>
  <c r="R135" i="17" s="1"/>
  <c r="R136" i="17" a="1"/>
  <c r="R136" i="17" s="1"/>
  <c r="R137" i="17" a="1"/>
  <c r="R137" i="17"/>
  <c r="R138" i="17" a="1"/>
  <c r="R138" i="17" s="1"/>
  <c r="R139" i="17" a="1"/>
  <c r="R139" i="17" s="1"/>
  <c r="R204" i="17" a="1"/>
  <c r="R204" i="17" s="1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/>
  <c r="R145" i="17" a="1"/>
  <c r="R145" i="17" s="1"/>
  <c r="R205" i="17" a="1"/>
  <c r="R205" i="17"/>
  <c r="R146" i="17" a="1"/>
  <c r="R146" i="17"/>
  <c r="R147" i="17" a="1"/>
  <c r="R147" i="17" s="1"/>
  <c r="R148" i="17" a="1"/>
  <c r="R148" i="17" s="1"/>
  <c r="R149" i="17" a="1"/>
  <c r="R149" i="17" s="1"/>
  <c r="R150" i="17" a="1"/>
  <c r="R150" i="17" s="1"/>
  <c r="R151" i="17" a="1"/>
  <c r="R151" i="17" s="1"/>
  <c r="R206" i="17" a="1"/>
  <c r="R206" i="17" s="1"/>
  <c r="R152" i="17" a="1"/>
  <c r="R152" i="17" s="1"/>
  <c r="R153" i="17" a="1"/>
  <c r="R153" i="17" s="1"/>
  <c r="R154" i="17" a="1"/>
  <c r="R154" i="17" s="1"/>
  <c r="R155" i="17" a="1"/>
  <c r="R155" i="17" s="1"/>
  <c r="R156" i="17" a="1"/>
  <c r="R156" i="17" s="1"/>
  <c r="R157" i="17" a="1"/>
  <c r="R157" i="17" s="1"/>
  <c r="R207" i="17" a="1"/>
  <c r="R207" i="17" s="1"/>
  <c r="R158" i="17" a="1"/>
  <c r="R158" i="17" s="1"/>
  <c r="R159" i="17" a="1"/>
  <c r="R159" i="17" s="1"/>
  <c r="R160" i="17" a="1"/>
  <c r="R160" i="17" s="1"/>
  <c r="R161" i="17" a="1"/>
  <c r="R161" i="17" s="1"/>
  <c r="R162" i="17" a="1"/>
  <c r="R162" i="17" s="1"/>
  <c r="R163" i="17" a="1"/>
  <c r="R163" i="17" s="1"/>
  <c r="R208" i="17" a="1"/>
  <c r="R208" i="17" s="1"/>
  <c r="R164" i="17" a="1"/>
  <c r="R164" i="17" s="1"/>
  <c r="R165" i="17" a="1"/>
  <c r="R165" i="17" s="1"/>
  <c r="R166" i="17" a="1"/>
  <c r="R166" i="17" s="1"/>
  <c r="R167" i="17" a="1"/>
  <c r="R167" i="17" s="1"/>
  <c r="R168" i="17" a="1"/>
  <c r="R168" i="17" s="1"/>
  <c r="R169" i="17" a="1"/>
  <c r="R169" i="17" s="1"/>
  <c r="R209" i="17" a="1"/>
  <c r="R209" i="17" s="1"/>
  <c r="R170" i="17" a="1"/>
  <c r="R170" i="17" s="1"/>
  <c r="R171" i="17" a="1"/>
  <c r="R171" i="17" s="1"/>
  <c r="R172" i="17" a="1"/>
  <c r="R172" i="17" s="1"/>
  <c r="R173" i="17" a="1"/>
  <c r="R173" i="17" s="1"/>
  <c r="R174" i="17" a="1"/>
  <c r="R174" i="17" s="1"/>
  <c r="R175" i="17" a="1"/>
  <c r="R175" i="17" s="1"/>
  <c r="R210" i="17" a="1"/>
  <c r="R210" i="17" s="1"/>
  <c r="R176" i="17" a="1"/>
  <c r="R176" i="17" s="1"/>
  <c r="R177" i="17" a="1"/>
  <c r="R177" i="17" s="1"/>
  <c r="R178" i="17" a="1"/>
  <c r="R178" i="17" s="1"/>
  <c r="R179" i="17" a="1"/>
  <c r="R179" i="17" s="1"/>
  <c r="R180" i="17" a="1"/>
  <c r="R180" i="17" s="1"/>
  <c r="R181" i="17" a="1"/>
  <c r="R181" i="17"/>
  <c r="R211" i="17" a="1"/>
  <c r="R211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182" i="17" a="1"/>
  <c r="S182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183" i="17" a="1"/>
  <c r="S183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184" i="17" a="1"/>
  <c r="S184" i="17" s="1"/>
  <c r="S20" i="17" a="1"/>
  <c r="S20" i="17" s="1"/>
  <c r="S21" i="17" a="1"/>
  <c r="S21" i="17" s="1"/>
  <c r="S22" i="17" a="1"/>
  <c r="S22" i="17" s="1"/>
  <c r="S23" i="17" a="1"/>
  <c r="S23" i="17" s="1"/>
  <c r="S24" i="17" a="1"/>
  <c r="S24" i="17" s="1"/>
  <c r="S25" i="17" a="1"/>
  <c r="S25" i="17" s="1"/>
  <c r="S185" i="17" a="1"/>
  <c r="S185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/>
  <c r="S186" i="17" a="1"/>
  <c r="S186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187" i="17" a="1"/>
  <c r="S187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188" i="17" a="1"/>
  <c r="S188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189" i="17" a="1"/>
  <c r="S189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190" i="17" a="1"/>
  <c r="S190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191" i="17" a="1"/>
  <c r="S191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192" i="17" a="1"/>
  <c r="S192" i="17" s="1"/>
  <c r="S68" i="17" a="1"/>
  <c r="S68" i="17" s="1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193" i="17" a="1"/>
  <c r="S193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194" i="17" a="1"/>
  <c r="S194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195" i="17" a="1"/>
  <c r="S195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196" i="17" a="1"/>
  <c r="S196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197" i="17" a="1"/>
  <c r="S197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198" i="17" a="1"/>
  <c r="S198" i="17" s="1"/>
  <c r="S104" i="17" a="1"/>
  <c r="S104" i="17" s="1"/>
  <c r="S105" i="17" a="1"/>
  <c r="S105" i="17" s="1"/>
  <c r="S106" i="17" a="1"/>
  <c r="S106" i="17" s="1"/>
  <c r="S107" i="17" a="1"/>
  <c r="S107" i="17" s="1"/>
  <c r="S108" i="17" a="1"/>
  <c r="S108" i="17" s="1"/>
  <c r="S109" i="17" a="1"/>
  <c r="S109" i="17" s="1"/>
  <c r="S199" i="17" a="1"/>
  <c r="S199" i="17" s="1"/>
  <c r="S110" i="17" a="1"/>
  <c r="S110" i="17" s="1"/>
  <c r="S111" i="17" a="1"/>
  <c r="S111" i="17" s="1"/>
  <c r="S112" i="17" a="1"/>
  <c r="S112" i="17" s="1"/>
  <c r="S113" i="17" a="1"/>
  <c r="S113" i="17" s="1"/>
  <c r="S114" i="17" a="1"/>
  <c r="S114" i="17" s="1"/>
  <c r="S115" i="17" a="1"/>
  <c r="S115" i="17" s="1"/>
  <c r="S200" i="17" a="1"/>
  <c r="S200" i="17" s="1"/>
  <c r="S116" i="17" a="1"/>
  <c r="S116" i="17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201" i="17" a="1"/>
  <c r="S201" i="17" s="1"/>
  <c r="S122" i="17" a="1"/>
  <c r="S122" i="17" s="1"/>
  <c r="S123" i="17" a="1"/>
  <c r="S123" i="17" s="1"/>
  <c r="S124" i="17" a="1"/>
  <c r="S124" i="17" s="1"/>
  <c r="S125" i="17" a="1"/>
  <c r="S125" i="17" s="1"/>
  <c r="S126" i="17" a="1"/>
  <c r="S126" i="17" s="1"/>
  <c r="S127" i="17" a="1"/>
  <c r="S127" i="17" s="1"/>
  <c r="S202" i="17" a="1"/>
  <c r="S202" i="17" s="1"/>
  <c r="S128" i="17" a="1"/>
  <c r="S128" i="17" s="1"/>
  <c r="S129" i="17" a="1"/>
  <c r="S129" i="17" s="1"/>
  <c r="S130" i="17" a="1"/>
  <c r="S130" i="17" s="1"/>
  <c r="S131" i="17" a="1"/>
  <c r="S131" i="17" s="1"/>
  <c r="S132" i="17" a="1"/>
  <c r="S132" i="17" s="1"/>
  <c r="S133" i="17" a="1"/>
  <c r="S133" i="17" s="1"/>
  <c r="S203" i="17" a="1"/>
  <c r="S203" i="17" s="1"/>
  <c r="S134" i="17" a="1"/>
  <c r="S134" i="17" s="1"/>
  <c r="S135" i="17" a="1"/>
  <c r="S135" i="17" s="1"/>
  <c r="S136" i="17" a="1"/>
  <c r="S136" i="17" s="1"/>
  <c r="S137" i="17" a="1"/>
  <c r="S137" i="17" s="1"/>
  <c r="S138" i="17" a="1"/>
  <c r="S138" i="17" s="1"/>
  <c r="S139" i="17" a="1"/>
  <c r="S139" i="17" s="1"/>
  <c r="S204" i="17" a="1"/>
  <c r="S204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 s="1"/>
  <c r="S205" i="17" a="1"/>
  <c r="S205" i="17" s="1"/>
  <c r="S146" i="17" a="1"/>
  <c r="S146" i="17" s="1"/>
  <c r="S147" i="17" a="1"/>
  <c r="S147" i="17" s="1"/>
  <c r="S148" i="17" a="1"/>
  <c r="S148" i="17" s="1"/>
  <c r="S149" i="17" a="1"/>
  <c r="S149" i="17" s="1"/>
  <c r="S150" i="17" a="1"/>
  <c r="S150" i="17" s="1"/>
  <c r="S151" i="17" a="1"/>
  <c r="S151" i="17" s="1"/>
  <c r="S206" i="17" a="1"/>
  <c r="S206" i="17" s="1"/>
  <c r="S152" i="17" a="1"/>
  <c r="S152" i="17" s="1"/>
  <c r="S153" i="17" a="1"/>
  <c r="S153" i="17" s="1"/>
  <c r="S154" i="17" a="1"/>
  <c r="S154" i="17" s="1"/>
  <c r="S155" i="17" a="1"/>
  <c r="S155" i="17" s="1"/>
  <c r="S156" i="17" a="1"/>
  <c r="S156" i="17" s="1"/>
  <c r="S157" i="17" a="1"/>
  <c r="S157" i="17" s="1"/>
  <c r="S207" i="17" a="1"/>
  <c r="S207" i="17" s="1"/>
  <c r="S158" i="17" a="1"/>
  <c r="S158" i="17" s="1"/>
  <c r="S159" i="17" a="1"/>
  <c r="S159" i="17" s="1"/>
  <c r="S160" i="17" a="1"/>
  <c r="S160" i="17" s="1"/>
  <c r="S161" i="17" a="1"/>
  <c r="S161" i="17" s="1"/>
  <c r="S162" i="17" a="1"/>
  <c r="S162" i="17" s="1"/>
  <c r="S163" i="17" a="1"/>
  <c r="S163" i="17" s="1"/>
  <c r="S208" i="17" a="1"/>
  <c r="S208" i="17" s="1"/>
  <c r="S164" i="17" a="1"/>
  <c r="S164" i="17" s="1"/>
  <c r="S165" i="17" a="1"/>
  <c r="S165" i="17" s="1"/>
  <c r="S166" i="17" a="1"/>
  <c r="S166" i="17"/>
  <c r="S167" i="17" a="1"/>
  <c r="S167" i="17" s="1"/>
  <c r="S168" i="17" a="1"/>
  <c r="S168" i="17" s="1"/>
  <c r="S169" i="17" a="1"/>
  <c r="S169" i="17" s="1"/>
  <c r="S209" i="17" a="1"/>
  <c r="S209" i="17" s="1"/>
  <c r="S170" i="17" a="1"/>
  <c r="S170" i="17" s="1"/>
  <c r="S171" i="17" a="1"/>
  <c r="S171" i="17"/>
  <c r="S172" i="17" a="1"/>
  <c r="S172" i="17" s="1"/>
  <c r="S173" i="17" a="1"/>
  <c r="S173" i="17" s="1"/>
  <c r="S174" i="17" a="1"/>
  <c r="S174" i="17" s="1"/>
  <c r="S175" i="17" a="1"/>
  <c r="S175" i="17" s="1"/>
  <c r="S210" i="17" a="1"/>
  <c r="S210" i="17" s="1"/>
  <c r="S176" i="17" a="1"/>
  <c r="S176" i="17" s="1"/>
  <c r="S177" i="17" a="1"/>
  <c r="S177" i="17" s="1"/>
  <c r="S178" i="17" a="1"/>
  <c r="S178" i="17" s="1"/>
  <c r="S179" i="17" a="1"/>
  <c r="S179" i="17" s="1"/>
  <c r="S180" i="17" a="1"/>
  <c r="S180" i="17" s="1"/>
  <c r="S181" i="17" a="1"/>
  <c r="S181" i="17" s="1"/>
  <c r="S211" i="17" a="1"/>
  <c r="S211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182" i="17" a="1"/>
  <c r="T182" i="17" s="1"/>
  <c r="T8" i="17" a="1"/>
  <c r="T8" i="17" s="1"/>
  <c r="T9" i="17" a="1"/>
  <c r="T9" i="17" s="1"/>
  <c r="T10" i="17" a="1"/>
  <c r="T10" i="17" s="1"/>
  <c r="T11" i="17" a="1"/>
  <c r="T11" i="17" s="1"/>
  <c r="T12" i="17" a="1"/>
  <c r="T12" i="17" s="1"/>
  <c r="T13" i="17" a="1"/>
  <c r="T13" i="17" s="1"/>
  <c r="T183" i="17" a="1"/>
  <c r="T183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 s="1"/>
  <c r="T19" i="17" a="1"/>
  <c r="T19" i="17"/>
  <c r="T184" i="17" a="1"/>
  <c r="T184" i="17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185" i="17" a="1"/>
  <c r="T185" i="17" s="1"/>
  <c r="T26" i="17" a="1"/>
  <c r="T26" i="17" s="1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186" i="17" a="1"/>
  <c r="T186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187" i="17" a="1"/>
  <c r="T187" i="17" s="1"/>
  <c r="T38" i="17" a="1"/>
  <c r="T38" i="17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188" i="17" a="1"/>
  <c r="T188" i="17" s="1"/>
  <c r="T44" i="17" a="1"/>
  <c r="T44" i="17" s="1"/>
  <c r="T45" i="17" a="1"/>
  <c r="T45" i="17"/>
  <c r="T46" i="17" a="1"/>
  <c r="T46" i="17" s="1"/>
  <c r="T47" i="17" a="1"/>
  <c r="T47" i="17" s="1"/>
  <c r="T48" i="17" a="1"/>
  <c r="T48" i="17" s="1"/>
  <c r="T49" i="17" a="1"/>
  <c r="T49" i="17"/>
  <c r="T189" i="17" a="1"/>
  <c r="T189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190" i="17" a="1"/>
  <c r="T190" i="17" s="1"/>
  <c r="T56" i="17" a="1"/>
  <c r="T56" i="17"/>
  <c r="T57" i="17" a="1"/>
  <c r="T57" i="17" s="1"/>
  <c r="T58" i="17" a="1"/>
  <c r="T58" i="17" s="1"/>
  <c r="T59" i="17" a="1"/>
  <c r="T59" i="17" s="1"/>
  <c r="T60" i="17" a="1"/>
  <c r="T60" i="17" s="1"/>
  <c r="T61" i="17" a="1"/>
  <c r="T61" i="17" s="1"/>
  <c r="T191" i="17" a="1"/>
  <c r="T191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 s="1"/>
  <c r="T67" i="17" a="1"/>
  <c r="T67" i="17" s="1"/>
  <c r="T192" i="17" a="1"/>
  <c r="T192" i="17" s="1"/>
  <c r="T68" i="17" a="1"/>
  <c r="T68" i="17" s="1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193" i="17" a="1"/>
  <c r="T193" i="17" s="1"/>
  <c r="T74" i="17" a="1"/>
  <c r="T74" i="17" s="1"/>
  <c r="T75" i="17" a="1"/>
  <c r="T75" i="17"/>
  <c r="T76" i="17" a="1"/>
  <c r="T76" i="17"/>
  <c r="T77" i="17" a="1"/>
  <c r="T77" i="17" s="1"/>
  <c r="T78" i="17" a="1"/>
  <c r="T78" i="17" s="1"/>
  <c r="T79" i="17" a="1"/>
  <c r="T79" i="17" s="1"/>
  <c r="T194" i="17" a="1"/>
  <c r="T194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/>
  <c r="T85" i="17" a="1"/>
  <c r="T85" i="17" s="1"/>
  <c r="T195" i="17" a="1"/>
  <c r="T195" i="17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196" i="17" a="1"/>
  <c r="T196" i="17" s="1"/>
  <c r="T92" i="17" a="1"/>
  <c r="T92" i="17" s="1"/>
  <c r="T93" i="17" a="1"/>
  <c r="T93" i="17"/>
  <c r="T94" i="17" a="1"/>
  <c r="T94" i="17" s="1"/>
  <c r="T95" i="17" a="1"/>
  <c r="T95" i="17" s="1"/>
  <c r="T96" i="17" a="1"/>
  <c r="T96" i="17" s="1"/>
  <c r="T97" i="17" a="1"/>
  <c r="T97" i="17" s="1"/>
  <c r="T197" i="17" a="1"/>
  <c r="T197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/>
  <c r="T103" i="17" a="1"/>
  <c r="T103" i="17" s="1"/>
  <c r="T198" i="17" a="1"/>
  <c r="T198" i="17" s="1"/>
  <c r="T104" i="17" a="1"/>
  <c r="T104" i="17"/>
  <c r="T105" i="17" a="1"/>
  <c r="T105" i="17"/>
  <c r="T106" i="17" a="1"/>
  <c r="T106" i="17" s="1"/>
  <c r="T107" i="17" a="1"/>
  <c r="T107" i="17"/>
  <c r="T108" i="17" a="1"/>
  <c r="T108" i="17" s="1"/>
  <c r="T109" i="17" a="1"/>
  <c r="T109" i="17" s="1"/>
  <c r="T199" i="17" a="1"/>
  <c r="T199" i="17" s="1"/>
  <c r="T110" i="17" a="1"/>
  <c r="T110" i="17" s="1"/>
  <c r="T111" i="17" a="1"/>
  <c r="T111" i="17"/>
  <c r="T112" i="17" a="1"/>
  <c r="T112" i="17" s="1"/>
  <c r="T113" i="17" a="1"/>
  <c r="T113" i="17" s="1"/>
  <c r="T114" i="17" a="1"/>
  <c r="T114" i="17" s="1"/>
  <c r="T115" i="17" a="1"/>
  <c r="T115" i="17" s="1"/>
  <c r="T200" i="17" a="1"/>
  <c r="T200" i="17" s="1"/>
  <c r="T116" i="17" a="1"/>
  <c r="T116" i="17" s="1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 s="1"/>
  <c r="T201" i="17" a="1"/>
  <c r="T201" i="17" s="1"/>
  <c r="T122" i="17" a="1"/>
  <c r="T122" i="17" s="1"/>
  <c r="T123" i="17" a="1"/>
  <c r="T123" i="17" s="1"/>
  <c r="T124" i="17" a="1"/>
  <c r="T124" i="17" s="1"/>
  <c r="T125" i="17" a="1"/>
  <c r="T125" i="17" s="1"/>
  <c r="T126" i="17" a="1"/>
  <c r="T126" i="17" s="1"/>
  <c r="T127" i="17" a="1"/>
  <c r="T127" i="17" s="1"/>
  <c r="T202" i="17" a="1"/>
  <c r="T202" i="17" s="1"/>
  <c r="T128" i="17" a="1"/>
  <c r="T128" i="17" s="1"/>
  <c r="T129" i="17" a="1"/>
  <c r="T129" i="17" s="1"/>
  <c r="T130" i="17" a="1"/>
  <c r="T130" i="17" s="1"/>
  <c r="T131" i="17" a="1"/>
  <c r="T131" i="17" s="1"/>
  <c r="T132" i="17" a="1"/>
  <c r="T132" i="17"/>
  <c r="T133" i="17" a="1"/>
  <c r="T133" i="17" s="1"/>
  <c r="T203" i="17" a="1"/>
  <c r="T203" i="17" s="1"/>
  <c r="T134" i="17" a="1"/>
  <c r="T134" i="17" s="1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 s="1"/>
  <c r="T204" i="17" a="1"/>
  <c r="T204" i="17"/>
  <c r="T140" i="17" a="1"/>
  <c r="T140" i="17" s="1"/>
  <c r="T141" i="17" a="1"/>
  <c r="T141" i="17"/>
  <c r="T142" i="17" a="1"/>
  <c r="T142" i="17" s="1"/>
  <c r="T143" i="17" a="1"/>
  <c r="T143" i="17" s="1"/>
  <c r="T144" i="17" a="1"/>
  <c r="T144" i="17" s="1"/>
  <c r="T145" i="17" a="1"/>
  <c r="T145" i="17" s="1"/>
  <c r="T205" i="17" a="1"/>
  <c r="T205" i="17" s="1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 s="1"/>
  <c r="T151" i="17" a="1"/>
  <c r="T151" i="17" s="1"/>
  <c r="T206" i="17" a="1"/>
  <c r="T206" i="17" s="1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 s="1"/>
  <c r="T207" i="17" a="1"/>
  <c r="T207" i="17" s="1"/>
  <c r="T158" i="17" a="1"/>
  <c r="T158" i="17"/>
  <c r="T159" i="17" a="1"/>
  <c r="T159" i="17"/>
  <c r="T160" i="17" a="1"/>
  <c r="T160" i="17" s="1"/>
  <c r="T161" i="17" a="1"/>
  <c r="T161" i="17" s="1"/>
  <c r="T162" i="17" a="1"/>
  <c r="T162" i="17" s="1"/>
  <c r="T163" i="17" a="1"/>
  <c r="T163" i="17" s="1"/>
  <c r="T208" i="17" a="1"/>
  <c r="T208" i="17" s="1"/>
  <c r="T164" i="17" a="1"/>
  <c r="T164" i="17" s="1"/>
  <c r="T165" i="17" a="1"/>
  <c r="T165" i="17" s="1"/>
  <c r="T166" i="17" a="1"/>
  <c r="T166" i="17" s="1"/>
  <c r="T167" i="17" a="1"/>
  <c r="T167" i="17"/>
  <c r="T168" i="17" a="1"/>
  <c r="T168" i="17" s="1"/>
  <c r="T169" i="17" a="1"/>
  <c r="T169" i="17" s="1"/>
  <c r="T209" i="17" a="1"/>
  <c r="T209" i="17" s="1"/>
  <c r="T170" i="17" a="1"/>
  <c r="T170" i="17" s="1"/>
  <c r="T171" i="17" a="1"/>
  <c r="T171" i="17" s="1"/>
  <c r="T172" i="17" a="1"/>
  <c r="T172" i="17" s="1"/>
  <c r="T173" i="17" a="1"/>
  <c r="T173" i="17" s="1"/>
  <c r="T174" i="17" a="1"/>
  <c r="T174" i="17" s="1"/>
  <c r="T175" i="17" a="1"/>
  <c r="T175" i="17" s="1"/>
  <c r="T210" i="17" a="1"/>
  <c r="T210" i="17" s="1"/>
  <c r="T176" i="17" a="1"/>
  <c r="T176" i="17" s="1"/>
  <c r="T177" i="17" a="1"/>
  <c r="T177" i="17" s="1"/>
  <c r="T178" i="17" a="1"/>
  <c r="T178" i="17"/>
  <c r="T179" i="17" a="1"/>
  <c r="T179" i="17" s="1"/>
  <c r="T180" i="17" a="1"/>
  <c r="T180" i="17" s="1"/>
  <c r="T181" i="17" a="1"/>
  <c r="T181" i="17" s="1"/>
  <c r="T211" i="17" a="1"/>
  <c r="T211" i="17" s="1"/>
  <c r="U2" i="17" a="1"/>
  <c r="U2" i="17" s="1"/>
  <c r="U3" i="17" a="1"/>
  <c r="U3" i="17" s="1"/>
  <c r="U4" i="17" a="1"/>
  <c r="U4" i="17" s="1"/>
  <c r="U5" i="17" a="1"/>
  <c r="U5" i="17" s="1"/>
  <c r="U6" i="17" a="1"/>
  <c r="U6" i="17"/>
  <c r="U7" i="17" a="1"/>
  <c r="U7" i="17" s="1"/>
  <c r="U182" i="17" a="1"/>
  <c r="U182" i="17" s="1"/>
  <c r="U8" i="17" a="1"/>
  <c r="U8" i="17" s="1"/>
  <c r="U9" i="17" a="1"/>
  <c r="U9" i="17" s="1"/>
  <c r="U10" i="17" a="1"/>
  <c r="U10" i="17"/>
  <c r="U11" i="17" a="1"/>
  <c r="U11" i="17" s="1"/>
  <c r="U12" i="17" a="1"/>
  <c r="U12" i="17" s="1"/>
  <c r="U13" i="17" a="1"/>
  <c r="U13" i="17" s="1"/>
  <c r="U183" i="17" a="1"/>
  <c r="U183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/>
  <c r="U184" i="17" a="1"/>
  <c r="U184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185" i="17" a="1"/>
  <c r="U185" i="17" s="1"/>
  <c r="U26" i="17" a="1"/>
  <c r="U26" i="17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186" i="17" a="1"/>
  <c r="U186" i="17" s="1"/>
  <c r="U32" i="17" a="1"/>
  <c r="U32" i="17" s="1"/>
  <c r="U33" i="17" a="1"/>
  <c r="U33" i="17" s="1"/>
  <c r="U34" i="17" a="1"/>
  <c r="U34" i="17"/>
  <c r="U35" i="17" a="1"/>
  <c r="U35" i="17"/>
  <c r="U36" i="17" a="1"/>
  <c r="U36" i="17" s="1"/>
  <c r="U37" i="17" a="1"/>
  <c r="U37" i="17"/>
  <c r="U187" i="17" a="1"/>
  <c r="U187" i="17"/>
  <c r="U38" i="17" a="1"/>
  <c r="U38" i="17" s="1"/>
  <c r="U39" i="17" a="1"/>
  <c r="U39" i="17" s="1"/>
  <c r="U40" i="17" a="1"/>
  <c r="U40" i="17" s="1"/>
  <c r="U41" i="17" a="1"/>
  <c r="U41" i="17" s="1"/>
  <c r="U42" i="17" a="1"/>
  <c r="U42" i="17"/>
  <c r="U43" i="17" a="1"/>
  <c r="U43" i="17" s="1"/>
  <c r="U188" i="17" a="1"/>
  <c r="U188" i="17" s="1"/>
  <c r="U44" i="17" a="1"/>
  <c r="U44" i="17" s="1"/>
  <c r="U45" i="17" a="1"/>
  <c r="U45" i="17" s="1"/>
  <c r="U46" i="17" a="1"/>
  <c r="U46" i="17"/>
  <c r="U47" i="17" a="1"/>
  <c r="U47" i="17" s="1"/>
  <c r="U48" i="17" a="1"/>
  <c r="U48" i="17" s="1"/>
  <c r="U49" i="17" a="1"/>
  <c r="U49" i="17" s="1"/>
  <c r="U189" i="17" a="1"/>
  <c r="U189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/>
  <c r="U55" i="17" a="1"/>
  <c r="U55" i="17" s="1"/>
  <c r="U190" i="17" a="1"/>
  <c r="U190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191" i="17" a="1"/>
  <c r="U191" i="17" s="1"/>
  <c r="U62" i="17" a="1"/>
  <c r="U62" i="17" s="1"/>
  <c r="U63" i="17" a="1"/>
  <c r="U63" i="17" s="1"/>
  <c r="U64" i="17" a="1"/>
  <c r="U64" i="17"/>
  <c r="U65" i="17" a="1"/>
  <c r="U65" i="17" s="1"/>
  <c r="U66" i="17" a="1"/>
  <c r="U66" i="17" s="1"/>
  <c r="U67" i="17" a="1"/>
  <c r="U67" i="17" s="1"/>
  <c r="U192" i="17" a="1"/>
  <c r="U192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193" i="17" a="1"/>
  <c r="U193" i="17" s="1"/>
  <c r="U74" i="17" a="1"/>
  <c r="U74" i="17" s="1"/>
  <c r="U75" i="17" a="1"/>
  <c r="U75" i="17"/>
  <c r="U76" i="17" a="1"/>
  <c r="U76" i="17" s="1"/>
  <c r="U77" i="17" a="1"/>
  <c r="U77" i="17" s="1"/>
  <c r="U78" i="17" a="1"/>
  <c r="U78" i="17" s="1"/>
  <c r="U79" i="17" a="1"/>
  <c r="U79" i="17" s="1"/>
  <c r="U194" i="17" a="1"/>
  <c r="U194" i="17" s="1"/>
  <c r="U80" i="17" a="1"/>
  <c r="U80" i="17" s="1"/>
  <c r="U81" i="17" a="1"/>
  <c r="U81" i="17"/>
  <c r="U82" i="17" a="1"/>
  <c r="U82" i="17"/>
  <c r="U83" i="17" a="1"/>
  <c r="U83" i="17" s="1"/>
  <c r="U84" i="17" a="1"/>
  <c r="U84" i="17" s="1"/>
  <c r="U85" i="17" a="1"/>
  <c r="U85" i="17" s="1"/>
  <c r="U195" i="17" a="1"/>
  <c r="U195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196" i="17" a="1"/>
  <c r="U196" i="17" s="1"/>
  <c r="U92" i="17" a="1"/>
  <c r="U92" i="17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197" i="17" a="1"/>
  <c r="U197" i="17" s="1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 s="1"/>
  <c r="U103" i="17" a="1"/>
  <c r="U103" i="17"/>
  <c r="U198" i="17" a="1"/>
  <c r="U198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199" i="17" a="1"/>
  <c r="U199" i="17" s="1"/>
  <c r="U110" i="17" a="1"/>
  <c r="U110" i="17" s="1"/>
  <c r="U111" i="17" a="1"/>
  <c r="U111" i="17" s="1"/>
  <c r="U112" i="17" a="1"/>
  <c r="U112" i="17" s="1"/>
  <c r="U113" i="17" a="1"/>
  <c r="U113" i="17" s="1"/>
  <c r="U114" i="17" a="1"/>
  <c r="U114" i="17" s="1"/>
  <c r="U115" i="17" a="1"/>
  <c r="U115" i="17" s="1"/>
  <c r="U200" i="17" a="1"/>
  <c r="U200" i="17" s="1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/>
  <c r="U121" i="17" a="1"/>
  <c r="U121" i="17" s="1"/>
  <c r="U201" i="17" a="1"/>
  <c r="U201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/>
  <c r="U127" i="17" a="1"/>
  <c r="U127" i="17" s="1"/>
  <c r="U202" i="17" a="1"/>
  <c r="U202" i="17" s="1"/>
  <c r="U128" i="17" a="1"/>
  <c r="U128" i="17" s="1"/>
  <c r="U129" i="17" a="1"/>
  <c r="U129" i="17" s="1"/>
  <c r="U130" i="17" a="1"/>
  <c r="U130" i="17" s="1"/>
  <c r="U131" i="17" a="1"/>
  <c r="U131" i="17" s="1"/>
  <c r="U132" i="17" a="1"/>
  <c r="U132" i="17" s="1"/>
  <c r="U133" i="17" a="1"/>
  <c r="U133" i="17" s="1"/>
  <c r="U203" i="17" a="1"/>
  <c r="U203" i="17" s="1"/>
  <c r="U134" i="17" a="1"/>
  <c r="U134" i="17" s="1"/>
  <c r="U135" i="17" a="1"/>
  <c r="U135" i="17" s="1"/>
  <c r="U136" i="17" a="1"/>
  <c r="U136" i="17" s="1"/>
  <c r="U137" i="17" a="1"/>
  <c r="U137" i="17" s="1"/>
  <c r="U138" i="17" a="1"/>
  <c r="U138" i="17"/>
  <c r="U139" i="17" a="1"/>
  <c r="U139" i="17" s="1"/>
  <c r="U204" i="17" a="1"/>
  <c r="U204" i="17" s="1"/>
  <c r="U140" i="17" a="1"/>
  <c r="U140" i="17" s="1"/>
  <c r="U141" i="17" a="1"/>
  <c r="U141" i="17" s="1"/>
  <c r="U142" i="17" a="1"/>
  <c r="U142" i="17" s="1"/>
  <c r="U143" i="17" a="1"/>
  <c r="U143" i="17" s="1"/>
  <c r="U144" i="17" a="1"/>
  <c r="U144" i="17" s="1"/>
  <c r="U145" i="17" a="1"/>
  <c r="U145" i="17" s="1"/>
  <c r="U205" i="17" a="1"/>
  <c r="U205" i="17" s="1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 s="1"/>
  <c r="U151" i="17" a="1"/>
  <c r="U151" i="17" s="1"/>
  <c r="U206" i="17" a="1"/>
  <c r="U206" i="17" s="1"/>
  <c r="U152" i="17" a="1"/>
  <c r="U152" i="17" s="1"/>
  <c r="U153" i="17" a="1"/>
  <c r="U153" i="17" s="1"/>
  <c r="U154" i="17" a="1"/>
  <c r="U154" i="17" s="1"/>
  <c r="U155" i="17" a="1"/>
  <c r="U155" i="17" s="1"/>
  <c r="U156" i="17" a="1"/>
  <c r="U156" i="17" s="1"/>
  <c r="U157" i="17" a="1"/>
  <c r="U157" i="17" s="1"/>
  <c r="U207" i="17" a="1"/>
  <c r="U207" i="17" s="1"/>
  <c r="U158" i="17" a="1"/>
  <c r="U158" i="17" s="1"/>
  <c r="U159" i="17" a="1"/>
  <c r="U159" i="17" s="1"/>
  <c r="U160" i="17" a="1"/>
  <c r="U160" i="17"/>
  <c r="U161" i="17" a="1"/>
  <c r="U161" i="17" s="1"/>
  <c r="U162" i="17" a="1"/>
  <c r="U162" i="17" s="1"/>
  <c r="U163" i="17" a="1"/>
  <c r="U163" i="17" s="1"/>
  <c r="U208" i="17" a="1"/>
  <c r="U208" i="17" s="1"/>
  <c r="U164" i="17" a="1"/>
  <c r="U164" i="17" s="1"/>
  <c r="U165" i="17" a="1"/>
  <c r="U165" i="17" s="1"/>
  <c r="U166" i="17" a="1"/>
  <c r="U166" i="17" s="1"/>
  <c r="U167" i="17" a="1"/>
  <c r="U167" i="17" s="1"/>
  <c r="U168" i="17" a="1"/>
  <c r="U168" i="17" s="1"/>
  <c r="U169" i="17" a="1"/>
  <c r="U169" i="17" s="1"/>
  <c r="U209" i="17" a="1"/>
  <c r="U209" i="17" s="1"/>
  <c r="U170" i="17" a="1"/>
  <c r="U170" i="17" s="1"/>
  <c r="U171" i="17" a="1"/>
  <c r="U171" i="17" s="1"/>
  <c r="U172" i="17" a="1"/>
  <c r="U172" i="17" s="1"/>
  <c r="U173" i="17" a="1"/>
  <c r="U173" i="17" s="1"/>
  <c r="U174" i="17" a="1"/>
  <c r="U174" i="17" s="1"/>
  <c r="U175" i="17" a="1"/>
  <c r="U175" i="17" s="1"/>
  <c r="U210" i="17" a="1"/>
  <c r="U210" i="17" s="1"/>
  <c r="U176" i="17" a="1"/>
  <c r="U176" i="17" s="1"/>
  <c r="U177" i="17" a="1"/>
  <c r="U177" i="17" s="1"/>
  <c r="U178" i="17" a="1"/>
  <c r="U178" i="17" s="1"/>
  <c r="U179" i="17" a="1"/>
  <c r="U179" i="17" s="1"/>
  <c r="U180" i="17" a="1"/>
  <c r="U180" i="17" s="1"/>
  <c r="U181" i="17" a="1"/>
  <c r="U181" i="17" s="1"/>
  <c r="U211" i="17" a="1"/>
  <c r="U211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182" i="17" a="1"/>
  <c r="V182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183" i="17" a="1"/>
  <c r="V183" i="17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184" i="17" a="1"/>
  <c r="V184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185" i="17" a="1"/>
  <c r="V185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186" i="17" a="1"/>
  <c r="V186" i="17" s="1"/>
  <c r="V32" i="17" a="1"/>
  <c r="V32" i="17" s="1"/>
  <c r="V33" i="17" a="1"/>
  <c r="V33" i="17"/>
  <c r="V34" i="17" a="1"/>
  <c r="V34" i="17" s="1"/>
  <c r="V35" i="17" a="1"/>
  <c r="V35" i="17"/>
  <c r="V36" i="17" a="1"/>
  <c r="V36" i="17" s="1"/>
  <c r="V37" i="17" a="1"/>
  <c r="V37" i="17" s="1"/>
  <c r="V187" i="17" a="1"/>
  <c r="V187" i="17" s="1"/>
  <c r="V38" i="17" a="1"/>
  <c r="V38" i="17" s="1"/>
  <c r="V39" i="17" a="1"/>
  <c r="V39" i="17"/>
  <c r="V40" i="17" a="1"/>
  <c r="V40" i="17" s="1"/>
  <c r="V41" i="17" a="1"/>
  <c r="V41" i="17" s="1"/>
  <c r="V42" i="17" a="1"/>
  <c r="V42" i="17" s="1"/>
  <c r="V43" i="17" a="1"/>
  <c r="V43" i="17" s="1"/>
  <c r="V188" i="17" a="1"/>
  <c r="V188" i="17" s="1"/>
  <c r="V44" i="17" a="1"/>
  <c r="V44" i="17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189" i="17" a="1"/>
  <c r="V189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190" i="17" a="1"/>
  <c r="V190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191" i="17" a="1"/>
  <c r="V19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192" i="17" a="1"/>
  <c r="V192" i="17" s="1"/>
  <c r="V68" i="17" a="1"/>
  <c r="V68" i="17" s="1"/>
  <c r="V69" i="17" a="1"/>
  <c r="V69" i="17"/>
  <c r="V70" i="17" a="1"/>
  <c r="V70" i="17" s="1"/>
  <c r="V71" i="17" a="1"/>
  <c r="V71" i="17" s="1"/>
  <c r="V72" i="17" a="1"/>
  <c r="V72" i="17" s="1"/>
  <c r="V73" i="17" a="1"/>
  <c r="V73" i="17" s="1"/>
  <c r="V193" i="17" a="1"/>
  <c r="V193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194" i="17" a="1"/>
  <c r="V194" i="17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195" i="17" a="1"/>
  <c r="V195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196" i="17" a="1"/>
  <c r="V196" i="17" s="1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/>
  <c r="V197" i="17" a="1"/>
  <c r="V197" i="17" s="1"/>
  <c r="V98" i="17" a="1"/>
  <c r="V98" i="17"/>
  <c r="V99" i="17" a="1"/>
  <c r="V99" i="17"/>
  <c r="V100" i="17" a="1"/>
  <c r="V100" i="17" s="1"/>
  <c r="V101" i="17" a="1"/>
  <c r="V101" i="17"/>
  <c r="V102" i="17" a="1"/>
  <c r="V102" i="17" s="1"/>
  <c r="V103" i="17" a="1"/>
  <c r="V103" i="17" s="1"/>
  <c r="V198" i="17" a="1"/>
  <c r="V198" i="17" s="1"/>
  <c r="V104" i="17" a="1"/>
  <c r="V104" i="17" s="1"/>
  <c r="V105" i="17" a="1"/>
  <c r="V105" i="17" s="1"/>
  <c r="V106" i="17" a="1"/>
  <c r="V106" i="17"/>
  <c r="V107" i="17" a="1"/>
  <c r="V107" i="17" s="1"/>
  <c r="V108" i="17" a="1"/>
  <c r="V108" i="17" s="1"/>
  <c r="V109" i="17" a="1"/>
  <c r="V109" i="17" s="1"/>
  <c r="V199" i="17" a="1"/>
  <c r="V199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200" i="17" a="1"/>
  <c r="V200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201" i="17" a="1"/>
  <c r="V201" i="17" s="1"/>
  <c r="V122" i="17" a="1"/>
  <c r="V122" i="17" s="1"/>
  <c r="V123" i="17" a="1"/>
  <c r="V123" i="17" s="1"/>
  <c r="V124" i="17" a="1"/>
  <c r="V124" i="17" s="1"/>
  <c r="V125" i="17" a="1"/>
  <c r="V125" i="17"/>
  <c r="V126" i="17" a="1"/>
  <c r="V126" i="17" s="1"/>
  <c r="V127" i="17" a="1"/>
  <c r="V127" i="17" s="1"/>
  <c r="V202" i="17" a="1"/>
  <c r="V202" i="17" s="1"/>
  <c r="V128" i="17" a="1"/>
  <c r="V128" i="17"/>
  <c r="V129" i="17" a="1"/>
  <c r="V129" i="17" s="1"/>
  <c r="V130" i="17" a="1"/>
  <c r="V130" i="17" s="1"/>
  <c r="V131" i="17" a="1"/>
  <c r="V131" i="17" s="1"/>
  <c r="V132" i="17" a="1"/>
  <c r="V132" i="17" s="1"/>
  <c r="V133" i="17" a="1"/>
  <c r="V133" i="17" s="1"/>
  <c r="V203" i="17" a="1"/>
  <c r="V203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/>
  <c r="V139" i="17" a="1"/>
  <c r="V139" i="17" s="1"/>
  <c r="V204" i="17" a="1"/>
  <c r="V204" i="17" s="1"/>
  <c r="V140" i="17" a="1"/>
  <c r="V140" i="17"/>
  <c r="V141" i="17" a="1"/>
  <c r="V141" i="17" s="1"/>
  <c r="V142" i="17" a="1"/>
  <c r="V142" i="17" s="1"/>
  <c r="V143" i="17" a="1"/>
  <c r="V143" i="17" s="1"/>
  <c r="V144" i="17" a="1"/>
  <c r="V144" i="17" s="1"/>
  <c r="V145" i="17" a="1"/>
  <c r="V145" i="17" s="1"/>
  <c r="V205" i="17" a="1"/>
  <c r="V205" i="17" s="1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206" i="17" a="1"/>
  <c r="V206" i="17"/>
  <c r="V152" i="17" a="1"/>
  <c r="V152" i="17"/>
  <c r="V153" i="17" a="1"/>
  <c r="V153" i="17" s="1"/>
  <c r="V154" i="17" a="1"/>
  <c r="V154" i="17"/>
  <c r="V155" i="17" a="1"/>
  <c r="V155" i="17"/>
  <c r="V156" i="17" a="1"/>
  <c r="V156" i="17" s="1"/>
  <c r="V157" i="17" a="1"/>
  <c r="V157" i="17" s="1"/>
  <c r="V207" i="17" a="1"/>
  <c r="V207" i="17" s="1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 s="1"/>
  <c r="V208" i="17" a="1"/>
  <c r="V208" i="17" s="1"/>
  <c r="V164" i="17" a="1"/>
  <c r="V164" i="17" s="1"/>
  <c r="V165" i="17" a="1"/>
  <c r="V165" i="17" s="1"/>
  <c r="V166" i="17" a="1"/>
  <c r="V166" i="17"/>
  <c r="V167" i="17" a="1"/>
  <c r="V167" i="17" s="1"/>
  <c r="V168" i="17" a="1"/>
  <c r="V168" i="17" s="1"/>
  <c r="V169" i="17" a="1"/>
  <c r="V169" i="17" s="1"/>
  <c r="V209" i="17" a="1"/>
  <c r="V209" i="17"/>
  <c r="V170" i="17" a="1"/>
  <c r="V170" i="17" s="1"/>
  <c r="V171" i="17" a="1"/>
  <c r="V171" i="17" s="1"/>
  <c r="V172" i="17" a="1"/>
  <c r="V172" i="17" s="1"/>
  <c r="V173" i="17" a="1"/>
  <c r="V173" i="17" s="1"/>
  <c r="V174" i="17" a="1"/>
  <c r="V174" i="17" s="1"/>
  <c r="V175" i="17" a="1"/>
  <c r="V175" i="17" s="1"/>
  <c r="V210" i="17" a="1"/>
  <c r="V210" i="17" s="1"/>
  <c r="V176" i="17" a="1"/>
  <c r="V176" i="17" s="1"/>
  <c r="V177" i="17" a="1"/>
  <c r="V177" i="17" s="1"/>
  <c r="V178" i="17" a="1"/>
  <c r="V178" i="17" s="1"/>
  <c r="V179" i="17" a="1"/>
  <c r="V179" i="17"/>
  <c r="V180" i="17" a="1"/>
  <c r="V180" i="17" s="1"/>
  <c r="V181" i="17" a="1"/>
  <c r="V181" i="17" s="1"/>
  <c r="V211" i="17" a="1"/>
  <c r="V211" i="17" s="1"/>
  <c r="X2" i="17" a="1"/>
  <c r="X2" i="17" s="1"/>
  <c r="X3" i="17" a="1"/>
  <c r="X3" i="17" s="1"/>
  <c r="Y3" i="17" s="1"/>
  <c r="X4" i="17" a="1"/>
  <c r="X4" i="17" s="1"/>
  <c r="X5" i="17" a="1"/>
  <c r="X5" i="17" s="1"/>
  <c r="Y5" i="17" s="1"/>
  <c r="X6" i="17" a="1"/>
  <c r="X6" i="17" s="1"/>
  <c r="Y6" i="17" s="1"/>
  <c r="X7" i="17" a="1"/>
  <c r="X7" i="17" s="1"/>
  <c r="Y7" i="17" s="1"/>
  <c r="X182" i="17" a="1"/>
  <c r="X182" i="17" s="1"/>
  <c r="X8" i="17" a="1"/>
  <c r="X8" i="17" s="1"/>
  <c r="Y8" i="17" s="1"/>
  <c r="X9" i="17" a="1"/>
  <c r="X9" i="17" s="1"/>
  <c r="X10" i="17" a="1"/>
  <c r="X10" i="17" s="1"/>
  <c r="Y10" i="17" s="1"/>
  <c r="X11" i="17" a="1"/>
  <c r="X11" i="17" s="1"/>
  <c r="Y11" i="17" s="1"/>
  <c r="X12" i="17" a="1"/>
  <c r="X12" i="17" s="1"/>
  <c r="Y12" i="17" s="1"/>
  <c r="X13" i="17" a="1"/>
  <c r="X13" i="17" s="1"/>
  <c r="Y13" i="17" s="1"/>
  <c r="X183" i="17" a="1"/>
  <c r="X183" i="17" s="1"/>
  <c r="Y183" i="17" s="1"/>
  <c r="X14" i="17" a="1"/>
  <c r="X14" i="17" s="1"/>
  <c r="Y14" i="17" s="1"/>
  <c r="X15" i="17" a="1"/>
  <c r="X15" i="17" s="1"/>
  <c r="Y15" i="17" s="1"/>
  <c r="Q15" i="17" s="1"/>
  <c r="W15" i="17" s="1"/>
  <c r="X16" i="17" a="1"/>
  <c r="X16" i="17" s="1"/>
  <c r="X17" i="17" a="1"/>
  <c r="X17" i="17" s="1"/>
  <c r="X18" i="17" a="1"/>
  <c r="X18" i="17" s="1"/>
  <c r="X19" i="17" a="1"/>
  <c r="X19" i="17" s="1"/>
  <c r="Y19" i="17" s="1"/>
  <c r="X184" i="17" a="1"/>
  <c r="X184" i="17" s="1"/>
  <c r="X20" i="17" a="1"/>
  <c r="X20" i="17" s="1"/>
  <c r="Y20" i="17" s="1"/>
  <c r="X21" i="17" a="1"/>
  <c r="X21" i="17" s="1"/>
  <c r="Y21" i="17" s="1"/>
  <c r="X22" i="17" a="1"/>
  <c r="X22" i="17" s="1"/>
  <c r="Y22" i="17" s="1"/>
  <c r="Q22" i="17" s="1"/>
  <c r="W22" i="17" s="1"/>
  <c r="X23" i="17" a="1"/>
  <c r="X23" i="17" s="1"/>
  <c r="X24" i="17" a="1"/>
  <c r="X24" i="17" s="1"/>
  <c r="Y24" i="17" s="1"/>
  <c r="X25" i="17" a="1"/>
  <c r="X25" i="17" s="1"/>
  <c r="X185" i="17" a="1"/>
  <c r="X185" i="17" s="1"/>
  <c r="X26" i="17" a="1"/>
  <c r="X26" i="17" s="1"/>
  <c r="X27" i="17" a="1"/>
  <c r="X27" i="17" s="1"/>
  <c r="X28" i="17" a="1"/>
  <c r="X28" i="17" s="1"/>
  <c r="X29" i="17" a="1"/>
  <c r="X29" i="17" s="1"/>
  <c r="X30" i="17" a="1"/>
  <c r="X30" i="17" s="1"/>
  <c r="Y30" i="17" s="1"/>
  <c r="X31" i="17" a="1"/>
  <c r="X31" i="17" s="1"/>
  <c r="X186" i="17" a="1"/>
  <c r="X186" i="17" s="1"/>
  <c r="Y186" i="17" s="1"/>
  <c r="X32" i="17" a="1"/>
  <c r="X32" i="17" s="1"/>
  <c r="X33" i="17" a="1"/>
  <c r="X33" i="17" s="1"/>
  <c r="Y33" i="17" s="1"/>
  <c r="X34" i="17" a="1"/>
  <c r="X34" i="17" s="1"/>
  <c r="Y34" i="17" s="1"/>
  <c r="X35" i="17" a="1"/>
  <c r="X35" i="17" s="1"/>
  <c r="Y35" i="17" s="1"/>
  <c r="X36" i="17" a="1"/>
  <c r="X36" i="17" s="1"/>
  <c r="Y36" i="17" s="1"/>
  <c r="X37" i="17" a="1"/>
  <c r="X37" i="17" s="1"/>
  <c r="Y37" i="17" s="1"/>
  <c r="X187" i="17" a="1"/>
  <c r="X187" i="17" s="1"/>
  <c r="Y187" i="17" s="1"/>
  <c r="X38" i="17" a="1"/>
  <c r="X38" i="17" s="1"/>
  <c r="Y38" i="17" s="1"/>
  <c r="X39" i="17" a="1"/>
  <c r="X39" i="17" s="1"/>
  <c r="X40" i="17" a="1"/>
  <c r="X40" i="17" s="1"/>
  <c r="Y40" i="17" s="1"/>
  <c r="X41" i="17" a="1"/>
  <c r="X41" i="17" s="1"/>
  <c r="X42" i="17" a="1"/>
  <c r="X42" i="17" s="1"/>
  <c r="Y42" i="17" s="1"/>
  <c r="X43" i="17" a="1"/>
  <c r="X43" i="17" s="1"/>
  <c r="Y43" i="17" s="1"/>
  <c r="X188" i="17" a="1"/>
  <c r="X188" i="17" s="1"/>
  <c r="Y188" i="17" s="1"/>
  <c r="Q188" i="17" s="1"/>
  <c r="W188" i="17" s="1"/>
  <c r="X44" i="17" a="1"/>
  <c r="X44" i="17" s="1"/>
  <c r="X45" i="17" a="1"/>
  <c r="X45" i="17" s="1"/>
  <c r="X46" i="17" a="1"/>
  <c r="X46" i="17" s="1"/>
  <c r="X47" i="17" a="1"/>
  <c r="X47" i="17" s="1"/>
  <c r="Y47" i="17" s="1"/>
  <c r="X48" i="17" a="1"/>
  <c r="X48" i="17" s="1"/>
  <c r="Y48" i="17" s="1"/>
  <c r="X49" i="17" a="1"/>
  <c r="X49" i="17" s="1"/>
  <c r="X189" i="17" a="1"/>
  <c r="X189" i="17" s="1"/>
  <c r="Y189" i="17" s="1"/>
  <c r="X50" i="17" a="1"/>
  <c r="X50" i="17" s="1"/>
  <c r="X51" i="17" a="1"/>
  <c r="X51" i="17" s="1"/>
  <c r="X52" i="17" a="1"/>
  <c r="X52" i="17" s="1"/>
  <c r="Y52" i="17" s="1"/>
  <c r="X53" i="17" a="1"/>
  <c r="X53" i="17" s="1"/>
  <c r="X54" i="17" a="1"/>
  <c r="X54" i="17" s="1"/>
  <c r="X55" i="17" a="1"/>
  <c r="X55" i="17" s="1"/>
  <c r="Y55" i="17" s="1"/>
  <c r="X190" i="17" a="1"/>
  <c r="X190" i="17" s="1"/>
  <c r="X56" i="17" a="1"/>
  <c r="X56" i="17" s="1"/>
  <c r="X57" i="17" a="1"/>
  <c r="X57" i="17" s="1"/>
  <c r="X58" i="17" a="1"/>
  <c r="X58" i="17" s="1"/>
  <c r="X59" i="17" a="1"/>
  <c r="X59" i="17" s="1"/>
  <c r="Y59" i="17" s="1"/>
  <c r="X60" i="17" a="1"/>
  <c r="X60" i="17" s="1"/>
  <c r="Y60" i="17" s="1"/>
  <c r="X61" i="17" a="1"/>
  <c r="X61" i="17" s="1"/>
  <c r="X191" i="17" a="1"/>
  <c r="X191" i="17" s="1"/>
  <c r="X62" i="17" a="1"/>
  <c r="X62" i="17" s="1"/>
  <c r="Y62" i="17" s="1"/>
  <c r="X63" i="17" a="1"/>
  <c r="X63" i="17" s="1"/>
  <c r="Y63" i="17" s="1"/>
  <c r="X64" i="17" a="1"/>
  <c r="X64" i="17" s="1"/>
  <c r="Y64" i="17" s="1"/>
  <c r="Q64" i="17" s="1"/>
  <c r="W64" i="17" s="1"/>
  <c r="X65" i="17" a="1"/>
  <c r="X65" i="17" s="1"/>
  <c r="Y65" i="17" s="1"/>
  <c r="Q65" i="17" s="1"/>
  <c r="W65" i="17" s="1"/>
  <c r="X66" i="17" a="1"/>
  <c r="X66" i="17" s="1"/>
  <c r="X67" i="17" a="1"/>
  <c r="X67" i="17" s="1"/>
  <c r="X192" i="17" a="1"/>
  <c r="X192" i="17" s="1"/>
  <c r="X68" i="17" a="1"/>
  <c r="X68" i="17" s="1"/>
  <c r="X69" i="17" a="1"/>
  <c r="X69" i="17" s="1"/>
  <c r="Y69" i="17" s="1"/>
  <c r="X70" i="17" a="1"/>
  <c r="X70" i="17" s="1"/>
  <c r="Y70" i="17" s="1"/>
  <c r="X71" i="17" a="1"/>
  <c r="X71" i="17" s="1"/>
  <c r="Y71" i="17" s="1"/>
  <c r="Q71" i="17" s="1"/>
  <c r="W71" i="17" s="1"/>
  <c r="X72" i="17" a="1"/>
  <c r="X72" i="17" s="1"/>
  <c r="Y72" i="17" s="1"/>
  <c r="Q72" i="17" s="1"/>
  <c r="W72" i="17" s="1"/>
  <c r="X73" i="17" a="1"/>
  <c r="X73" i="17" s="1"/>
  <c r="X193" i="17" a="1"/>
  <c r="X193" i="17" s="1"/>
  <c r="Y193" i="17" s="1"/>
  <c r="X74" i="17" a="1"/>
  <c r="X74" i="17" s="1"/>
  <c r="X75" i="17" a="1"/>
  <c r="X75" i="17" s="1"/>
  <c r="X76" i="17" a="1"/>
  <c r="X76" i="17" s="1"/>
  <c r="X77" i="17" a="1"/>
  <c r="X77" i="17" s="1"/>
  <c r="Y77" i="17" s="1"/>
  <c r="Q77" i="17" s="1"/>
  <c r="W77" i="17" s="1"/>
  <c r="X78" i="17" a="1"/>
  <c r="X78" i="17" s="1"/>
  <c r="Y78" i="17" s="1"/>
  <c r="X79" i="17" a="1"/>
  <c r="X79" i="17" s="1"/>
  <c r="X194" i="17" a="1"/>
  <c r="X194" i="17" s="1"/>
  <c r="Y194" i="17" s="1"/>
  <c r="X80" i="17" a="1"/>
  <c r="X80" i="17" s="1"/>
  <c r="Y80" i="17" s="1"/>
  <c r="X81" i="17" a="1"/>
  <c r="X81" i="17" s="1"/>
  <c r="X82" i="17" a="1"/>
  <c r="X82" i="17" s="1"/>
  <c r="X83" i="17" a="1"/>
  <c r="X83" i="17" s="1"/>
  <c r="X84" i="17" a="1"/>
  <c r="X84" i="17" s="1"/>
  <c r="X85" i="17" a="1"/>
  <c r="X85" i="17" s="1"/>
  <c r="X195" i="17" a="1"/>
  <c r="X195" i="17" s="1"/>
  <c r="Y195" i="17" s="1"/>
  <c r="Q195" i="17" s="1"/>
  <c r="W195" i="17" s="1"/>
  <c r="X86" i="17" a="1"/>
  <c r="X86" i="17" s="1"/>
  <c r="X87" i="17" a="1"/>
  <c r="X87" i="17" s="1"/>
  <c r="X88" i="17" a="1"/>
  <c r="X88" i="17" s="1"/>
  <c r="Y88" i="17" s="1"/>
  <c r="X89" i="17" a="1"/>
  <c r="X89" i="17" s="1"/>
  <c r="Y89" i="17" s="1"/>
  <c r="X90" i="17" a="1"/>
  <c r="X90" i="17" s="1"/>
  <c r="X91" i="17" a="1"/>
  <c r="X91" i="17" s="1"/>
  <c r="Y91" i="17" s="1"/>
  <c r="Q91" i="17" s="1"/>
  <c r="W91" i="17" s="1"/>
  <c r="X196" i="17" a="1"/>
  <c r="X196" i="17" s="1"/>
  <c r="X92" i="17" a="1"/>
  <c r="X92" i="17" s="1"/>
  <c r="Y92" i="17" s="1"/>
  <c r="X93" i="17" a="1"/>
  <c r="X93" i="17" s="1"/>
  <c r="Y93" i="17" s="1"/>
  <c r="Q93" i="17" s="1"/>
  <c r="W93" i="17" s="1"/>
  <c r="X94" i="17" a="1"/>
  <c r="X94" i="17" s="1"/>
  <c r="X95" i="17" a="1"/>
  <c r="X95" i="17" s="1"/>
  <c r="X96" i="17" a="1"/>
  <c r="X96" i="17" s="1"/>
  <c r="X97" i="17" a="1"/>
  <c r="X97" i="17" s="1"/>
  <c r="Y97" i="17" s="1"/>
  <c r="X197" i="17" a="1"/>
  <c r="X197" i="17" s="1"/>
  <c r="X98" i="17" a="1"/>
  <c r="X98" i="17" s="1"/>
  <c r="Y98" i="17" s="1"/>
  <c r="X99" i="17" a="1"/>
  <c r="X99" i="17" s="1"/>
  <c r="Y99" i="17" s="1"/>
  <c r="Q99" i="17" s="1"/>
  <c r="W99" i="17" s="1"/>
  <c r="X100" i="17" a="1"/>
  <c r="X100" i="17" s="1"/>
  <c r="Y100" i="17" s="1"/>
  <c r="Q100" i="17" s="1"/>
  <c r="W100" i="17" s="1"/>
  <c r="X101" i="17" a="1"/>
  <c r="X101" i="17" s="1"/>
  <c r="X102" i="17" a="1"/>
  <c r="X102" i="17" s="1"/>
  <c r="X103" i="17" a="1"/>
  <c r="X103" i="17" s="1"/>
  <c r="Y103" i="17" s="1"/>
  <c r="X198" i="17" a="1"/>
  <c r="X198" i="17" s="1"/>
  <c r="X104" i="17" a="1"/>
  <c r="X104" i="17" s="1"/>
  <c r="Y104" i="17" s="1"/>
  <c r="X105" i="17" a="1"/>
  <c r="X105" i="17" s="1"/>
  <c r="Y105" i="17" s="1"/>
  <c r="Q105" i="17" s="1"/>
  <c r="W105" i="17" s="1"/>
  <c r="X106" i="17" a="1"/>
  <c r="X106" i="17" s="1"/>
  <c r="X107" i="17" a="1"/>
  <c r="X107" i="17" s="1"/>
  <c r="X108" i="17" a="1"/>
  <c r="X108" i="17" s="1"/>
  <c r="X109" i="17" a="1"/>
  <c r="X109" i="17" s="1"/>
  <c r="Y109" i="17" s="1"/>
  <c r="X199" i="17" a="1"/>
  <c r="X199" i="17" s="1"/>
  <c r="Y199" i="17" s="1"/>
  <c r="X110" i="17" a="1"/>
  <c r="X110" i="17" s="1"/>
  <c r="X111" i="17" a="1"/>
  <c r="X111" i="17" s="1"/>
  <c r="Y111" i="17" s="1"/>
  <c r="X112" i="17" a="1"/>
  <c r="X112" i="17" s="1"/>
  <c r="X113" i="17" a="1"/>
  <c r="X113" i="17" s="1"/>
  <c r="Y113" i="17" s="1"/>
  <c r="X114" i="17" a="1"/>
  <c r="X114" i="17" s="1"/>
  <c r="X115" i="17" a="1"/>
  <c r="X115" i="17" s="1"/>
  <c r="X200" i="17" a="1"/>
  <c r="X200" i="17" s="1"/>
  <c r="X116" i="17" a="1"/>
  <c r="X116" i="17" s="1"/>
  <c r="Y116" i="17" s="1"/>
  <c r="X117" i="17" a="1"/>
  <c r="X117" i="17" s="1"/>
  <c r="X118" i="17" a="1"/>
  <c r="X118" i="17" s="1"/>
  <c r="Y118" i="17" s="1"/>
  <c r="Q118" i="17" s="1"/>
  <c r="W118" i="17" s="1"/>
  <c r="X119" i="17" a="1"/>
  <c r="X119" i="17" s="1"/>
  <c r="X120" i="17" a="1"/>
  <c r="X120" i="17" s="1"/>
  <c r="X121" i="17" a="1"/>
  <c r="X121" i="17" s="1"/>
  <c r="Y121" i="17" s="1"/>
  <c r="X201" i="17" a="1"/>
  <c r="X201" i="17" s="1"/>
  <c r="Y201" i="17" s="1"/>
  <c r="Q201" i="17" s="1"/>
  <c r="W201" i="17" s="1"/>
  <c r="X122" i="17" a="1"/>
  <c r="X122" i="17" s="1"/>
  <c r="X123" i="17" a="1"/>
  <c r="X123" i="17" s="1"/>
  <c r="X124" i="17" a="1"/>
  <c r="X124" i="17" s="1"/>
  <c r="Y124" i="17" s="1"/>
  <c r="X125" i="17" a="1"/>
  <c r="X125" i="17" s="1"/>
  <c r="Y125" i="17" s="1"/>
  <c r="X126" i="17" a="1"/>
  <c r="X126" i="17" s="1"/>
  <c r="Y126" i="17" s="1"/>
  <c r="X127" i="17" a="1"/>
  <c r="X127" i="17" s="1"/>
  <c r="Y127" i="17" s="1"/>
  <c r="X202" i="17" a="1"/>
  <c r="X202" i="17" s="1"/>
  <c r="Y202" i="17" s="1"/>
  <c r="Q202" i="17" s="1"/>
  <c r="W202" i="17" s="1"/>
  <c r="X128" i="17" a="1"/>
  <c r="X128" i="17" s="1"/>
  <c r="Y128" i="17" s="1"/>
  <c r="Q128" i="17" s="1"/>
  <c r="W128" i="17" s="1"/>
  <c r="X129" i="17" a="1"/>
  <c r="X129" i="17" s="1"/>
  <c r="X130" i="17" a="1"/>
  <c r="X130" i="17" s="1"/>
  <c r="X131" i="17" a="1"/>
  <c r="X131" i="17" s="1"/>
  <c r="X132" i="17" a="1"/>
  <c r="X132" i="17" s="1"/>
  <c r="Y132" i="17" s="1"/>
  <c r="Q132" i="17" s="1"/>
  <c r="W132" i="17" s="1"/>
  <c r="X133" i="17" a="1"/>
  <c r="X133" i="17" s="1"/>
  <c r="Y133" i="17" s="1"/>
  <c r="X203" i="17" a="1"/>
  <c r="X203" i="17" s="1"/>
  <c r="Y203" i="17" s="1"/>
  <c r="Q203" i="17" s="1"/>
  <c r="W203" i="17" s="1"/>
  <c r="X134" i="17" a="1"/>
  <c r="X134" i="17" s="1"/>
  <c r="X135" i="17" a="1"/>
  <c r="X135" i="17" s="1"/>
  <c r="X136" i="17" a="1"/>
  <c r="X136" i="17" s="1"/>
  <c r="Y136" i="17" s="1"/>
  <c r="X137" i="17" a="1"/>
  <c r="X137" i="17" s="1"/>
  <c r="Y137" i="17" s="1"/>
  <c r="X138" i="17" a="1"/>
  <c r="X138" i="17" s="1"/>
  <c r="X139" i="17" a="1"/>
  <c r="X139" i="17" s="1"/>
  <c r="X204" i="17" a="1"/>
  <c r="X204" i="17" s="1"/>
  <c r="Y204" i="17" s="1"/>
  <c r="X140" i="17" a="1"/>
  <c r="X140" i="17" s="1"/>
  <c r="Y140" i="17" s="1"/>
  <c r="Q140" i="17" s="1"/>
  <c r="W140" i="17" s="1"/>
  <c r="X141" i="17" a="1"/>
  <c r="X141" i="17" s="1"/>
  <c r="X142" i="17" a="1"/>
  <c r="X142" i="17" s="1"/>
  <c r="X143" i="17" a="1"/>
  <c r="X143" i="17" s="1"/>
  <c r="X144" i="17" a="1"/>
  <c r="X144" i="17" s="1"/>
  <c r="X145" i="17" a="1"/>
  <c r="X145" i="17" s="1"/>
  <c r="Y145" i="17" s="1"/>
  <c r="X205" i="17" a="1"/>
  <c r="X205" i="17" s="1"/>
  <c r="Y205" i="17" s="1"/>
  <c r="X146" i="17" a="1"/>
  <c r="X146" i="17" s="1"/>
  <c r="X147" i="17" a="1"/>
  <c r="X147" i="17" s="1"/>
  <c r="Y147" i="17" s="1"/>
  <c r="X148" i="17" a="1"/>
  <c r="X148" i="17" s="1"/>
  <c r="Y148" i="17" s="1"/>
  <c r="X149" i="17" a="1"/>
  <c r="X149" i="17" s="1"/>
  <c r="Y149" i="17" s="1"/>
  <c r="X150" i="17" a="1"/>
  <c r="X150" i="17" s="1"/>
  <c r="Y150" i="17" s="1"/>
  <c r="X151" i="17" a="1"/>
  <c r="X151" i="17" s="1"/>
  <c r="X206" i="17" a="1"/>
  <c r="X206" i="17" s="1"/>
  <c r="Y206" i="17" s="1"/>
  <c r="X152" i="17" a="1"/>
  <c r="X152" i="17" s="1"/>
  <c r="X153" i="17" a="1"/>
  <c r="X153" i="17" s="1"/>
  <c r="Y153" i="17" s="1"/>
  <c r="X154" i="17" a="1"/>
  <c r="X154" i="17" s="1"/>
  <c r="X155" i="17" a="1"/>
  <c r="X155" i="17" s="1"/>
  <c r="Y155" i="17" s="1"/>
  <c r="X156" i="17" a="1"/>
  <c r="X156" i="17" s="1"/>
  <c r="Y156" i="17" s="1"/>
  <c r="Q156" i="17" s="1"/>
  <c r="W156" i="17" s="1"/>
  <c r="X157" i="17" a="1"/>
  <c r="X157" i="17" s="1"/>
  <c r="Y157" i="17" s="1"/>
  <c r="Q157" i="17" s="1"/>
  <c r="W157" i="17" s="1"/>
  <c r="X207" i="17" a="1"/>
  <c r="X207" i="17" s="1"/>
  <c r="Y207" i="17" s="1"/>
  <c r="X158" i="17" a="1"/>
  <c r="X158" i="17" s="1"/>
  <c r="X159" i="17" a="1"/>
  <c r="X159" i="17" s="1"/>
  <c r="Y159" i="17" s="1"/>
  <c r="X160" i="17" a="1"/>
  <c r="X160" i="17" s="1"/>
  <c r="X161" i="17" a="1"/>
  <c r="X161" i="17" s="1"/>
  <c r="X162" i="17" a="1"/>
  <c r="X162" i="17" s="1"/>
  <c r="Y162" i="17" s="1"/>
  <c r="Q162" i="17" s="1"/>
  <c r="W162" i="17" s="1"/>
  <c r="X163" i="17" a="1"/>
  <c r="X163" i="17" s="1"/>
  <c r="X208" i="17" a="1"/>
  <c r="X208" i="17" s="1"/>
  <c r="X164" i="17" a="1"/>
  <c r="X164" i="17" s="1"/>
  <c r="Y164" i="17" s="1"/>
  <c r="Q164" i="17" s="1"/>
  <c r="W164" i="17" s="1"/>
  <c r="X165" i="17" a="1"/>
  <c r="X165" i="17" s="1"/>
  <c r="Y165" i="17" s="1"/>
  <c r="X166" i="17" a="1"/>
  <c r="X166" i="17" s="1"/>
  <c r="X167" i="17" a="1"/>
  <c r="X167" i="17" s="1"/>
  <c r="Y167" i="17" s="1"/>
  <c r="Q167" i="17" s="1"/>
  <c r="W167" i="17" s="1"/>
  <c r="X168" i="17" a="1"/>
  <c r="X168" i="17" s="1"/>
  <c r="Y168" i="17" s="1"/>
  <c r="X169" i="17" a="1"/>
  <c r="X169" i="17" s="1"/>
  <c r="X209" i="17" a="1"/>
  <c r="X209" i="17" s="1"/>
  <c r="X170" i="17" a="1"/>
  <c r="X170" i="17" s="1"/>
  <c r="X171" i="17" a="1"/>
  <c r="X171" i="17" s="1"/>
  <c r="X172" i="17" a="1"/>
  <c r="X172" i="17" s="1"/>
  <c r="X173" i="17" a="1"/>
  <c r="X173" i="17" s="1"/>
  <c r="Y173" i="17" s="1"/>
  <c r="X174" i="17" a="1"/>
  <c r="X174" i="17" s="1"/>
  <c r="X175" i="17" a="1"/>
  <c r="X175" i="17" s="1"/>
  <c r="Y175" i="17" s="1"/>
  <c r="X210" i="17" a="1"/>
  <c r="X210" i="17" s="1"/>
  <c r="X176" i="17" a="1"/>
  <c r="X176" i="17" s="1"/>
  <c r="Y176" i="17" s="1"/>
  <c r="X177" i="17" a="1"/>
  <c r="X177" i="17" s="1"/>
  <c r="Y177" i="17" s="1"/>
  <c r="Q177" i="17" s="1"/>
  <c r="W177" i="17" s="1"/>
  <c r="X178" i="17" a="1"/>
  <c r="X178" i="17" s="1"/>
  <c r="Y178" i="17" s="1"/>
  <c r="Q178" i="17" s="1"/>
  <c r="W178" i="17" s="1"/>
  <c r="X179" i="17" a="1"/>
  <c r="X179" i="17" s="1"/>
  <c r="X180" i="17" a="1"/>
  <c r="X180" i="17" s="1"/>
  <c r="X181" i="17" a="1"/>
  <c r="X181" i="17" s="1"/>
  <c r="X211" i="17" a="1"/>
  <c r="X211" i="17" s="1"/>
  <c r="Y211" i="17" s="1"/>
  <c r="Q211" i="17" s="1"/>
  <c r="W211" i="17" s="1"/>
  <c r="G2" i="16"/>
  <c r="K130" i="20" l="1" a="1"/>
  <c r="K130" i="20" s="1"/>
  <c r="K98" i="20" a="1"/>
  <c r="K98" i="20" s="1"/>
  <c r="K66" i="20" a="1"/>
  <c r="K66" i="20" s="1"/>
  <c r="K34" i="20" a="1"/>
  <c r="K34" i="20" s="1"/>
  <c r="N85" i="20"/>
  <c r="K65" i="20" a="1"/>
  <c r="K65" i="20" s="1"/>
  <c r="K33" i="20" a="1"/>
  <c r="K33" i="20" s="1"/>
  <c r="N84" i="20"/>
  <c r="N20" i="20"/>
  <c r="N141" i="20"/>
  <c r="N111" i="20"/>
  <c r="N57" i="20"/>
  <c r="N8" i="20"/>
  <c r="K19" i="20" a="1"/>
  <c r="K19" i="20" s="1"/>
  <c r="K17" i="20" a="1"/>
  <c r="K17" i="20" s="1"/>
  <c r="K95" i="20" a="1"/>
  <c r="K95" i="20" s="1"/>
  <c r="K63" i="20" a="1"/>
  <c r="K63" i="20" s="1"/>
  <c r="K31" i="20" a="1"/>
  <c r="K31" i="20" s="1"/>
  <c r="N140" i="20"/>
  <c r="N110" i="20"/>
  <c r="N56" i="20"/>
  <c r="N31" i="20"/>
  <c r="K62" i="20" a="1"/>
  <c r="K62" i="20" s="1"/>
  <c r="K30" i="20" a="1"/>
  <c r="K30" i="20" s="1"/>
  <c r="N139" i="20"/>
  <c r="N109" i="20"/>
  <c r="K93" i="20" a="1"/>
  <c r="K93" i="20" s="1"/>
  <c r="K61" i="20" a="1"/>
  <c r="K61" i="20" s="1"/>
  <c r="K29" i="20" a="1"/>
  <c r="K29" i="20" s="1"/>
  <c r="N108" i="20"/>
  <c r="N48" i="20"/>
  <c r="K60" i="20" a="1"/>
  <c r="K60" i="20" s="1"/>
  <c r="K28" i="20" a="1"/>
  <c r="K28" i="20" s="1"/>
  <c r="N107" i="20"/>
  <c r="N53" i="20"/>
  <c r="N29" i="20"/>
  <c r="K59" i="20" a="1"/>
  <c r="K59" i="20" s="1"/>
  <c r="K27" i="20" a="1"/>
  <c r="K27" i="20" s="1"/>
  <c r="N28" i="20"/>
  <c r="N46" i="20"/>
  <c r="K58" i="20" a="1"/>
  <c r="K58" i="20" s="1"/>
  <c r="K26" i="20" a="1"/>
  <c r="K26" i="20" s="1"/>
  <c r="K89" i="20" a="1"/>
  <c r="K89" i="20" s="1"/>
  <c r="K57" i="20" a="1"/>
  <c r="K57" i="20" s="1"/>
  <c r="K25" i="20" a="1"/>
  <c r="K25" i="20" s="1"/>
  <c r="K88" i="20" a="1"/>
  <c r="K88" i="20" s="1"/>
  <c r="K56" i="20" a="1"/>
  <c r="K56" i="20" s="1"/>
  <c r="K24" i="20" a="1"/>
  <c r="K24" i="20" s="1"/>
  <c r="K87" i="20" a="1"/>
  <c r="K87" i="20" s="1"/>
  <c r="K55" i="20" a="1"/>
  <c r="K55" i="20" s="1"/>
  <c r="K23" i="20" a="1"/>
  <c r="K23" i="20" s="1"/>
  <c r="K86" i="20" a="1"/>
  <c r="K86" i="20" s="1"/>
  <c r="K54" i="20" a="1"/>
  <c r="K54" i="20" s="1"/>
  <c r="K22" i="20" a="1"/>
  <c r="K22" i="20" s="1"/>
  <c r="K85" i="20" a="1"/>
  <c r="K85" i="20" s="1"/>
  <c r="K53" i="20" a="1"/>
  <c r="K53" i="20" s="1"/>
  <c r="K84" i="20" a="1"/>
  <c r="K84" i="20" s="1"/>
  <c r="K52" i="20" a="1"/>
  <c r="K52" i="20" s="1"/>
  <c r="K20" i="20" a="1"/>
  <c r="K20" i="20" s="1"/>
  <c r="K115" i="20" a="1"/>
  <c r="K115" i="20" s="1"/>
  <c r="K83" i="20" a="1"/>
  <c r="K83" i="20" s="1"/>
  <c r="K51" i="20" a="1"/>
  <c r="K51" i="20" s="1"/>
  <c r="K18" i="20" a="1"/>
  <c r="K18" i="20" s="1"/>
  <c r="K114" i="20" a="1"/>
  <c r="K114" i="20" s="1"/>
  <c r="K82" i="20" a="1"/>
  <c r="K82" i="20" s="1"/>
  <c r="K50" i="20" a="1"/>
  <c r="K50" i="20" s="1"/>
  <c r="K16" i="20" a="1"/>
  <c r="K16" i="20" s="1"/>
  <c r="K49" i="20" a="1"/>
  <c r="K49" i="20" s="1"/>
  <c r="K15" i="20" a="1"/>
  <c r="K15" i="20" s="1"/>
  <c r="N4" i="20"/>
  <c r="K14" i="20" a="1"/>
  <c r="K14" i="20" s="1"/>
  <c r="N126" i="20"/>
  <c r="N97" i="20"/>
  <c r="N70" i="20"/>
  <c r="N44" i="20"/>
  <c r="K3" i="20" a="1"/>
  <c r="K3" i="20" s="1"/>
  <c r="K79" i="20" a="1"/>
  <c r="K79" i="20" s="1"/>
  <c r="K47" i="20" a="1"/>
  <c r="K47" i="20" s="1"/>
  <c r="K13" i="20" a="1"/>
  <c r="K13" i="20" s="1"/>
  <c r="N125" i="20"/>
  <c r="K46" i="20" a="1"/>
  <c r="K46" i="20" s="1"/>
  <c r="K12" i="20" a="1"/>
  <c r="K12" i="20" s="1"/>
  <c r="N124" i="20"/>
  <c r="N95" i="20"/>
  <c r="K8" i="20" a="1"/>
  <c r="K8" i="20" s="1"/>
  <c r="L55" i="20" a="1"/>
  <c r="L55" i="20" s="1"/>
  <c r="N55" i="20" s="1"/>
  <c r="L23" i="20" a="1"/>
  <c r="L23" i="20" s="1"/>
  <c r="N23" i="20" s="1"/>
  <c r="K45" i="20" a="1"/>
  <c r="K45" i="20" s="1"/>
  <c r="N32" i="20"/>
  <c r="K44" i="20" a="1"/>
  <c r="K44" i="20" s="1"/>
  <c r="N93" i="20"/>
  <c r="N67" i="20"/>
  <c r="K2" i="20" a="1"/>
  <c r="K2" i="20" s="1"/>
  <c r="K75" i="20" a="1"/>
  <c r="K75" i="20" s="1"/>
  <c r="K43" i="20" a="1"/>
  <c r="K43" i="20" s="1"/>
  <c r="K6" i="20" a="1"/>
  <c r="K6" i="20" s="1"/>
  <c r="K74" i="20" a="1"/>
  <c r="K74" i="20" s="1"/>
  <c r="K42" i="20" a="1"/>
  <c r="K42" i="20" s="1"/>
  <c r="N151" i="20"/>
  <c r="K105" i="20" a="1"/>
  <c r="K105" i="20" s="1"/>
  <c r="K41" i="20" a="1"/>
  <c r="K41" i="20" s="1"/>
  <c r="K104" i="20" a="1"/>
  <c r="K104" i="20" s="1"/>
  <c r="K72" i="20" a="1"/>
  <c r="K72" i="20" s="1"/>
  <c r="K40" i="20" a="1"/>
  <c r="K40" i="20" s="1"/>
  <c r="N123" i="20"/>
  <c r="K103" i="20" a="1"/>
  <c r="K103" i="20" s="1"/>
  <c r="K71" i="20" a="1"/>
  <c r="K71" i="20" s="1"/>
  <c r="K102" i="20" a="1"/>
  <c r="K102" i="20" s="1"/>
  <c r="K70" i="20" a="1"/>
  <c r="K70" i="20" s="1"/>
  <c r="K38" i="20" a="1"/>
  <c r="K38" i="20" s="1"/>
  <c r="K101" i="20" a="1"/>
  <c r="K101" i="20" s="1"/>
  <c r="K69" i="20" a="1"/>
  <c r="K69" i="20" s="1"/>
  <c r="K37" i="20" a="1"/>
  <c r="K37" i="20" s="1"/>
  <c r="K132" i="20" a="1"/>
  <c r="K132" i="20" s="1"/>
  <c r="K100" i="20" a="1"/>
  <c r="K100" i="20" s="1"/>
  <c r="K68" i="20" a="1"/>
  <c r="K68" i="20" s="1"/>
  <c r="K36" i="20" a="1"/>
  <c r="K36" i="20" s="1"/>
  <c r="L13" i="20" a="1"/>
  <c r="L13" i="20" s="1"/>
  <c r="N13" i="20" s="1"/>
  <c r="K99" i="20" a="1"/>
  <c r="K99" i="20" s="1"/>
  <c r="N33" i="20"/>
  <c r="N143" i="20"/>
  <c r="N113" i="20"/>
  <c r="N142" i="20"/>
  <c r="N112" i="20"/>
  <c r="N9" i="20"/>
  <c r="N83" i="20"/>
  <c r="N7" i="20"/>
  <c r="N82" i="20"/>
  <c r="N6" i="20"/>
  <c r="N81" i="20"/>
  <c r="N54" i="20"/>
  <c r="N5" i="20"/>
  <c r="N80" i="20"/>
  <c r="N137" i="20"/>
  <c r="N79" i="20"/>
  <c r="N136" i="20"/>
  <c r="N106" i="20"/>
  <c r="N78" i="20"/>
  <c r="N3" i="20"/>
  <c r="N135" i="20"/>
  <c r="N105" i="20"/>
  <c r="N77" i="20"/>
  <c r="N51" i="20"/>
  <c r="N2" i="20"/>
  <c r="N138" i="20"/>
  <c r="N134" i="20"/>
  <c r="N104" i="20"/>
  <c r="N76" i="20"/>
  <c r="N50" i="20"/>
  <c r="N133" i="20"/>
  <c r="N103" i="20"/>
  <c r="N75" i="20"/>
  <c r="N49" i="20"/>
  <c r="N10" i="20"/>
  <c r="N132" i="20"/>
  <c r="N102" i="20"/>
  <c r="N25" i="20"/>
  <c r="N101" i="20"/>
  <c r="N24" i="20"/>
  <c r="N42" i="20"/>
  <c r="N131" i="20"/>
  <c r="N130" i="20"/>
  <c r="N47" i="20"/>
  <c r="N129" i="20"/>
  <c r="N73" i="20"/>
  <c r="N22" i="20"/>
  <c r="N128" i="20"/>
  <c r="N99" i="20"/>
  <c r="N72" i="20"/>
  <c r="N21" i="20"/>
  <c r="N74" i="20"/>
  <c r="N127" i="20"/>
  <c r="N98" i="20"/>
  <c r="N71" i="20"/>
  <c r="N45" i="20"/>
  <c r="N96" i="20"/>
  <c r="N69" i="20"/>
  <c r="N43" i="20"/>
  <c r="N19" i="20"/>
  <c r="N18" i="20"/>
  <c r="N94" i="20"/>
  <c r="N17" i="20"/>
  <c r="N122" i="20"/>
  <c r="N92" i="20"/>
  <c r="N66" i="20"/>
  <c r="N41" i="20"/>
  <c r="N121" i="20"/>
  <c r="N65" i="20"/>
  <c r="N40" i="20"/>
  <c r="N15" i="20"/>
  <c r="N150" i="20"/>
  <c r="N120" i="20"/>
  <c r="N64" i="20"/>
  <c r="N39" i="20"/>
  <c r="N149" i="20"/>
  <c r="N119" i="20"/>
  <c r="N63" i="20"/>
  <c r="N38" i="20"/>
  <c r="N148" i="20"/>
  <c r="N118" i="20"/>
  <c r="N62" i="20"/>
  <c r="N37" i="20"/>
  <c r="N26" i="20"/>
  <c r="N147" i="20"/>
  <c r="N117" i="20"/>
  <c r="N89" i="20"/>
  <c r="N61" i="20"/>
  <c r="N12" i="20"/>
  <c r="N58" i="20"/>
  <c r="N146" i="20"/>
  <c r="N116" i="20"/>
  <c r="N88" i="20"/>
  <c r="N60" i="20"/>
  <c r="N11" i="20"/>
  <c r="N90" i="20"/>
  <c r="N145" i="20"/>
  <c r="N115" i="20"/>
  <c r="N87" i="20"/>
  <c r="N35" i="20"/>
  <c r="N144" i="20"/>
  <c r="N114" i="20"/>
  <c r="N86" i="20"/>
  <c r="N34" i="20"/>
  <c r="K10" i="20" a="1"/>
  <c r="K10" i="20" s="1"/>
  <c r="K9" i="20" a="1"/>
  <c r="K9" i="20" s="1"/>
  <c r="K5" i="20" a="1"/>
  <c r="K5" i="20" s="1"/>
  <c r="K4" i="20" a="1"/>
  <c r="K4" i="20" s="1"/>
  <c r="K35" i="19" a="1"/>
  <c r="K35" i="19" s="1"/>
  <c r="M43" i="19"/>
  <c r="M11" i="19"/>
  <c r="K34" i="19" a="1"/>
  <c r="K34" i="19" s="1"/>
  <c r="M42" i="19"/>
  <c r="M10" i="19"/>
  <c r="J31" i="19" a="1"/>
  <c r="J31" i="19" s="1"/>
  <c r="K30" i="19" a="1"/>
  <c r="K30" i="19" s="1"/>
  <c r="K29" i="19" a="1"/>
  <c r="K29" i="19" s="1"/>
  <c r="K60" i="19" a="1"/>
  <c r="K60" i="19" s="1"/>
  <c r="K28" i="19" a="1"/>
  <c r="K28" i="19" s="1"/>
  <c r="J59" i="19" a="1"/>
  <c r="J59" i="19" s="1"/>
  <c r="J27" i="19" a="1"/>
  <c r="J27" i="19" s="1"/>
  <c r="J58" i="19" a="1"/>
  <c r="J58" i="19" s="1"/>
  <c r="N7" i="19" a="1"/>
  <c r="N7" i="19" s="1"/>
  <c r="M36" i="19"/>
  <c r="J57" i="19" a="1"/>
  <c r="J57" i="19" s="1"/>
  <c r="J25" i="19" a="1"/>
  <c r="J25" i="19" s="1"/>
  <c r="J56" i="19" a="1"/>
  <c r="J56" i="19" s="1"/>
  <c r="J24" i="19" a="1"/>
  <c r="J24" i="19" s="1"/>
  <c r="K22" i="19" a="1"/>
  <c r="K22" i="19" s="1"/>
  <c r="J35" i="19" a="1"/>
  <c r="J35" i="19" s="1"/>
  <c r="K21" i="19" a="1"/>
  <c r="K21" i="19" s="1"/>
  <c r="M21" i="19" s="1"/>
  <c r="J34" i="19" a="1"/>
  <c r="J34" i="19" s="1"/>
  <c r="M32" i="19"/>
  <c r="K58" i="19" a="1"/>
  <c r="K58" i="19" s="1"/>
  <c r="K20" i="19" a="1"/>
  <c r="K20" i="19" s="1"/>
  <c r="N3" i="19" a="1"/>
  <c r="N3" i="19" s="1"/>
  <c r="K57" i="19" a="1"/>
  <c r="K57" i="19" s="1"/>
  <c r="K19" i="19" a="1"/>
  <c r="K19" i="19" s="1"/>
  <c r="J30" i="19" a="1"/>
  <c r="J30" i="19" s="1"/>
  <c r="N37" i="19" a="1"/>
  <c r="N37" i="19" s="1"/>
  <c r="N2" i="19" a="1"/>
  <c r="N2" i="19" s="1"/>
  <c r="K56" i="19" a="1"/>
  <c r="K56" i="19" s="1"/>
  <c r="K18" i="19" a="1"/>
  <c r="K18" i="19" s="1"/>
  <c r="J28" i="19" a="1"/>
  <c r="J28" i="19" s="1"/>
  <c r="K55" i="19" a="1"/>
  <c r="K55" i="19" s="1"/>
  <c r="K17" i="19" a="1"/>
  <c r="K17" i="19" s="1"/>
  <c r="M17" i="19" s="1"/>
  <c r="J23" i="19" a="1"/>
  <c r="J23" i="19" s="1"/>
  <c r="N35" i="19" a="1"/>
  <c r="N35" i="19" s="1"/>
  <c r="K54" i="19" a="1"/>
  <c r="K54" i="19" s="1"/>
  <c r="K16" i="19" a="1"/>
  <c r="K16" i="19" s="1"/>
  <c r="N34" i="19" a="1"/>
  <c r="N34" i="19" s="1"/>
  <c r="M59" i="19"/>
  <c r="K53" i="19" a="1"/>
  <c r="K53" i="19" s="1"/>
  <c r="M58" i="19"/>
  <c r="J47" i="19" a="1"/>
  <c r="J47" i="19" s="1"/>
  <c r="J15" i="19" a="1"/>
  <c r="J15" i="19" s="1"/>
  <c r="M57" i="19"/>
  <c r="K14" i="19" a="1"/>
  <c r="K14" i="19" s="1"/>
  <c r="K45" i="19" a="1"/>
  <c r="K45" i="19" s="1"/>
  <c r="K13" i="19" a="1"/>
  <c r="K13" i="19" s="1"/>
  <c r="M55" i="19"/>
  <c r="K44" i="19" a="1"/>
  <c r="K44" i="19" s="1"/>
  <c r="M44" i="19" s="1"/>
  <c r="K12" i="19" a="1"/>
  <c r="K12" i="19" s="1"/>
  <c r="M12" i="19" s="1"/>
  <c r="M22" i="19"/>
  <c r="J43" i="19" a="1"/>
  <c r="J43" i="19" s="1"/>
  <c r="J11" i="19" a="1"/>
  <c r="J11" i="19" s="1"/>
  <c r="J42" i="19" a="1"/>
  <c r="J42" i="19" s="1"/>
  <c r="J10" i="19" a="1"/>
  <c r="J10" i="19" s="1"/>
  <c r="J41" i="19" a="1"/>
  <c r="J41" i="19" s="1"/>
  <c r="N6" i="19" a="1"/>
  <c r="N6" i="19" s="1"/>
  <c r="J40" i="19" a="1"/>
  <c r="J40" i="19" s="1"/>
  <c r="J8" i="19" a="1"/>
  <c r="J8" i="19" s="1"/>
  <c r="N25" i="19" a="1"/>
  <c r="N25" i="19" s="1"/>
  <c r="K41" i="19" a="1"/>
  <c r="K41" i="19" s="1"/>
  <c r="M41" i="19" s="1"/>
  <c r="J61" i="19" a="1"/>
  <c r="J61" i="19" s="1"/>
  <c r="J4" i="19" a="1"/>
  <c r="J4" i="19" s="1"/>
  <c r="O28" i="19" a="1"/>
  <c r="O28" i="19" s="1"/>
  <c r="N56" i="19" a="1"/>
  <c r="N56" i="19" s="1"/>
  <c r="N24" i="19" a="1"/>
  <c r="N24" i="19" s="1"/>
  <c r="K40" i="19" a="1"/>
  <c r="K40" i="19" s="1"/>
  <c r="M40" i="19" s="1"/>
  <c r="J60" i="19" a="1"/>
  <c r="J60" i="19" s="1"/>
  <c r="M20" i="19"/>
  <c r="N22" i="19" a="1"/>
  <c r="N22" i="19" s="1"/>
  <c r="K39" i="19" a="1"/>
  <c r="K39" i="19" s="1"/>
  <c r="M39" i="19" s="1"/>
  <c r="N21" i="19" a="1"/>
  <c r="N21" i="19" s="1"/>
  <c r="K38" i="19" a="1"/>
  <c r="K38" i="19" s="1"/>
  <c r="M38" i="19" s="1"/>
  <c r="M19" i="19"/>
  <c r="O25" i="19" a="1"/>
  <c r="O25" i="19" s="1"/>
  <c r="N53" i="19" a="1"/>
  <c r="N53" i="19" s="1"/>
  <c r="N20" i="19" a="1"/>
  <c r="N20" i="19" s="1"/>
  <c r="K37" i="19" a="1"/>
  <c r="K37" i="19" s="1"/>
  <c r="M37" i="19" s="1"/>
  <c r="O24" i="19" a="1"/>
  <c r="O24" i="19" s="1"/>
  <c r="N52" i="19" a="1"/>
  <c r="N52" i="19" s="1"/>
  <c r="N19" i="19" a="1"/>
  <c r="N19" i="19" s="1"/>
  <c r="M34" i="19"/>
  <c r="M2" i="19"/>
  <c r="M5" i="19"/>
  <c r="M33" i="19"/>
  <c r="M35" i="19"/>
  <c r="M31" i="19"/>
  <c r="M30" i="19"/>
  <c r="M4" i="19"/>
  <c r="M61" i="19"/>
  <c r="M29" i="19"/>
  <c r="M60" i="19"/>
  <c r="M28" i="19"/>
  <c r="M27" i="19"/>
  <c r="M25" i="19"/>
  <c r="M26" i="19"/>
  <c r="M56" i="19"/>
  <c r="M54" i="19"/>
  <c r="M50" i="19"/>
  <c r="M18" i="19"/>
  <c r="M53" i="19"/>
  <c r="M49" i="19"/>
  <c r="M48" i="19"/>
  <c r="M16" i="19"/>
  <c r="M52" i="19"/>
  <c r="M47" i="19"/>
  <c r="M14" i="19"/>
  <c r="M51" i="19"/>
  <c r="M45" i="19"/>
  <c r="M13" i="19"/>
  <c r="J3" i="19" a="1"/>
  <c r="J3" i="19" s="1"/>
  <c r="J2" i="19" a="1"/>
  <c r="J2" i="19" s="1"/>
  <c r="J33" i="19" a="1"/>
  <c r="J33" i="19" s="1"/>
  <c r="J17" i="19" a="1"/>
  <c r="J17" i="19" s="1"/>
  <c r="J16" i="19" a="1"/>
  <c r="J16" i="19" s="1"/>
  <c r="K3" i="19" a="1"/>
  <c r="K3" i="19" s="1"/>
  <c r="M3" i="19" s="1"/>
  <c r="J45" i="19" a="1"/>
  <c r="J45" i="19" s="1"/>
  <c r="J29" i="19" a="1"/>
  <c r="J29" i="19" s="1"/>
  <c r="J13" i="19" a="1"/>
  <c r="J13" i="19" s="1"/>
  <c r="K15" i="19" a="1"/>
  <c r="K15" i="19" s="1"/>
  <c r="M15" i="19" s="1"/>
  <c r="K46" i="19" a="1"/>
  <c r="K46" i="19" s="1"/>
  <c r="M46" i="19" s="1"/>
  <c r="J26" i="19" a="1"/>
  <c r="J26" i="19" s="1"/>
  <c r="N23" i="19" a="1"/>
  <c r="N23" i="19" s="1"/>
  <c r="J9" i="19" a="1"/>
  <c r="J9" i="19" s="1"/>
  <c r="R135" i="18"/>
  <c r="U135" i="18" s="1"/>
  <c r="O115" i="18" a="1"/>
  <c r="O115" i="18" s="1"/>
  <c r="O83" i="18" a="1"/>
  <c r="O83" i="18" s="1"/>
  <c r="O48" i="18" a="1"/>
  <c r="O48" i="18" s="1"/>
  <c r="O6" i="18" a="1"/>
  <c r="O6" i="18" s="1"/>
  <c r="O33" i="18" a="1"/>
  <c r="O33" i="18" s="1"/>
  <c r="O114" i="18" a="1"/>
  <c r="O114" i="18" s="1"/>
  <c r="O82" i="18" a="1"/>
  <c r="O82" i="18" s="1"/>
  <c r="O5" i="18" a="1"/>
  <c r="O5" i="18" s="1"/>
  <c r="O80" i="18" a="1"/>
  <c r="O80" i="18" s="1"/>
  <c r="O46" i="18" a="1"/>
  <c r="O46" i="18" s="1"/>
  <c r="R68" i="18"/>
  <c r="U68" i="18" s="1"/>
  <c r="O144" i="18" a="1"/>
  <c r="O144" i="18" s="1"/>
  <c r="O112" i="18" a="1"/>
  <c r="O112" i="18" s="1"/>
  <c r="O79" i="18" a="1"/>
  <c r="O79" i="18" s="1"/>
  <c r="O45" i="18" a="1"/>
  <c r="O45" i="18" s="1"/>
  <c r="O81" i="18" a="1"/>
  <c r="O81" i="18" s="1"/>
  <c r="O18" i="18" a="1"/>
  <c r="O18" i="18" s="1"/>
  <c r="O142" i="18" a="1"/>
  <c r="O142" i="18" s="1"/>
  <c r="O110" i="18" a="1"/>
  <c r="O110" i="18" s="1"/>
  <c r="O77" i="18" a="1"/>
  <c r="O77" i="18" s="1"/>
  <c r="O43" i="18" a="1"/>
  <c r="O43" i="18" s="1"/>
  <c r="O141" i="18" a="1"/>
  <c r="O141" i="18" s="1"/>
  <c r="O109" i="18" a="1"/>
  <c r="O109" i="18" s="1"/>
  <c r="O76" i="18" a="1"/>
  <c r="O76" i="18" s="1"/>
  <c r="O42" i="18" a="1"/>
  <c r="O42" i="18" s="1"/>
  <c r="O140" i="18" a="1"/>
  <c r="O140" i="18" s="1"/>
  <c r="O108" i="18" a="1"/>
  <c r="O108" i="18" s="1"/>
  <c r="O75" i="18" a="1"/>
  <c r="O75" i="18" s="1"/>
  <c r="O41" i="18" a="1"/>
  <c r="O41" i="18" s="1"/>
  <c r="O139" i="18" a="1"/>
  <c r="O139" i="18" s="1"/>
  <c r="O107" i="18" a="1"/>
  <c r="O107" i="18" s="1"/>
  <c r="O74" i="18" a="1"/>
  <c r="O74" i="18" s="1"/>
  <c r="O40" i="18" a="1"/>
  <c r="O40" i="18" s="1"/>
  <c r="O138" i="18" a="1"/>
  <c r="O138" i="18" s="1"/>
  <c r="O106" i="18" a="1"/>
  <c r="O106" i="18" s="1"/>
  <c r="O73" i="18" a="1"/>
  <c r="O73" i="18" s="1"/>
  <c r="O39" i="18" a="1"/>
  <c r="O39" i="18" s="1"/>
  <c r="O137" i="18" a="1"/>
  <c r="O137" i="18" s="1"/>
  <c r="O105" i="18" a="1"/>
  <c r="O105" i="18" s="1"/>
  <c r="O72" i="18" a="1"/>
  <c r="O72" i="18" s="1"/>
  <c r="O136" i="18" a="1"/>
  <c r="O136" i="18" s="1"/>
  <c r="O104" i="18" a="1"/>
  <c r="O104" i="18" s="1"/>
  <c r="O71" i="18" a="1"/>
  <c r="O71" i="18" s="1"/>
  <c r="O37" i="18" a="1"/>
  <c r="O37" i="18" s="1"/>
  <c r="O135" i="18" a="1"/>
  <c r="O135" i="18" s="1"/>
  <c r="O103" i="18" a="1"/>
  <c r="O103" i="18" s="1"/>
  <c r="O70" i="18" a="1"/>
  <c r="O70" i="18" s="1"/>
  <c r="O36" i="18" a="1"/>
  <c r="O36" i="18" s="1"/>
  <c r="O134" i="18" a="1"/>
  <c r="O134" i="18" s="1"/>
  <c r="O102" i="18" a="1"/>
  <c r="O102" i="18" s="1"/>
  <c r="O69" i="18" a="1"/>
  <c r="O69" i="18" s="1"/>
  <c r="O35" i="18" a="1"/>
  <c r="O35" i="18" s="1"/>
  <c r="O133" i="18" a="1"/>
  <c r="O133" i="18" s="1"/>
  <c r="O101" i="18" a="1"/>
  <c r="O101" i="18" s="1"/>
  <c r="O68" i="18" a="1"/>
  <c r="O68" i="18" s="1"/>
  <c r="P78" i="18" a="1"/>
  <c r="P78" i="18" s="1"/>
  <c r="P46" i="18" a="1"/>
  <c r="P46" i="18" s="1"/>
  <c r="P14" i="18" a="1"/>
  <c r="P14" i="18" s="1"/>
  <c r="O132" i="18" a="1"/>
  <c r="O132" i="18" s="1"/>
  <c r="O100" i="18" a="1"/>
  <c r="O100" i="18" s="1"/>
  <c r="O67" i="18" a="1"/>
  <c r="O67" i="18" s="1"/>
  <c r="R151" i="18"/>
  <c r="U151" i="18" s="1"/>
  <c r="R87" i="18"/>
  <c r="U87" i="18" s="1"/>
  <c r="R55" i="18"/>
  <c r="U55" i="18" s="1"/>
  <c r="O131" i="18" a="1"/>
  <c r="O131" i="18" s="1"/>
  <c r="O99" i="18" a="1"/>
  <c r="O99" i="18" s="1"/>
  <c r="O66" i="18" a="1"/>
  <c r="O66" i="18" s="1"/>
  <c r="O31" i="18" a="1"/>
  <c r="O31" i="18" s="1"/>
  <c r="O17" i="18" a="1"/>
  <c r="O17" i="18" s="1"/>
  <c r="O130" i="18" a="1"/>
  <c r="O130" i="18" s="1"/>
  <c r="O98" i="18" a="1"/>
  <c r="O98" i="18" s="1"/>
  <c r="O64" i="18" a="1"/>
  <c r="O64" i="18" s="1"/>
  <c r="O30" i="18" a="1"/>
  <c r="O30" i="18" s="1"/>
  <c r="O63" i="18" a="1"/>
  <c r="O63" i="18" s="1"/>
  <c r="O29" i="18" a="1"/>
  <c r="O29" i="18" s="1"/>
  <c r="R84" i="18"/>
  <c r="U84" i="18" s="1"/>
  <c r="R20" i="18"/>
  <c r="U20" i="18" s="1"/>
  <c r="O96" i="18" a="1"/>
  <c r="O96" i="18" s="1"/>
  <c r="O62" i="18" a="1"/>
  <c r="O62" i="18" s="1"/>
  <c r="O28" i="18" a="1"/>
  <c r="O28" i="18" s="1"/>
  <c r="O61" i="18" a="1"/>
  <c r="O61" i="18" s="1"/>
  <c r="O27" i="18" a="1"/>
  <c r="O27" i="18" s="1"/>
  <c r="O2" i="18" a="1"/>
  <c r="O2" i="18" s="1"/>
  <c r="O126" i="18" a="1"/>
  <c r="O126" i="18" s="1"/>
  <c r="O94" i="18" a="1"/>
  <c r="O94" i="18" s="1"/>
  <c r="O60" i="18" a="1"/>
  <c r="O60" i="18" s="1"/>
  <c r="O24" i="18" a="1"/>
  <c r="O24" i="18" s="1"/>
  <c r="P39" i="18" a="1"/>
  <c r="P39" i="18" s="1"/>
  <c r="R39" i="18" s="1"/>
  <c r="U39" i="18" s="1"/>
  <c r="P7" i="18" a="1"/>
  <c r="P7" i="18" s="1"/>
  <c r="R7" i="18" s="1"/>
  <c r="U7" i="18" s="1"/>
  <c r="O93" i="18" a="1"/>
  <c r="O93" i="18" s="1"/>
  <c r="O59" i="18" a="1"/>
  <c r="O59" i="18" s="1"/>
  <c r="O23" i="18" a="1"/>
  <c r="O23" i="18" s="1"/>
  <c r="O124" i="18" a="1"/>
  <c r="O124" i="18" s="1"/>
  <c r="O92" i="18" a="1"/>
  <c r="O92" i="18" s="1"/>
  <c r="O58" i="18" a="1"/>
  <c r="O58" i="18" s="1"/>
  <c r="O22" i="18" a="1"/>
  <c r="O22" i="18" s="1"/>
  <c r="O123" i="18" a="1"/>
  <c r="O123" i="18" s="1"/>
  <c r="O91" i="18" a="1"/>
  <c r="O91" i="18" s="1"/>
  <c r="O57" i="18" a="1"/>
  <c r="O57" i="18" s="1"/>
  <c r="O21" i="18" a="1"/>
  <c r="O21" i="18" s="1"/>
  <c r="P4" i="18" a="1"/>
  <c r="P4" i="18" s="1"/>
  <c r="R4" i="18" s="1"/>
  <c r="U4" i="18" s="1"/>
  <c r="O122" i="18" a="1"/>
  <c r="O122" i="18" s="1"/>
  <c r="O90" i="18" a="1"/>
  <c r="O90" i="18" s="1"/>
  <c r="O56" i="18" a="1"/>
  <c r="O56" i="18" s="1"/>
  <c r="O20" i="18" a="1"/>
  <c r="O20" i="18" s="1"/>
  <c r="O121" i="18" a="1"/>
  <c r="O121" i="18" s="1"/>
  <c r="O89" i="18" a="1"/>
  <c r="O89" i="18" s="1"/>
  <c r="O55" i="18" a="1"/>
  <c r="O55" i="18" s="1"/>
  <c r="O16" i="18" a="1"/>
  <c r="O16" i="18" s="1"/>
  <c r="R12" i="18"/>
  <c r="U12" i="18" s="1"/>
  <c r="O120" i="18" a="1"/>
  <c r="O120" i="18" s="1"/>
  <c r="O88" i="18" a="1"/>
  <c r="O88" i="18" s="1"/>
  <c r="O54" i="18" a="1"/>
  <c r="O54" i="18" s="1"/>
  <c r="O15" i="18" a="1"/>
  <c r="O15" i="18" s="1"/>
  <c r="O49" i="18" a="1"/>
  <c r="O49" i="18" s="1"/>
  <c r="P33" i="18" a="1"/>
  <c r="P33" i="18" s="1"/>
  <c r="R33" i="18" s="1"/>
  <c r="U33" i="18" s="1"/>
  <c r="O151" i="18" a="1"/>
  <c r="O151" i="18" s="1"/>
  <c r="O119" i="18" a="1"/>
  <c r="O119" i="18" s="1"/>
  <c r="O87" i="18" a="1"/>
  <c r="O87" i="18" s="1"/>
  <c r="O53" i="18" a="1"/>
  <c r="O53" i="18" s="1"/>
  <c r="O118" i="18" a="1"/>
  <c r="O118" i="18" s="1"/>
  <c r="O86" i="18" a="1"/>
  <c r="O86" i="18" s="1"/>
  <c r="O52" i="18" a="1"/>
  <c r="O52" i="18" s="1"/>
  <c r="O149" i="18" a="1"/>
  <c r="O149" i="18" s="1"/>
  <c r="O117" i="18" a="1"/>
  <c r="O117" i="18" s="1"/>
  <c r="O85" i="18" a="1"/>
  <c r="O85" i="18" s="1"/>
  <c r="O51" i="18" a="1"/>
  <c r="O51" i="18" s="1"/>
  <c r="O8" i="18" a="1"/>
  <c r="O8" i="18" s="1"/>
  <c r="O148" i="18" a="1"/>
  <c r="O148" i="18" s="1"/>
  <c r="O84" i="18" a="1"/>
  <c r="O84" i="18" s="1"/>
  <c r="R122" i="18"/>
  <c r="U122" i="18" s="1"/>
  <c r="R92" i="18"/>
  <c r="U92" i="18" s="1"/>
  <c r="R64" i="18"/>
  <c r="U64" i="18" s="1"/>
  <c r="R8" i="18"/>
  <c r="U8" i="18" s="1"/>
  <c r="R121" i="18"/>
  <c r="U121" i="18" s="1"/>
  <c r="R91" i="18"/>
  <c r="U91" i="18" s="1"/>
  <c r="R63" i="18"/>
  <c r="U63" i="18" s="1"/>
  <c r="R35" i="18"/>
  <c r="U35" i="18" s="1"/>
  <c r="R120" i="18"/>
  <c r="U120" i="18" s="1"/>
  <c r="R90" i="18"/>
  <c r="U90" i="18" s="1"/>
  <c r="R62" i="18"/>
  <c r="U62" i="18" s="1"/>
  <c r="R34" i="18"/>
  <c r="U34" i="18" s="1"/>
  <c r="R149" i="18"/>
  <c r="U149" i="18" s="1"/>
  <c r="R88" i="18"/>
  <c r="U88" i="18" s="1"/>
  <c r="R60" i="18"/>
  <c r="U60" i="18" s="1"/>
  <c r="R32" i="18"/>
  <c r="U32" i="18"/>
  <c r="R5" i="18"/>
  <c r="U5" i="18" s="1"/>
  <c r="R123" i="18"/>
  <c r="U123" i="18" s="1"/>
  <c r="R6" i="18"/>
  <c r="U6" i="18" s="1"/>
  <c r="R148" i="18"/>
  <c r="U148" i="18" s="1"/>
  <c r="R118" i="18"/>
  <c r="U118" i="18" s="1"/>
  <c r="R59" i="18"/>
  <c r="U59" i="18" s="1"/>
  <c r="R31" i="18"/>
  <c r="U31" i="18" s="1"/>
  <c r="R93" i="18"/>
  <c r="U93" i="18" s="1"/>
  <c r="R147" i="18"/>
  <c r="U147" i="18" s="1"/>
  <c r="R117" i="18"/>
  <c r="U117" i="18" s="1"/>
  <c r="R58" i="18"/>
  <c r="U58" i="18" s="1"/>
  <c r="R30" i="18"/>
  <c r="U30" i="18" s="1"/>
  <c r="R61" i="18"/>
  <c r="U61" i="18"/>
  <c r="R146" i="18"/>
  <c r="U146" i="18" s="1"/>
  <c r="R116" i="18"/>
  <c r="U116" i="18" s="1"/>
  <c r="R86" i="18"/>
  <c r="U86" i="18" s="1"/>
  <c r="R57" i="18"/>
  <c r="U57" i="18" s="1"/>
  <c r="R29" i="18"/>
  <c r="U29" i="18" s="1"/>
  <c r="R3" i="18"/>
  <c r="U3" i="18" s="1"/>
  <c r="R65" i="18"/>
  <c r="U65" i="18" s="1"/>
  <c r="R145" i="18"/>
  <c r="U145" i="18" s="1"/>
  <c r="R115" i="18"/>
  <c r="U115" i="18" s="1"/>
  <c r="R85" i="18"/>
  <c r="U85" i="18" s="1"/>
  <c r="R56" i="18"/>
  <c r="U56" i="18" s="1"/>
  <c r="R28" i="18"/>
  <c r="U28" i="18" s="1"/>
  <c r="R2" i="18"/>
  <c r="U2" i="18" s="1"/>
  <c r="R9" i="18"/>
  <c r="U9" i="18" s="1"/>
  <c r="R89" i="18"/>
  <c r="U89" i="18" s="1"/>
  <c r="R144" i="18"/>
  <c r="U144" i="18" s="1"/>
  <c r="R114" i="18"/>
  <c r="U114" i="18" s="1"/>
  <c r="R27" i="18"/>
  <c r="U27" i="18" s="1"/>
  <c r="R150" i="18"/>
  <c r="U150" i="18" s="1"/>
  <c r="R143" i="18"/>
  <c r="U143" i="18" s="1"/>
  <c r="R113" i="18"/>
  <c r="U113" i="18" s="1"/>
  <c r="U26" i="18"/>
  <c r="R26" i="18"/>
  <c r="R142" i="18"/>
  <c r="U142" i="18" s="1"/>
  <c r="R112" i="18"/>
  <c r="U112" i="18" s="1"/>
  <c r="R83" i="18"/>
  <c r="U83" i="18" s="1"/>
  <c r="U54" i="18"/>
  <c r="R54" i="18"/>
  <c r="R25" i="18"/>
  <c r="U25" i="18" s="1"/>
  <c r="R141" i="18"/>
  <c r="U141" i="18" s="1"/>
  <c r="R111" i="18"/>
  <c r="U111" i="18" s="1"/>
  <c r="R82" i="18"/>
  <c r="U82" i="18" s="1"/>
  <c r="R53" i="18"/>
  <c r="U53" i="18" s="1"/>
  <c r="R24" i="18"/>
  <c r="U24" i="18" s="1"/>
  <c r="R140" i="18"/>
  <c r="U140" i="18"/>
  <c r="R110" i="18"/>
  <c r="U110" i="18" s="1"/>
  <c r="R81" i="18"/>
  <c r="U81" i="18" s="1"/>
  <c r="R139" i="18"/>
  <c r="U139" i="18" s="1"/>
  <c r="R109" i="18"/>
  <c r="U109" i="18" s="1"/>
  <c r="R80" i="18"/>
  <c r="U80" i="18" s="1"/>
  <c r="R138" i="18"/>
  <c r="U138" i="18"/>
  <c r="R108" i="18"/>
  <c r="U108" i="18"/>
  <c r="R79" i="18"/>
  <c r="U79" i="18" s="1"/>
  <c r="R51" i="18"/>
  <c r="U51" i="18" s="1"/>
  <c r="R22" i="18"/>
  <c r="U22" i="18" s="1"/>
  <c r="R137" i="18"/>
  <c r="U137" i="18" s="1"/>
  <c r="R107" i="18"/>
  <c r="U107" i="18" s="1"/>
  <c r="R78" i="18"/>
  <c r="U78" i="18" s="1"/>
  <c r="R50" i="18"/>
  <c r="U50" i="18" s="1"/>
  <c r="R21" i="18"/>
  <c r="U21" i="18" s="1"/>
  <c r="R136" i="18"/>
  <c r="U136" i="18" s="1"/>
  <c r="R106" i="18"/>
  <c r="U106" i="18" s="1"/>
  <c r="R77" i="18"/>
  <c r="U77" i="18" s="1"/>
  <c r="R49" i="18"/>
  <c r="U49" i="18" s="1"/>
  <c r="R105" i="18"/>
  <c r="U105" i="18" s="1"/>
  <c r="R76" i="18"/>
  <c r="U76" i="18" s="1"/>
  <c r="R48" i="18"/>
  <c r="U48" i="18" s="1"/>
  <c r="R47" i="18"/>
  <c r="U47" i="18" s="1"/>
  <c r="R134" i="18"/>
  <c r="U134" i="18" s="1"/>
  <c r="R74" i="18"/>
  <c r="U74" i="18"/>
  <c r="R46" i="18"/>
  <c r="U46" i="18" s="1"/>
  <c r="R18" i="18"/>
  <c r="U18" i="18" s="1"/>
  <c r="R133" i="18"/>
  <c r="U133" i="18" s="1"/>
  <c r="R73" i="18"/>
  <c r="U73" i="18" s="1"/>
  <c r="R45" i="18"/>
  <c r="U45" i="18" s="1"/>
  <c r="R17" i="18"/>
  <c r="U17" i="18" s="1"/>
  <c r="R132" i="18"/>
  <c r="U132" i="18"/>
  <c r="R102" i="18"/>
  <c r="U102" i="18"/>
  <c r="R72" i="18"/>
  <c r="U72" i="18" s="1"/>
  <c r="R44" i="18"/>
  <c r="U44" i="18"/>
  <c r="R16" i="18"/>
  <c r="U16" i="18" s="1"/>
  <c r="R75" i="18"/>
  <c r="U75" i="18" s="1"/>
  <c r="R131" i="18"/>
  <c r="U131" i="18"/>
  <c r="R101" i="18"/>
  <c r="U101" i="18" s="1"/>
  <c r="R43" i="18"/>
  <c r="U43" i="18" s="1"/>
  <c r="U15" i="18"/>
  <c r="R130" i="18"/>
  <c r="U130" i="18" s="1"/>
  <c r="R100" i="18"/>
  <c r="U100" i="18" s="1"/>
  <c r="R42" i="18"/>
  <c r="U42" i="18" s="1"/>
  <c r="R129" i="18"/>
  <c r="U129" i="18"/>
  <c r="R99" i="18"/>
  <c r="U99" i="18" s="1"/>
  <c r="R70" i="18"/>
  <c r="U70" i="18" s="1"/>
  <c r="R41" i="18"/>
  <c r="U41" i="18" s="1"/>
  <c r="R14" i="18"/>
  <c r="U14" i="18" s="1"/>
  <c r="R104" i="18"/>
  <c r="U104" i="18" s="1"/>
  <c r="R98" i="18"/>
  <c r="U98" i="18" s="1"/>
  <c r="R127" i="18"/>
  <c r="U127" i="18" s="1"/>
  <c r="R97" i="18"/>
  <c r="U97" i="18" s="1"/>
  <c r="R128" i="18"/>
  <c r="U128" i="18" s="1"/>
  <c r="R69" i="18"/>
  <c r="U69" i="18" s="1"/>
  <c r="R40" i="18"/>
  <c r="U40" i="18" s="1"/>
  <c r="R13" i="18"/>
  <c r="U13" i="18" s="1"/>
  <c r="R126" i="18"/>
  <c r="U126" i="18" s="1"/>
  <c r="R96" i="18"/>
  <c r="U96" i="18" s="1"/>
  <c r="R125" i="18"/>
  <c r="U125" i="18" s="1"/>
  <c r="R95" i="18"/>
  <c r="U95" i="18" s="1"/>
  <c r="R67" i="18"/>
  <c r="U67" i="18" s="1"/>
  <c r="R38" i="18"/>
  <c r="U38" i="18" s="1"/>
  <c r="R11" i="18"/>
  <c r="U11" i="18" s="1"/>
  <c r="R19" i="18"/>
  <c r="U19" i="18" s="1"/>
  <c r="R124" i="18"/>
  <c r="U124" i="18" s="1"/>
  <c r="R94" i="18"/>
  <c r="U94" i="18" s="1"/>
  <c r="R66" i="18"/>
  <c r="U66" i="18" s="1"/>
  <c r="R37" i="18"/>
  <c r="U37" i="18" s="1"/>
  <c r="R10" i="18"/>
  <c r="U10" i="18" s="1"/>
  <c r="O65" i="18" a="1"/>
  <c r="O65" i="18" s="1"/>
  <c r="O12" i="18" a="1"/>
  <c r="O12" i="18" s="1"/>
  <c r="O11" i="18" a="1"/>
  <c r="O11" i="18" s="1"/>
  <c r="O26" i="18" a="1"/>
  <c r="O26" i="18" s="1"/>
  <c r="O10" i="18" a="1"/>
  <c r="O10" i="18" s="1"/>
  <c r="O9" i="18" a="1"/>
  <c r="O9" i="18" s="1"/>
  <c r="O25" i="18" a="1"/>
  <c r="O25" i="18" s="1"/>
  <c r="O4" i="18" a="1"/>
  <c r="O4" i="18" s="1"/>
  <c r="O3" i="18" a="1"/>
  <c r="O3" i="18" s="1"/>
  <c r="O19" i="18" a="1"/>
  <c r="O19" i="18" s="1"/>
  <c r="Y170" i="17"/>
  <c r="Y143" i="17"/>
  <c r="Q143" i="17" s="1"/>
  <c r="W143" i="17" s="1"/>
  <c r="Y61" i="17"/>
  <c r="O34" i="17" a="1"/>
  <c r="O34" i="17" s="1"/>
  <c r="O5" i="17" a="1"/>
  <c r="O5" i="17" s="1"/>
  <c r="Q5" i="17" s="1"/>
  <c r="W5" i="17" s="1"/>
  <c r="N147" i="17" a="1"/>
  <c r="N147" i="17" s="1"/>
  <c r="N139" i="17" a="1"/>
  <c r="N139" i="17" s="1"/>
  <c r="N169" i="17" a="1"/>
  <c r="N169" i="17" s="1"/>
  <c r="O4" i="17" a="1"/>
  <c r="O4" i="17" s="1"/>
  <c r="N146" i="17" a="1"/>
  <c r="N146" i="17" s="1"/>
  <c r="N83" i="17" a="1"/>
  <c r="N83" i="17" s="1"/>
  <c r="Y146" i="17"/>
  <c r="Y32" i="17"/>
  <c r="Y141" i="17"/>
  <c r="Y4" i="17"/>
  <c r="O60" i="17" a="1"/>
  <c r="O60" i="17" s="1"/>
  <c r="Q60" i="17" s="1"/>
  <c r="W60" i="17" s="1"/>
  <c r="O32" i="17" a="1"/>
  <c r="O32" i="17" s="1"/>
  <c r="O3" i="17" a="1"/>
  <c r="O3" i="17" s="1"/>
  <c r="O59" i="17" a="1"/>
  <c r="O59" i="17" s="1"/>
  <c r="O186" i="17" a="1"/>
  <c r="O186" i="17" s="1"/>
  <c r="N211" i="17" a="1"/>
  <c r="N211" i="17" s="1"/>
  <c r="N144" i="17" a="1"/>
  <c r="N144" i="17" s="1"/>
  <c r="Y57" i="17"/>
  <c r="O31" i="17" a="1"/>
  <c r="O31" i="17" s="1"/>
  <c r="N181" i="17" a="1"/>
  <c r="N181" i="17" s="1"/>
  <c r="N143" i="17" a="1"/>
  <c r="N143" i="17" s="1"/>
  <c r="Y9" i="17"/>
  <c r="Q168" i="17"/>
  <c r="W168" i="17" s="1"/>
  <c r="Y166" i="17"/>
  <c r="Y56" i="17"/>
  <c r="Q56" i="17" s="1"/>
  <c r="W56" i="17" s="1"/>
  <c r="Y29" i="17"/>
  <c r="Q29" i="17" s="1"/>
  <c r="W29" i="17" s="1"/>
  <c r="N179" i="17" a="1"/>
  <c r="N179" i="17" s="1"/>
  <c r="N204" i="17" a="1"/>
  <c r="N204" i="17" s="1"/>
  <c r="N107" i="17" a="1"/>
  <c r="N107" i="17" s="1"/>
  <c r="Q165" i="17"/>
  <c r="W165" i="17" s="1"/>
  <c r="O109" i="17" a="1"/>
  <c r="O109" i="17" s="1"/>
  <c r="Q109" i="17" s="1"/>
  <c r="W109" i="17" s="1"/>
  <c r="O190" i="17" a="1"/>
  <c r="O190" i="17" s="1"/>
  <c r="O30" i="17" a="1"/>
  <c r="O30" i="17" s="1"/>
  <c r="Q30" i="17" s="1"/>
  <c r="W30" i="17" s="1"/>
  <c r="N51" i="17" a="1"/>
  <c r="N51" i="17" s="1"/>
  <c r="N136" i="17" a="1"/>
  <c r="N136" i="17" s="1"/>
  <c r="N160" i="17" a="1"/>
  <c r="N160" i="17" s="1"/>
  <c r="N50" i="17" a="1"/>
  <c r="N50" i="17" s="1"/>
  <c r="Y54" i="17"/>
  <c r="O54" i="17" a="1"/>
  <c r="O54" i="17" s="1"/>
  <c r="O27" i="17" a="1"/>
  <c r="O27" i="17" s="1"/>
  <c r="N210" i="17" a="1"/>
  <c r="N210" i="17" s="1"/>
  <c r="N135" i="17" a="1"/>
  <c r="N135" i="17" s="1"/>
  <c r="Y26" i="17"/>
  <c r="Y108" i="17"/>
  <c r="Q80" i="17"/>
  <c r="W80" i="17" s="1"/>
  <c r="O185" i="17" a="1"/>
  <c r="O185" i="17" s="1"/>
  <c r="N134" i="17" a="1"/>
  <c r="N134" i="17" s="1"/>
  <c r="N76" i="17" a="1"/>
  <c r="N76" i="17" s="1"/>
  <c r="N49" i="17" a="1"/>
  <c r="N49" i="17" s="1"/>
  <c r="Q204" i="17"/>
  <c r="W204" i="17" s="1"/>
  <c r="Y25" i="17"/>
  <c r="O53" i="17" a="1"/>
  <c r="O53" i="17" s="1"/>
  <c r="O25" i="17" a="1"/>
  <c r="O25" i="17" s="1"/>
  <c r="N175" i="17" a="1"/>
  <c r="N175" i="17" s="1"/>
  <c r="Y208" i="17"/>
  <c r="Q208" i="17" s="1"/>
  <c r="W208" i="17" s="1"/>
  <c r="O52" i="17" a="1"/>
  <c r="O52" i="17" s="1"/>
  <c r="N174" i="17" a="1"/>
  <c r="N174" i="17" s="1"/>
  <c r="N132" i="17" a="1"/>
  <c r="N132" i="17" s="1"/>
  <c r="Y161" i="17"/>
  <c r="Y106" i="17"/>
  <c r="Q133" i="17"/>
  <c r="W133" i="17" s="1"/>
  <c r="Y23" i="17"/>
  <c r="O150" i="17" a="1"/>
  <c r="O150" i="17" s="1"/>
  <c r="Q150" i="17" s="1"/>
  <c r="W150" i="17" s="1"/>
  <c r="O51" i="17" a="1"/>
  <c r="O51" i="17" s="1"/>
  <c r="O24" i="17" a="1"/>
  <c r="O24" i="17" s="1"/>
  <c r="Q24" i="17" s="1"/>
  <c r="W24" i="17" s="1"/>
  <c r="N131" i="17" a="1"/>
  <c r="N131" i="17" s="1"/>
  <c r="N172" i="17" a="1"/>
  <c r="N172" i="17" s="1"/>
  <c r="N127" i="17" a="1"/>
  <c r="N127" i="17" s="1"/>
  <c r="N202" i="17" a="1"/>
  <c r="N202" i="17" s="1"/>
  <c r="N100" i="17" a="1"/>
  <c r="N100" i="17" s="1"/>
  <c r="Y158" i="17"/>
  <c r="Y76" i="17"/>
  <c r="Y49" i="17"/>
  <c r="Q49" i="17" s="1"/>
  <c r="W49" i="17" s="1"/>
  <c r="O20" i="17" a="1"/>
  <c r="O20" i="17" s="1"/>
  <c r="Q20" i="17" s="1"/>
  <c r="W20" i="17" s="1"/>
  <c r="N171" i="17" a="1"/>
  <c r="N171" i="17" s="1"/>
  <c r="N125" i="17" a="1"/>
  <c r="N125" i="17" s="1"/>
  <c r="Y122" i="17"/>
  <c r="Q104" i="17"/>
  <c r="W104" i="17" s="1"/>
  <c r="Y130" i="17"/>
  <c r="O171" i="17" a="1"/>
  <c r="O171" i="17" s="1"/>
  <c r="O147" i="17" a="1"/>
  <c r="O147" i="17" s="1"/>
  <c r="O126" i="17" a="1"/>
  <c r="O126" i="17" s="1"/>
  <c r="Q126" i="17" s="1"/>
  <c r="W126" i="17" s="1"/>
  <c r="O103" i="17" a="1"/>
  <c r="O103" i="17" s="1"/>
  <c r="O76" i="17" a="1"/>
  <c r="O76" i="17" s="1"/>
  <c r="N170" i="17" a="1"/>
  <c r="N170" i="17" s="1"/>
  <c r="Q153" i="17"/>
  <c r="W153" i="17" s="1"/>
  <c r="Y74" i="17"/>
  <c r="Q74" i="17" s="1"/>
  <c r="W74" i="17" s="1"/>
  <c r="Y184" i="17"/>
  <c r="Q184" i="17" s="1"/>
  <c r="W184" i="17" s="1"/>
  <c r="O48" i="17" a="1"/>
  <c r="O48" i="17" s="1"/>
  <c r="Q48" i="17" s="1"/>
  <c r="W48" i="17" s="1"/>
  <c r="N168" i="17" a="1"/>
  <c r="N168" i="17" s="1"/>
  <c r="N201" i="17" a="1"/>
  <c r="N201" i="17" s="1"/>
  <c r="Q193" i="17"/>
  <c r="W193" i="17" s="1"/>
  <c r="Q19" i="17"/>
  <c r="W19" i="17" s="1"/>
  <c r="O74" i="17" a="1"/>
  <c r="O74" i="17" s="1"/>
  <c r="O47" i="17" a="1"/>
  <c r="O47" i="17" s="1"/>
  <c r="Q47" i="17" s="1"/>
  <c r="W47" i="17" s="1"/>
  <c r="O19" i="17" a="1"/>
  <c r="O19" i="17" s="1"/>
  <c r="O18" i="17" a="1"/>
  <c r="O18" i="17" s="1"/>
  <c r="N165" i="17" a="1"/>
  <c r="N165" i="17" s="1"/>
  <c r="N114" i="17" a="1"/>
  <c r="N114" i="17" s="1"/>
  <c r="Q127" i="17"/>
  <c r="W127" i="17" s="1"/>
  <c r="Y44" i="17"/>
  <c r="Q44" i="17" s="1"/>
  <c r="W44" i="17" s="1"/>
  <c r="O17" i="17" a="1"/>
  <c r="O17" i="17" s="1"/>
  <c r="N113" i="17" a="1"/>
  <c r="N113" i="17" s="1"/>
  <c r="N95" i="17" a="1"/>
  <c r="N95" i="17" s="1"/>
  <c r="Y181" i="17"/>
  <c r="Q181" i="17" s="1"/>
  <c r="W181" i="17" s="1"/>
  <c r="O16" i="17" a="1"/>
  <c r="O16" i="17" s="1"/>
  <c r="N164" i="17" a="1"/>
  <c r="N164" i="17" s="1"/>
  <c r="N199" i="17" a="1"/>
  <c r="N199" i="17" s="1"/>
  <c r="Y197" i="17"/>
  <c r="N148" i="17" a="1"/>
  <c r="N148" i="17" s="1"/>
  <c r="N121" i="17" a="1"/>
  <c r="N121" i="17" s="1"/>
  <c r="N86" i="17" a="1"/>
  <c r="N86" i="17" s="1"/>
  <c r="Y179" i="17"/>
  <c r="Q179" i="17" s="1"/>
  <c r="W179" i="17" s="1"/>
  <c r="Q14" i="17"/>
  <c r="W14" i="17" s="1"/>
  <c r="O96" i="17" a="1"/>
  <c r="O96" i="17" s="1"/>
  <c r="O43" i="17" a="1"/>
  <c r="O43" i="17" s="1"/>
  <c r="Q43" i="17" s="1"/>
  <c r="W43" i="17" s="1"/>
  <c r="Y96" i="17"/>
  <c r="Q96" i="17" s="1"/>
  <c r="W96" i="17" s="1"/>
  <c r="N161" i="17" a="1"/>
  <c r="N161" i="17" s="1"/>
  <c r="N102" i="17" a="1"/>
  <c r="N102" i="17" s="1"/>
  <c r="N37" i="17" a="1"/>
  <c r="N37" i="17" s="1"/>
  <c r="N159" i="17" a="1"/>
  <c r="N159" i="17" s="1"/>
  <c r="N99" i="17" a="1"/>
  <c r="N99" i="17" s="1"/>
  <c r="N36" i="17" a="1"/>
  <c r="N36" i="17" s="1"/>
  <c r="N191" i="17" a="1"/>
  <c r="N191" i="17" s="1"/>
  <c r="Y94" i="17"/>
  <c r="O13" i="17" a="1"/>
  <c r="O13" i="17" s="1"/>
  <c r="Q13" i="17" s="1"/>
  <c r="W13" i="17" s="1"/>
  <c r="N207" i="17" a="1"/>
  <c r="N207" i="17" s="1"/>
  <c r="N96" i="17" a="1"/>
  <c r="N96" i="17" s="1"/>
  <c r="N62" i="17" a="1"/>
  <c r="N62" i="17" s="1"/>
  <c r="O9" i="17" a="1"/>
  <c r="O9" i="17" s="1"/>
  <c r="Y151" i="17"/>
  <c r="Q151" i="17" s="1"/>
  <c r="W151" i="17" s="1"/>
  <c r="O40" i="17" a="1"/>
  <c r="O40" i="17" s="1"/>
  <c r="Q40" i="17" s="1"/>
  <c r="W40" i="17" s="1"/>
  <c r="O12" i="17" a="1"/>
  <c r="O12" i="17" s="1"/>
  <c r="N94" i="17" a="1"/>
  <c r="N94" i="17" s="1"/>
  <c r="Q175" i="17"/>
  <c r="W175" i="17" s="1"/>
  <c r="Q147" i="17"/>
  <c r="W147" i="17" s="1"/>
  <c r="Q92" i="17"/>
  <c r="W92" i="17" s="1"/>
  <c r="O39" i="17" a="1"/>
  <c r="O39" i="17" s="1"/>
  <c r="O10" i="17" a="1"/>
  <c r="O10" i="17" s="1"/>
  <c r="Q10" i="17" s="1"/>
  <c r="W10" i="17" s="1"/>
  <c r="N153" i="17" a="1"/>
  <c r="N153" i="17" s="1"/>
  <c r="N89" i="17" a="1"/>
  <c r="N89" i="17" s="1"/>
  <c r="Y119" i="17"/>
  <c r="O38" i="17" a="1"/>
  <c r="O38" i="17" s="1"/>
  <c r="Q38" i="17" s="1"/>
  <c r="W38" i="17" s="1"/>
  <c r="N152" i="17" a="1"/>
  <c r="N152" i="17" s="1"/>
  <c r="N81" i="17" a="1"/>
  <c r="N81" i="17" s="1"/>
  <c r="Q205" i="17"/>
  <c r="W205" i="17" s="1"/>
  <c r="Q63" i="17"/>
  <c r="W63" i="17" s="1"/>
  <c r="Q8" i="17"/>
  <c r="W8" i="17" s="1"/>
  <c r="O37" i="17" a="1"/>
  <c r="O37" i="17" s="1"/>
  <c r="Q37" i="17" s="1"/>
  <c r="W37" i="17" s="1"/>
  <c r="O182" i="17" a="1"/>
  <c r="O182" i="17" s="1"/>
  <c r="N206" i="17" a="1"/>
  <c r="N206" i="17" s="1"/>
  <c r="N60" i="17" a="1"/>
  <c r="N60" i="17" s="1"/>
  <c r="Q145" i="17"/>
  <c r="W145" i="17" s="1"/>
  <c r="Y117" i="17"/>
  <c r="Y90" i="17"/>
  <c r="O36" i="17" a="1"/>
  <c r="O36" i="17" s="1"/>
  <c r="O7" i="17" a="1"/>
  <c r="O7" i="17" s="1"/>
  <c r="Q7" i="17" s="1"/>
  <c r="W7" i="17" s="1"/>
  <c r="N151" i="17" a="1"/>
  <c r="N151" i="17" s="1"/>
  <c r="Y174" i="17"/>
  <c r="O63" i="17" a="1"/>
  <c r="O63" i="17" s="1"/>
  <c r="O6" i="17" a="1"/>
  <c r="O6" i="17" s="1"/>
  <c r="Q9" i="17"/>
  <c r="W9" i="17" s="1"/>
  <c r="Q34" i="17"/>
  <c r="W34" i="17" s="1"/>
  <c r="N84" i="17" a="1"/>
  <c r="N84" i="17" s="1"/>
  <c r="N56" i="17" a="1"/>
  <c r="N56" i="17" s="1"/>
  <c r="N29" i="17" a="1"/>
  <c r="N29" i="17" s="1"/>
  <c r="Y171" i="17"/>
  <c r="Q171" i="17" s="1"/>
  <c r="W171" i="17" s="1"/>
  <c r="Y101" i="17"/>
  <c r="O26" i="17" a="1"/>
  <c r="O26" i="17" s="1"/>
  <c r="N167" i="17" a="1"/>
  <c r="N167" i="17" s="1"/>
  <c r="N104" i="17" a="1"/>
  <c r="N104" i="17" s="1"/>
  <c r="N34" i="17" a="1"/>
  <c r="N34" i="17" s="1"/>
  <c r="N190" i="17" a="1"/>
  <c r="N190" i="17" s="1"/>
  <c r="N28" i="17" a="1"/>
  <c r="N28" i="17" s="1"/>
  <c r="Y73" i="17"/>
  <c r="Q73" i="17" s="1"/>
  <c r="W73" i="17" s="1"/>
  <c r="Y46" i="17"/>
  <c r="Q46" i="17" s="1"/>
  <c r="W46" i="17" s="1"/>
  <c r="N80" i="17" a="1"/>
  <c r="N80" i="17" s="1"/>
  <c r="N59" i="17" a="1"/>
  <c r="N59" i="17" s="1"/>
  <c r="N33" i="17" a="1"/>
  <c r="N33" i="17" s="1"/>
  <c r="N27" i="17" a="1"/>
  <c r="N27" i="17" s="1"/>
  <c r="N205" i="17" a="1"/>
  <c r="N205" i="17" s="1"/>
  <c r="N124" i="17" a="1"/>
  <c r="N124" i="17" s="1"/>
  <c r="N103" i="17" a="1"/>
  <c r="N103" i="17" s="1"/>
  <c r="N58" i="17" a="1"/>
  <c r="N58" i="17" s="1"/>
  <c r="N32" i="17" a="1"/>
  <c r="N32" i="17" s="1"/>
  <c r="N3" i="17" a="1"/>
  <c r="N3" i="17" s="1"/>
  <c r="Y129" i="17"/>
  <c r="Q129" i="17" s="1"/>
  <c r="W129" i="17" s="1"/>
  <c r="N123" i="17" a="1"/>
  <c r="N123" i="17" s="1"/>
  <c r="N194" i="17" a="1"/>
  <c r="N194" i="17" s="1"/>
  <c r="N55" i="17" a="1"/>
  <c r="N55" i="17" s="1"/>
  <c r="N186" i="17" a="1"/>
  <c r="N186" i="17" s="1"/>
  <c r="Y102" i="17"/>
  <c r="Q102" i="17" s="1"/>
  <c r="W102" i="17" s="1"/>
  <c r="Q70" i="17"/>
  <c r="W70" i="17" s="1"/>
  <c r="N79" i="17" a="1"/>
  <c r="N79" i="17" s="1"/>
  <c r="N54" i="17" a="1"/>
  <c r="N54" i="17" s="1"/>
  <c r="N31" i="17" a="1"/>
  <c r="N31" i="17" s="1"/>
  <c r="N4" i="17" a="1"/>
  <c r="N4" i="17" s="1"/>
  <c r="Y180" i="17"/>
  <c r="Q180" i="17" s="1"/>
  <c r="W180" i="17" s="1"/>
  <c r="N101" i="17" a="1"/>
  <c r="N101" i="17" s="1"/>
  <c r="N78" i="17" a="1"/>
  <c r="N78" i="17" s="1"/>
  <c r="N26" i="17" a="1"/>
  <c r="N26" i="17" s="1"/>
  <c r="N17" i="17" a="1"/>
  <c r="N17" i="17" s="1"/>
  <c r="Y45" i="17"/>
  <c r="Q45" i="17" s="1"/>
  <c r="W45" i="17" s="1"/>
  <c r="Y18" i="17"/>
  <c r="Q18" i="17" s="1"/>
  <c r="W18" i="17" s="1"/>
  <c r="N77" i="17" a="1"/>
  <c r="N77" i="17" s="1"/>
  <c r="N53" i="17" a="1"/>
  <c r="N53" i="17" s="1"/>
  <c r="N185" i="17" a="1"/>
  <c r="N185" i="17" s="1"/>
  <c r="N30" i="17" a="1"/>
  <c r="N30" i="17" s="1"/>
  <c r="Y152" i="17"/>
  <c r="Q152" i="17" s="1"/>
  <c r="W152" i="17" s="1"/>
  <c r="Q42" i="17"/>
  <c r="W42" i="17" s="1"/>
  <c r="Q122" i="17"/>
  <c r="W122" i="17" s="1"/>
  <c r="Y95" i="17"/>
  <c r="Q95" i="17" s="1"/>
  <c r="W95" i="17" s="1"/>
  <c r="Y192" i="17"/>
  <c r="Q192" i="17" s="1"/>
  <c r="W192" i="17" s="1"/>
  <c r="Y41" i="17"/>
  <c r="Q41" i="17" s="1"/>
  <c r="W41" i="17" s="1"/>
  <c r="Y17" i="17"/>
  <c r="Q17" i="17" s="1"/>
  <c r="W17" i="17" s="1"/>
  <c r="O23" i="17" a="1"/>
  <c r="O23" i="17" s="1"/>
  <c r="Q23" i="17" s="1"/>
  <c r="W23" i="17" s="1"/>
  <c r="N163" i="17" a="1"/>
  <c r="N163" i="17" s="1"/>
  <c r="N142" i="17" a="1"/>
  <c r="N142" i="17" s="1"/>
  <c r="Q69" i="17"/>
  <c r="W69" i="17" s="1"/>
  <c r="Y68" i="17"/>
  <c r="Q68" i="17" s="1"/>
  <c r="W68" i="17" s="1"/>
  <c r="N75" i="17" a="1"/>
  <c r="N75" i="17" s="1"/>
  <c r="N52" i="17" a="1"/>
  <c r="N52" i="17" s="1"/>
  <c r="N25" i="17" a="1"/>
  <c r="N25" i="17" s="1"/>
  <c r="N57" i="17" a="1"/>
  <c r="N57" i="17" s="1"/>
  <c r="Q125" i="17"/>
  <c r="W125" i="17" s="1"/>
  <c r="Q176" i="17"/>
  <c r="W176" i="17" s="1"/>
  <c r="Q94" i="17"/>
  <c r="W94" i="17" s="1"/>
  <c r="Y16" i="17"/>
  <c r="Q16" i="17" s="1"/>
  <c r="W16" i="17" s="1"/>
  <c r="Y210" i="17"/>
  <c r="Q210" i="17" s="1"/>
  <c r="W210" i="17" s="1"/>
  <c r="Q148" i="17"/>
  <c r="W148" i="17" s="1"/>
  <c r="Q121" i="17"/>
  <c r="W121" i="17" s="1"/>
  <c r="Y66" i="17"/>
  <c r="Q66" i="17" s="1"/>
  <c r="W66" i="17" s="1"/>
  <c r="Y39" i="17"/>
  <c r="N141" i="17" a="1"/>
  <c r="N141" i="17" s="1"/>
  <c r="N120" i="17" a="1"/>
  <c r="N120" i="17" s="1"/>
  <c r="N98" i="17" a="1"/>
  <c r="N98" i="17" s="1"/>
  <c r="N74" i="17" a="1"/>
  <c r="N74" i="17" s="1"/>
  <c r="Q155" i="17"/>
  <c r="W155" i="17" s="1"/>
  <c r="Q124" i="17"/>
  <c r="W124" i="17" s="1"/>
  <c r="Y123" i="17"/>
  <c r="Q123" i="17" s="1"/>
  <c r="W123" i="17" s="1"/>
  <c r="Q149" i="17"/>
  <c r="W149" i="17" s="1"/>
  <c r="Y67" i="17"/>
  <c r="Q67" i="17" s="1"/>
  <c r="W67" i="17" s="1"/>
  <c r="Y120" i="17"/>
  <c r="Q120" i="17" s="1"/>
  <c r="W120" i="17" s="1"/>
  <c r="O101" i="17" a="1"/>
  <c r="O101" i="17" s="1"/>
  <c r="O81" i="17" a="1"/>
  <c r="O81" i="17" s="1"/>
  <c r="O61" i="17" a="1"/>
  <c r="O61" i="17" s="1"/>
  <c r="Q61" i="17" s="1"/>
  <c r="W61" i="17" s="1"/>
  <c r="O21" i="17" a="1"/>
  <c r="O21" i="17" s="1"/>
  <c r="Q21" i="17" s="1"/>
  <c r="W21" i="17" s="1"/>
  <c r="N180" i="17" a="1"/>
  <c r="N180" i="17" s="1"/>
  <c r="N24" i="17" a="1"/>
  <c r="N24" i="17" s="1"/>
  <c r="N85" i="17" a="1"/>
  <c r="N85" i="17" s="1"/>
  <c r="Q197" i="17"/>
  <c r="W197" i="17" s="1"/>
  <c r="Q174" i="17"/>
  <c r="W174" i="17" s="1"/>
  <c r="Q146" i="17"/>
  <c r="W146" i="17" s="1"/>
  <c r="Q119" i="17"/>
  <c r="W119" i="17" s="1"/>
  <c r="Y196" i="17"/>
  <c r="Q196" i="17" s="1"/>
  <c r="W196" i="17" s="1"/>
  <c r="Q183" i="17"/>
  <c r="W183" i="17" s="1"/>
  <c r="N140" i="17" a="1"/>
  <c r="N140" i="17" s="1"/>
  <c r="N119" i="17" a="1"/>
  <c r="N119" i="17" s="1"/>
  <c r="N97" i="17" a="1"/>
  <c r="N97" i="17" s="1"/>
  <c r="N193" i="17" a="1"/>
  <c r="N193" i="17" s="1"/>
  <c r="Y154" i="17"/>
  <c r="Q154" i="17" s="1"/>
  <c r="W154" i="17" s="1"/>
  <c r="Q98" i="17"/>
  <c r="W98" i="17" s="1"/>
  <c r="Q97" i="17"/>
  <c r="W97" i="17" s="1"/>
  <c r="Q173" i="17"/>
  <c r="W173" i="17" s="1"/>
  <c r="N73" i="17" a="1"/>
  <c r="N73" i="17" s="1"/>
  <c r="N189" i="17" a="1"/>
  <c r="N189" i="17" s="1"/>
  <c r="N23" i="17" a="1"/>
  <c r="N23" i="17" s="1"/>
  <c r="N15" i="17" a="1"/>
  <c r="N15" i="17" s="1"/>
  <c r="Q206" i="17"/>
  <c r="W206" i="17" s="1"/>
  <c r="Y172" i="17"/>
  <c r="Q172" i="17" s="1"/>
  <c r="W172" i="17" s="1"/>
  <c r="Q117" i="17"/>
  <c r="W117" i="17" s="1"/>
  <c r="Q90" i="17"/>
  <c r="W90" i="17" s="1"/>
  <c r="Q62" i="17"/>
  <c r="W62" i="17" s="1"/>
  <c r="Q36" i="17"/>
  <c r="W36" i="17" s="1"/>
  <c r="Q12" i="17"/>
  <c r="W12" i="17" s="1"/>
  <c r="N178" i="17" a="1"/>
  <c r="N178" i="17" s="1"/>
  <c r="N158" i="17" a="1"/>
  <c r="N158" i="17" s="1"/>
  <c r="N118" i="17" a="1"/>
  <c r="N118" i="17" s="1"/>
  <c r="N154" i="17" a="1"/>
  <c r="N154" i="17" s="1"/>
  <c r="Y144" i="17"/>
  <c r="Q144" i="17" s="1"/>
  <c r="W144" i="17" s="1"/>
  <c r="Q89" i="17"/>
  <c r="W89" i="17" s="1"/>
  <c r="Q35" i="17"/>
  <c r="W35" i="17" s="1"/>
  <c r="N72" i="17" a="1"/>
  <c r="N72" i="17" s="1"/>
  <c r="N48" i="17" a="1"/>
  <c r="N48" i="17" s="1"/>
  <c r="N22" i="17" a="1"/>
  <c r="N22" i="17" s="1"/>
  <c r="N126" i="17" a="1"/>
  <c r="N126" i="17" s="1"/>
  <c r="Q116" i="17"/>
  <c r="W116" i="17" s="1"/>
  <c r="Y191" i="17"/>
  <c r="Q191" i="17" s="1"/>
  <c r="W191" i="17" s="1"/>
  <c r="Q170" i="17"/>
  <c r="W170" i="17" s="1"/>
  <c r="Y200" i="17"/>
  <c r="Q200" i="17" s="1"/>
  <c r="W200" i="17" s="1"/>
  <c r="Q88" i="17"/>
  <c r="W88" i="17" s="1"/>
  <c r="O79" i="17" a="1"/>
  <c r="O79" i="17" s="1"/>
  <c r="O57" i="17" a="1"/>
  <c r="O57" i="17" s="1"/>
  <c r="Q57" i="17" s="1"/>
  <c r="W57" i="17" s="1"/>
  <c r="O187" i="17" a="1"/>
  <c r="O187" i="17" s="1"/>
  <c r="Q187" i="17" s="1"/>
  <c r="W187" i="17" s="1"/>
  <c r="N116" i="17" a="1"/>
  <c r="N116" i="17" s="1"/>
  <c r="N71" i="17" a="1"/>
  <c r="N71" i="17" s="1"/>
  <c r="N21" i="17" a="1"/>
  <c r="N21" i="17" s="1"/>
  <c r="N197" i="17" a="1"/>
  <c r="N197" i="17" s="1"/>
  <c r="Y142" i="17"/>
  <c r="Q142" i="17" s="1"/>
  <c r="W142" i="17" s="1"/>
  <c r="Y115" i="17"/>
  <c r="Q115" i="17" s="1"/>
  <c r="W115" i="17" s="1"/>
  <c r="Y87" i="17"/>
  <c r="Q87" i="17" s="1"/>
  <c r="W87" i="17" s="1"/>
  <c r="N157" i="17" a="1"/>
  <c r="N157" i="17" s="1"/>
  <c r="N137" i="17" a="1"/>
  <c r="N137" i="17" s="1"/>
  <c r="N93" i="17" a="1"/>
  <c r="N93" i="17" s="1"/>
  <c r="N70" i="17" a="1"/>
  <c r="N70" i="17" s="1"/>
  <c r="N47" i="17" a="1"/>
  <c r="N47" i="17" s="1"/>
  <c r="N20" i="17" a="1"/>
  <c r="N20" i="17" s="1"/>
  <c r="N69" i="17" a="1"/>
  <c r="N69" i="17" s="1"/>
  <c r="Q59" i="17"/>
  <c r="W59" i="17" s="1"/>
  <c r="Q33" i="17"/>
  <c r="W33" i="17" s="1"/>
  <c r="N156" i="17" a="1"/>
  <c r="N156" i="17" s="1"/>
  <c r="N200" i="17" a="1"/>
  <c r="N200" i="17" s="1"/>
  <c r="N92" i="17" a="1"/>
  <c r="N92" i="17" s="1"/>
  <c r="N46" i="17" a="1"/>
  <c r="N46" i="17" s="1"/>
  <c r="N18" i="17" a="1"/>
  <c r="N18" i="17" s="1"/>
  <c r="N41" i="17" a="1"/>
  <c r="N41" i="17" s="1"/>
  <c r="N183" i="17" a="1"/>
  <c r="N183" i="17" s="1"/>
  <c r="Q113" i="17"/>
  <c r="W113" i="17" s="1"/>
  <c r="Y58" i="17"/>
  <c r="Q58" i="17" s="1"/>
  <c r="W58" i="17" s="1"/>
  <c r="Q32" i="17"/>
  <c r="W32" i="17" s="1"/>
  <c r="N115" i="17" a="1"/>
  <c r="N115" i="17" s="1"/>
  <c r="N68" i="17" a="1"/>
  <c r="N68" i="17" s="1"/>
  <c r="N12" i="17" a="1"/>
  <c r="N12" i="17" s="1"/>
  <c r="N13" i="17" a="1"/>
  <c r="N13" i="17" s="1"/>
  <c r="N196" i="17" a="1"/>
  <c r="N196" i="17" s="1"/>
  <c r="N192" i="17" a="1"/>
  <c r="N192" i="17" s="1"/>
  <c r="N45" i="17" a="1"/>
  <c r="N45" i="17" s="1"/>
  <c r="N11" i="17" a="1"/>
  <c r="N11" i="17" s="1"/>
  <c r="Y112" i="17"/>
  <c r="Q112" i="17" s="1"/>
  <c r="W112" i="17" s="1"/>
  <c r="Q111" i="17"/>
  <c r="W111" i="17" s="1"/>
  <c r="Y84" i="17"/>
  <c r="Q84" i="17" s="1"/>
  <c r="W84" i="17" s="1"/>
  <c r="Y31" i="17"/>
  <c r="Q31" i="17" s="1"/>
  <c r="W31" i="17" s="1"/>
  <c r="N67" i="17" a="1"/>
  <c r="N67" i="17" s="1"/>
  <c r="N44" i="17" a="1"/>
  <c r="N44" i="17" s="1"/>
  <c r="N10" i="17" a="1"/>
  <c r="N10" i="17" s="1"/>
  <c r="N14" i="17" a="1"/>
  <c r="N14" i="17" s="1"/>
  <c r="Y169" i="17"/>
  <c r="Q169" i="17" s="1"/>
  <c r="W169" i="17" s="1"/>
  <c r="Y182" i="17"/>
  <c r="Q182" i="17" s="1"/>
  <c r="W182" i="17" s="1"/>
  <c r="Y83" i="17"/>
  <c r="Q83" i="17" s="1"/>
  <c r="W83" i="17" s="1"/>
  <c r="N91" i="17" a="1"/>
  <c r="N91" i="17" s="1"/>
  <c r="N66" i="17" a="1"/>
  <c r="N66" i="17" s="1"/>
  <c r="N188" i="17" a="1"/>
  <c r="N188" i="17" s="1"/>
  <c r="N9" i="17" a="1"/>
  <c r="N9" i="17" s="1"/>
  <c r="Q166" i="17"/>
  <c r="W166" i="17" s="1"/>
  <c r="Q199" i="17"/>
  <c r="W199" i="17" s="1"/>
  <c r="Y82" i="17"/>
  <c r="Q82" i="17" s="1"/>
  <c r="W82" i="17" s="1"/>
  <c r="Q55" i="17"/>
  <c r="W55" i="17" s="1"/>
  <c r="Q6" i="17"/>
  <c r="W6" i="17" s="1"/>
  <c r="N133" i="17" a="1"/>
  <c r="N133" i="17" s="1"/>
  <c r="N111" i="17" a="1"/>
  <c r="N111" i="17" s="1"/>
  <c r="N43" i="17" a="1"/>
  <c r="N43" i="17" s="1"/>
  <c r="N8" i="17" a="1"/>
  <c r="N8" i="17" s="1"/>
  <c r="O2" i="17" a="1"/>
  <c r="O2" i="17" s="1"/>
  <c r="Q136" i="17"/>
  <c r="W136" i="17" s="1"/>
  <c r="Y81" i="17"/>
  <c r="Q81" i="17" s="1"/>
  <c r="W81" i="17" s="1"/>
  <c r="Y28" i="17"/>
  <c r="N110" i="17" a="1"/>
  <c r="N110" i="17" s="1"/>
  <c r="N90" i="17" a="1"/>
  <c r="N90" i="17" s="1"/>
  <c r="N65" i="17" a="1"/>
  <c r="N65" i="17" s="1"/>
  <c r="N182" i="17" a="1"/>
  <c r="N182" i="17" s="1"/>
  <c r="N64" i="17" a="1"/>
  <c r="N64" i="17" s="1"/>
  <c r="N40" i="17" a="1"/>
  <c r="N40" i="17" s="1"/>
  <c r="N7" i="17" a="1"/>
  <c r="N7" i="17" s="1"/>
  <c r="N112" i="17" a="1"/>
  <c r="N112" i="17" s="1"/>
  <c r="Y138" i="17"/>
  <c r="Q138" i="17" s="1"/>
  <c r="W138" i="17" s="1"/>
  <c r="Y163" i="17"/>
  <c r="Q163" i="17" s="1"/>
  <c r="W163" i="17" s="1"/>
  <c r="Q194" i="17"/>
  <c r="W194" i="17" s="1"/>
  <c r="Q52" i="17"/>
  <c r="W52" i="17" s="1"/>
  <c r="Q26" i="17"/>
  <c r="W26" i="17" s="1"/>
  <c r="Q4" i="17"/>
  <c r="W4" i="17" s="1"/>
  <c r="N130" i="17" a="1"/>
  <c r="N130" i="17" s="1"/>
  <c r="N88" i="17" a="1"/>
  <c r="N88" i="17" s="1"/>
  <c r="N39" i="17" a="1"/>
  <c r="N39" i="17" s="1"/>
  <c r="N5" i="17" a="1"/>
  <c r="N5" i="17" s="1"/>
  <c r="Q141" i="17"/>
  <c r="W141" i="17" s="1"/>
  <c r="Q137" i="17"/>
  <c r="W137" i="17" s="1"/>
  <c r="Y27" i="17"/>
  <c r="Q27" i="17" s="1"/>
  <c r="W27" i="17" s="1"/>
  <c r="Y134" i="17"/>
  <c r="Q134" i="17" s="1"/>
  <c r="W134" i="17" s="1"/>
  <c r="Y79" i="17"/>
  <c r="Q79" i="17" s="1"/>
  <c r="W79" i="17" s="1"/>
  <c r="Y51" i="17"/>
  <c r="Q51" i="17" s="1"/>
  <c r="W51" i="17" s="1"/>
  <c r="Y185" i="17"/>
  <c r="Q185" i="17" s="1"/>
  <c r="W185" i="17" s="1"/>
  <c r="Q3" i="17"/>
  <c r="W3" i="17" s="1"/>
  <c r="N129" i="17" a="1"/>
  <c r="N129" i="17" s="1"/>
  <c r="N109" i="17" a="1"/>
  <c r="N109" i="17" s="1"/>
  <c r="N87" i="17" a="1"/>
  <c r="N87" i="17" s="1"/>
  <c r="N63" i="17" a="1"/>
  <c r="N63" i="17" s="1"/>
  <c r="N38" i="17" a="1"/>
  <c r="N38" i="17" s="1"/>
  <c r="Y114" i="17"/>
  <c r="Q114" i="17" s="1"/>
  <c r="W114" i="17" s="1"/>
  <c r="Y53" i="17"/>
  <c r="Q53" i="17" s="1"/>
  <c r="W53" i="17" s="1"/>
  <c r="Y107" i="17"/>
  <c r="Q107" i="17" s="1"/>
  <c r="W107" i="17" s="1"/>
  <c r="Q106" i="17"/>
  <c r="W106" i="17" s="1"/>
  <c r="Y160" i="17"/>
  <c r="Q160" i="17" s="1"/>
  <c r="W160" i="17" s="1"/>
  <c r="Q78" i="17"/>
  <c r="W78" i="17" s="1"/>
  <c r="Y50" i="17"/>
  <c r="Q50" i="17" s="1"/>
  <c r="W50" i="17" s="1"/>
  <c r="Q25" i="17"/>
  <c r="W25" i="17" s="1"/>
  <c r="Y2" i="17"/>
  <c r="Q2" i="17" s="1"/>
  <c r="W2" i="17" s="1"/>
  <c r="O11" i="17" a="1"/>
  <c r="O11" i="17" s="1"/>
  <c r="Q11" i="17" s="1"/>
  <c r="W11" i="17" s="1"/>
  <c r="N149" i="17" a="1"/>
  <c r="N149" i="17" s="1"/>
  <c r="N187" i="17" a="1"/>
  <c r="N187" i="17" s="1"/>
  <c r="Y209" i="17"/>
  <c r="Q209" i="17" s="1"/>
  <c r="W209" i="17" s="1"/>
  <c r="Q186" i="17"/>
  <c r="W186" i="17" s="1"/>
  <c r="Y110" i="17"/>
  <c r="Q110" i="17" s="1"/>
  <c r="W110" i="17" s="1"/>
  <c r="Q108" i="17"/>
  <c r="W108" i="17" s="1"/>
  <c r="Q161" i="17"/>
  <c r="W161" i="17" s="1"/>
  <c r="Q159" i="17"/>
  <c r="W159" i="17" s="1"/>
  <c r="N209" i="17" a="1"/>
  <c r="N209" i="17" s="1"/>
  <c r="N128" i="17" a="1"/>
  <c r="N128" i="17" s="1"/>
  <c r="N108" i="17" a="1"/>
  <c r="N108" i="17" s="1"/>
  <c r="N195" i="17" a="1"/>
  <c r="N195" i="17" s="1"/>
  <c r="Y86" i="17"/>
  <c r="Q86" i="17" s="1"/>
  <c r="W86" i="17" s="1"/>
  <c r="Y190" i="17"/>
  <c r="Q190" i="17" s="1"/>
  <c r="W190" i="17" s="1"/>
  <c r="Q158" i="17"/>
  <c r="W158" i="17" s="1"/>
  <c r="Y131" i="17"/>
  <c r="Q131" i="17" s="1"/>
  <c r="W131" i="17" s="1"/>
  <c r="Y198" i="17"/>
  <c r="Q198" i="17" s="1"/>
  <c r="W198" i="17" s="1"/>
  <c r="Q76" i="17"/>
  <c r="W76" i="17" s="1"/>
  <c r="O189" i="17" a="1"/>
  <c r="O189" i="17" s="1"/>
  <c r="Q189" i="17" s="1"/>
  <c r="W189" i="17" s="1"/>
  <c r="O28" i="17" a="1"/>
  <c r="O28" i="17" s="1"/>
  <c r="Y85" i="17"/>
  <c r="Q85" i="17" s="1"/>
  <c r="W85" i="17" s="1"/>
  <c r="Y139" i="17"/>
  <c r="Q139" i="17" s="1"/>
  <c r="W139" i="17" s="1"/>
  <c r="Y135" i="17"/>
  <c r="Q135" i="17" s="1"/>
  <c r="W135" i="17" s="1"/>
  <c r="Q207" i="17"/>
  <c r="W207" i="17" s="1"/>
  <c r="Q130" i="17"/>
  <c r="W130" i="17" s="1"/>
  <c r="Q103" i="17"/>
  <c r="W103" i="17" s="1"/>
  <c r="Y75" i="17"/>
  <c r="Q75" i="17" s="1"/>
  <c r="W75" i="17" s="1"/>
  <c r="N106" i="17" a="1"/>
  <c r="N106" i="17" s="1"/>
  <c r="N82" i="17" a="1"/>
  <c r="N82" i="17" s="1"/>
  <c r="N61" i="17" a="1"/>
  <c r="N61" i="17" s="1"/>
  <c r="N6" i="17" a="1"/>
  <c r="N6" i="17" s="1"/>
  <c r="N184" i="17" a="1"/>
  <c r="N184" i="17" s="1"/>
  <c r="N19" i="17" a="1"/>
  <c r="N19" i="17" s="1"/>
  <c r="N2" i="17" a="1"/>
  <c r="N2" i="17" s="1"/>
  <c r="N16" i="17" a="1"/>
  <c r="N16" i="17" s="1"/>
  <c r="N42" i="17" a="1"/>
  <c r="N42" i="17" s="1"/>
  <c r="Q54" i="17" l="1"/>
  <c r="W54" i="17" s="1"/>
  <c r="Q39" i="17"/>
  <c r="W39" i="17" s="1"/>
  <c r="Q101" i="17"/>
  <c r="W101" i="17" s="1"/>
  <c r="Q28" i="17"/>
  <c r="W28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<sst xmlns="http://schemas.openxmlformats.org/spreadsheetml/2006/main" count="3064" uniqueCount="102">
  <si>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</si>
  <si>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</si>
  <si>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</si>
  <si>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</si>
  <si>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</si>
  <si>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</si>
  <si>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</si>
  <si>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</si>
  <si>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</si>
  <si>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</si>
  <si>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</si>
  <si>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</si>
  <si>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</si>
  <si>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</si>
  <si>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</si>
  <si>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</si>
  <si>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</si>
  <si>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</si>
  <si>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</si>
  <si>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</si>
  <si>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</si>
  <si>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</si>
  <si>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</si>
  <si>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</si>
  <si>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</si>
  <si>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</si>
  <si>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</si>
  <si>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</si>
  <si>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</si>
  <si>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</si>
  <si>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</si>
  <si>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</si>
  <si>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</si>
  <si>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</si>
  <si>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</si>
  <si>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</si>
  <si>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</si>
  <si>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</si>
  <si>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</si>
  <si>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</si>
  <si>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</si>
  <si>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</si>
  <si>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</si>
  <si>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</si>
  <si>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</si>
  <si>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</si>
  <si>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</si>
  <si>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</si>
  <si>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</si>
  <si>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</si>
  <si>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</si>
  <si>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</si>
  <si>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</si>
  <si>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</si>
  <si>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</si>
  <si>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</si>
  <si>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</si>
  <si>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</si>
  <si>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</si>
  <si>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</si>
  <si>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</si>
  <si>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</si>
  <si>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</si>
  <si>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</si>
  <si>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</si>
  <si>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</si>
  <si>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</si>
  <si>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</si>
  <si>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20:33:52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</si>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</sst>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57100925925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0" maxValue="4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4"/>
    </cacheField>
    <cacheField name="Maximum" numFmtId="0">
      <sharedItems containsSemiMixedTypes="0" containsString="0" containsNumber="1" containsInteger="1" minValue="0" maxValue="9"/>
    </cacheField>
    <cacheField name="LastRecordedValue" numFmtId="0">
      <sharedItems containsSemiMixedTypes="0" containsString="0" containsNumber="1" minValue="0" maxValue="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2.737168463237126E-2" maxValue="4"/>
    </cacheField>
    <cacheField name="StDevOfAverage" numFmtId="0">
      <sharedItems containsSemiMixedTypes="0" containsString="0" containsNumber="1" minValue="0" maxValue="0.2133934726969764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7.9682432249173069E-2"/>
    </cacheField>
    <cacheField name="MinimumAverage" numFmtId="0">
      <sharedItems containsSemiMixedTypes="0" containsString="0" containsNumber="1" minValue="0" maxValue="4"/>
    </cacheField>
    <cacheField name="MaximumAverage" numFmtId="0">
      <sharedItems containsSemiMixedTypes="0" containsString="0" containsNumber="1" minValue="0.26023163750941702" maxValue="4"/>
    </cacheField>
    <cacheField name="SummaryHalfWidth" numFmtId="0">
      <sharedItems containsSemiMixedTypes="0" containsString="0" containsNumber="1" minValue="0" maxValue="7.9682432249173069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57100925925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57101157409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0.366150950228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19314470858736901"/>
    </cacheField>
    <cacheField name="Maximum" numFmtId="0">
      <sharedItems containsSemiMixedTypes="0" containsString="0" containsNumber="1" minValue="0" maxValue="66.702859103432402"/>
    </cacheField>
    <cacheField name="NumberObservations" numFmtId="0">
      <sharedItems containsSemiMixedTypes="0" containsString="0" containsNumber="1" containsInteger="1" minValue="68" maxValue="108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8.3792916507108366"/>
    </cacheField>
    <cacheField name="StDevOfAverage" numFmtId="0">
      <sharedItems containsSemiMixedTypes="0" containsString="0" containsNumber="1" minValue="0" maxValue="0.9346676277950222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34901062804779692"/>
    </cacheField>
    <cacheField name="MinimumAverage" numFmtId="0">
      <sharedItems containsSemiMixedTypes="0" containsString="0" containsNumber="1" minValue="0" maxValue="6.81306602680844"/>
    </cacheField>
    <cacheField name="MaximumAverage" numFmtId="0">
      <sharedItems containsSemiMixedTypes="0" containsString="0" containsNumber="1" minValue="0" maxValue="10.366150950228"/>
    </cacheField>
    <cacheField name="OverallMinimum" numFmtId="0">
      <sharedItems containsSemiMixedTypes="0" containsString="0" containsNumber="1" minValue="0" maxValue="6.2754048036595101E-4"/>
    </cacheField>
    <cacheField name="OverallMaximum" numFmtId="0">
      <sharedItems containsSemiMixedTypes="0" containsString="0" containsNumber="1" minValue="0" maxValue="66.702859103432402"/>
    </cacheField>
    <cacheField name="AverageNumberObservations" numFmtId="0">
      <sharedItems containsSemiMixedTypes="0" containsString="0" containsNumber="1" minValue="88.466666666666669" maxValue="89.4"/>
    </cacheField>
    <cacheField name="SummaryHalfWidth" numFmtId="0">
      <sharedItems containsSemiMixedTypes="0" containsString="0" containsNumber="1" minValue="0" maxValue="0.34901062804779692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57101157409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248757454721409" maxValue="10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33974800639003316" maxValue="89.4"/>
    </cacheField>
    <cacheField name="StandardDeviation" numFmtId="0">
      <sharedItems containsSemiMixedTypes="0" containsString="0" containsNumber="1" minValue="4.9728761309198614E-2" maxValue="9.149084496627903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8569024646233528E-2" maxValue="3.4163242967592509"/>
    </cacheField>
    <cacheField name="Minimum" numFmtId="0">
      <sharedItems containsSemiMixedTypes="0" containsString="0" containsNumber="1" minValue="0.248757454721409" maxValue="71"/>
    </cacheField>
    <cacheField name="Maximum" numFmtId="0">
      <sharedItems containsSemiMixedTypes="0" containsString="0" containsNumber="1" minValue="0.45327220218229702" maxValue="1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57101157409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0" maxValue="107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7" maxValue="88.466666666666669"/>
    </cacheField>
    <cacheField name="StandardDeviation" numFmtId="0">
      <sharedItems containsSemiMixedTypes="0" containsString="0" containsNumber="1" minValue="2.0367316617730884" maxValue="9.149084496627903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.76052810143559413" maxValue="3.4163242967592509"/>
    </cacheField>
    <cacheField name="Minimum" numFmtId="0">
      <sharedItems containsSemiMixedTypes="0" containsString="0" containsNumber="1" containsInteger="1" minValue="0" maxValue="68"/>
    </cacheField>
    <cacheField name="Maximum" numFmtId="0">
      <sharedItems containsSemiMixedTypes="0" containsString="0" containsNumber="1" containsInteger="1" minValue="9" maxValue="1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33:52"/>
    <n v="1"/>
    <x v="0"/>
    <x v="0"/>
    <x v="0"/>
    <n v="1.39935679572243"/>
    <n v="2E+20"/>
    <n v="0"/>
    <n v="5"/>
    <n v="1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1"/>
    <x v="1"/>
    <x v="1"/>
    <x v="1"/>
    <n v="0.34810337586844797"/>
    <n v="2E+20"/>
    <n v="0"/>
    <n v="1"/>
    <n v="0.25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1"/>
    <x v="1"/>
    <x v="2"/>
    <x v="1"/>
    <n v="1.3924135034737899"/>
    <n v="2E+20"/>
    <n v="0"/>
    <n v="4"/>
    <n v="1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1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1"/>
    <x v="2"/>
    <x v="4"/>
    <x v="2"/>
    <n v="6.94329224863534E-3"/>
    <n v="2E+20"/>
    <n v="0"/>
    <n v="1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2"/>
    <x v="0"/>
    <x v="0"/>
    <x v="0"/>
    <n v="1.5878241005079099"/>
    <n v="2E+20"/>
    <n v="0"/>
    <n v="5"/>
    <n v="2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2"/>
    <x v="1"/>
    <x v="1"/>
    <x v="1"/>
    <n v="0.39439353533598198"/>
    <n v="2E+20"/>
    <n v="0"/>
    <n v="1"/>
    <n v="0.5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2"/>
    <x v="1"/>
    <x v="2"/>
    <x v="1"/>
    <n v="1.5775741413439299"/>
    <n v="2E+20"/>
    <n v="0"/>
    <n v="4"/>
    <n v="2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2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2"/>
    <x v="2"/>
    <x v="4"/>
    <x v="2"/>
    <n v="1.02499591639781E-2"/>
    <n v="2E+20"/>
    <n v="0"/>
    <n v="1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3"/>
    <x v="0"/>
    <x v="0"/>
    <x v="0"/>
    <n v="1.6957804808813199"/>
    <n v="2E+20"/>
    <n v="0"/>
    <n v="6"/>
    <n v="1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3"/>
    <x v="1"/>
    <x v="1"/>
    <x v="1"/>
    <n v="0.42273473243562398"/>
    <n v="2E+20"/>
    <n v="0"/>
    <n v="1"/>
    <n v="0.25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3"/>
    <x v="1"/>
    <x v="2"/>
    <x v="1"/>
    <n v="1.6909389297424999"/>
    <n v="2E+20"/>
    <n v="0"/>
    <n v="4"/>
    <n v="1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3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3"/>
    <x v="2"/>
    <x v="4"/>
    <x v="2"/>
    <n v="4.8415511388177597E-3"/>
    <n v="2E+20"/>
    <n v="0"/>
    <n v="2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4"/>
    <x v="0"/>
    <x v="0"/>
    <x v="0"/>
    <n v="1.34497917101877"/>
    <n v="2E+20"/>
    <n v="0"/>
    <n v="6"/>
    <n v="0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4"/>
    <x v="1"/>
    <x v="1"/>
    <x v="1"/>
    <n v="0.33349361038490599"/>
    <n v="2E+20"/>
    <n v="0"/>
    <n v="1"/>
    <n v="0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4"/>
    <x v="1"/>
    <x v="2"/>
    <x v="1"/>
    <n v="1.33397444153962"/>
    <n v="2E+20"/>
    <n v="0"/>
    <n v="4"/>
    <n v="0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4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4"/>
    <x v="2"/>
    <x v="4"/>
    <x v="2"/>
    <n v="1.1004729479148E-2"/>
    <n v="2E+20"/>
    <n v="0"/>
    <n v="2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5"/>
    <x v="0"/>
    <x v="0"/>
    <x v="0"/>
    <n v="1.2318598736488899"/>
    <n v="2E+20"/>
    <n v="0"/>
    <n v="4"/>
    <n v="0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5"/>
    <x v="1"/>
    <x v="1"/>
    <x v="1"/>
    <n v="0.30796496841222198"/>
    <n v="2E+20"/>
    <n v="0"/>
    <n v="1"/>
    <n v="0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5"/>
    <x v="1"/>
    <x v="2"/>
    <x v="1"/>
    <n v="1.2318598736488899"/>
    <n v="2E+20"/>
    <n v="0"/>
    <n v="4"/>
    <n v="0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5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5"/>
    <x v="2"/>
    <x v="4"/>
    <x v="2"/>
    <n v="0"/>
    <n v="2E+20"/>
    <n v="0"/>
    <n v="0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6"/>
    <x v="0"/>
    <x v="0"/>
    <x v="0"/>
    <n v="1.61846837147817"/>
    <n v="2E+20"/>
    <n v="0"/>
    <n v="9"/>
    <n v="1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6"/>
    <x v="1"/>
    <x v="1"/>
    <x v="1"/>
    <n v="0.38150515211918201"/>
    <n v="2E+20"/>
    <n v="0"/>
    <n v="1"/>
    <n v="0.25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6"/>
    <x v="1"/>
    <x v="2"/>
    <x v="1"/>
    <n v="1.52602060847673"/>
    <n v="2E+20"/>
    <n v="0"/>
    <n v="4"/>
    <n v="1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6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6"/>
    <x v="2"/>
    <x v="4"/>
    <x v="2"/>
    <n v="9.2447763001439698E-2"/>
    <n v="2E+20"/>
    <n v="0"/>
    <n v="5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7"/>
    <x v="0"/>
    <x v="0"/>
    <x v="0"/>
    <n v="1.5604115535300001"/>
    <n v="2E+20"/>
    <n v="0"/>
    <n v="5"/>
    <n v="1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7"/>
    <x v="1"/>
    <x v="1"/>
    <x v="1"/>
    <n v="0.38259165535883299"/>
    <n v="2E+20"/>
    <n v="0"/>
    <n v="1"/>
    <n v="0.25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7"/>
    <x v="1"/>
    <x v="2"/>
    <x v="1"/>
    <n v="1.53036662143533"/>
    <n v="2E+20"/>
    <n v="0"/>
    <n v="4"/>
    <n v="1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7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7"/>
    <x v="2"/>
    <x v="4"/>
    <x v="2"/>
    <n v="3.0044932094670799E-2"/>
    <n v="2E+20"/>
    <n v="0"/>
    <n v="1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8"/>
    <x v="0"/>
    <x v="0"/>
    <x v="0"/>
    <n v="1.2468231723313099"/>
    <n v="2E+20"/>
    <n v="0"/>
    <n v="4"/>
    <n v="0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8"/>
    <x v="1"/>
    <x v="1"/>
    <x v="1"/>
    <n v="0.31170579308282897"/>
    <n v="2E+20"/>
    <n v="0"/>
    <n v="1"/>
    <n v="0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8"/>
    <x v="1"/>
    <x v="2"/>
    <x v="1"/>
    <n v="1.2468231723313099"/>
    <n v="2E+20"/>
    <n v="0"/>
    <n v="4"/>
    <n v="0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8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8"/>
    <x v="2"/>
    <x v="4"/>
    <x v="2"/>
    <n v="0"/>
    <n v="2E+20"/>
    <n v="0"/>
    <n v="0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9"/>
    <x v="0"/>
    <x v="0"/>
    <x v="0"/>
    <n v="1.1832276537786399"/>
    <n v="2E+20"/>
    <n v="0"/>
    <n v="4"/>
    <n v="2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9"/>
    <x v="1"/>
    <x v="1"/>
    <x v="1"/>
    <n v="0.29580691344465998"/>
    <n v="2E+20"/>
    <n v="0"/>
    <n v="1"/>
    <n v="0.5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9"/>
    <x v="1"/>
    <x v="2"/>
    <x v="1"/>
    <n v="1.1832276537786399"/>
    <n v="2E+20"/>
    <n v="0"/>
    <n v="4"/>
    <n v="2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9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9"/>
    <x v="2"/>
    <x v="4"/>
    <x v="2"/>
    <n v="0"/>
    <n v="2E+20"/>
    <n v="0"/>
    <n v="0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10"/>
    <x v="0"/>
    <x v="0"/>
    <x v="0"/>
    <n v="1.04703253137499"/>
    <n v="2E+20"/>
    <n v="0"/>
    <n v="6"/>
    <n v="2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10"/>
    <x v="1"/>
    <x v="1"/>
    <x v="1"/>
    <n v="0.25603561267972003"/>
    <n v="2E+20"/>
    <n v="0"/>
    <n v="1"/>
    <n v="0.5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10"/>
    <x v="1"/>
    <x v="2"/>
    <x v="1"/>
    <n v="1.0241424507188801"/>
    <n v="2E+20"/>
    <n v="0"/>
    <n v="4"/>
    <n v="2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10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10"/>
    <x v="2"/>
    <x v="4"/>
    <x v="2"/>
    <n v="2.2890080656105601E-2"/>
    <n v="2E+20"/>
    <n v="0"/>
    <n v="2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11"/>
    <x v="0"/>
    <x v="0"/>
    <x v="0"/>
    <n v="1.34471136926484"/>
    <n v="2E+20"/>
    <n v="0"/>
    <n v="5"/>
    <n v="0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11"/>
    <x v="1"/>
    <x v="1"/>
    <x v="1"/>
    <n v="0.33362490082323798"/>
    <n v="2E+20"/>
    <n v="0"/>
    <n v="1"/>
    <n v="0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11"/>
    <x v="1"/>
    <x v="2"/>
    <x v="1"/>
    <n v="1.3344996032929499"/>
    <n v="2E+20"/>
    <n v="0"/>
    <n v="4"/>
    <n v="0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11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11"/>
    <x v="2"/>
    <x v="4"/>
    <x v="2"/>
    <n v="1.02117659718894E-2"/>
    <n v="2E+20"/>
    <n v="0"/>
    <n v="1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12"/>
    <x v="0"/>
    <x v="0"/>
    <x v="0"/>
    <n v="1.48429688331572"/>
    <n v="2E+20"/>
    <n v="0"/>
    <n v="9"/>
    <n v="2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12"/>
    <x v="1"/>
    <x v="1"/>
    <x v="1"/>
    <n v="0.30601631145157698"/>
    <n v="2E+20"/>
    <n v="0"/>
    <n v="1"/>
    <n v="0.5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12"/>
    <x v="1"/>
    <x v="2"/>
    <x v="1"/>
    <n v="1.2240652458063099"/>
    <n v="2E+20"/>
    <n v="0"/>
    <n v="4"/>
    <n v="2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12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12"/>
    <x v="2"/>
    <x v="4"/>
    <x v="2"/>
    <n v="0.26023163750941702"/>
    <n v="2E+20"/>
    <n v="0"/>
    <n v="5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13"/>
    <x v="0"/>
    <x v="0"/>
    <x v="0"/>
    <n v="1.4648759665265301"/>
    <n v="2E+20"/>
    <n v="0"/>
    <n v="5"/>
    <n v="0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13"/>
    <x v="1"/>
    <x v="1"/>
    <x v="1"/>
    <n v="0.36239810733432298"/>
    <n v="2E+20"/>
    <n v="0"/>
    <n v="1"/>
    <n v="0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13"/>
    <x v="1"/>
    <x v="2"/>
    <x v="1"/>
    <n v="1.4495924293372899"/>
    <n v="2E+20"/>
    <n v="0"/>
    <n v="4"/>
    <n v="0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13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13"/>
    <x v="2"/>
    <x v="4"/>
    <x v="2"/>
    <n v="1.5283537189237299E-2"/>
    <n v="2E+20"/>
    <n v="0"/>
    <n v="1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14"/>
    <x v="0"/>
    <x v="0"/>
    <x v="0"/>
    <n v="1.2314922128670001"/>
    <n v="2E+20"/>
    <n v="0"/>
    <n v="6"/>
    <n v="1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14"/>
    <x v="1"/>
    <x v="1"/>
    <x v="1"/>
    <n v="0.30649868955866399"/>
    <n v="2E+20"/>
    <n v="0"/>
    <n v="1"/>
    <n v="0.25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14"/>
    <x v="1"/>
    <x v="2"/>
    <x v="1"/>
    <n v="1.22599475823466"/>
    <n v="2E+20"/>
    <n v="0"/>
    <n v="4"/>
    <n v="1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14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14"/>
    <x v="2"/>
    <x v="4"/>
    <x v="2"/>
    <n v="5.4974546323421202E-3"/>
    <n v="2E+20"/>
    <n v="0"/>
    <n v="2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15"/>
    <x v="0"/>
    <x v="0"/>
    <x v="0"/>
    <n v="1.31353925616125"/>
    <n v="2E+20"/>
    <n v="0"/>
    <n v="6"/>
    <n v="0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15"/>
    <x v="1"/>
    <x v="1"/>
    <x v="1"/>
    <n v="0.325302881042216"/>
    <n v="2E+20"/>
    <n v="0"/>
    <n v="1"/>
    <n v="0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15"/>
    <x v="1"/>
    <x v="2"/>
    <x v="1"/>
    <n v="1.30121152416886"/>
    <n v="2E+20"/>
    <n v="0"/>
    <n v="4"/>
    <n v="0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15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15"/>
    <x v="2"/>
    <x v="4"/>
    <x v="2"/>
    <n v="1.23277319923877E-2"/>
    <n v="2E+20"/>
    <n v="0"/>
    <n v="2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16"/>
    <x v="0"/>
    <x v="0"/>
    <x v="0"/>
    <n v="1.84287128004053"/>
    <n v="2E+20"/>
    <n v="0"/>
    <n v="6"/>
    <n v="0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16"/>
    <x v="1"/>
    <x v="1"/>
    <x v="1"/>
    <n v="0.45327220218229702"/>
    <n v="2E+20"/>
    <n v="0"/>
    <n v="1"/>
    <n v="0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16"/>
    <x v="1"/>
    <x v="2"/>
    <x v="1"/>
    <n v="1.8130888087291901"/>
    <n v="2E+20"/>
    <n v="0"/>
    <n v="4"/>
    <n v="0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16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16"/>
    <x v="2"/>
    <x v="4"/>
    <x v="2"/>
    <n v="2.9782471311345499E-2"/>
    <n v="2E+20"/>
    <n v="0"/>
    <n v="2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17"/>
    <x v="0"/>
    <x v="0"/>
    <x v="0"/>
    <n v="0.99989438611061798"/>
    <n v="2E+20"/>
    <n v="0"/>
    <n v="6"/>
    <n v="3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17"/>
    <x v="1"/>
    <x v="1"/>
    <x v="1"/>
    <n v="0.248757454721409"/>
    <n v="2E+20"/>
    <n v="0"/>
    <n v="1"/>
    <n v="0.75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17"/>
    <x v="1"/>
    <x v="2"/>
    <x v="1"/>
    <n v="0.99502981888563502"/>
    <n v="2E+20"/>
    <n v="0"/>
    <n v="4"/>
    <n v="3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17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17"/>
    <x v="2"/>
    <x v="4"/>
    <x v="2"/>
    <n v="4.8645672249838998E-3"/>
    <n v="2E+20"/>
    <n v="0"/>
    <n v="2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18"/>
    <x v="0"/>
    <x v="0"/>
    <x v="0"/>
    <n v="1.89300516389284"/>
    <n v="2E+20"/>
    <n v="0"/>
    <n v="8"/>
    <n v="1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18"/>
    <x v="1"/>
    <x v="1"/>
    <x v="1"/>
    <n v="0.44098218611840101"/>
    <n v="2E+20"/>
    <n v="0"/>
    <n v="1"/>
    <n v="0.25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18"/>
    <x v="1"/>
    <x v="2"/>
    <x v="1"/>
    <n v="1.7639287444736"/>
    <n v="2E+20"/>
    <n v="0"/>
    <n v="4"/>
    <n v="1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18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18"/>
    <x v="2"/>
    <x v="4"/>
    <x v="2"/>
    <n v="0.129076419419244"/>
    <n v="2E+20"/>
    <n v="0"/>
    <n v="4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19"/>
    <x v="0"/>
    <x v="0"/>
    <x v="0"/>
    <n v="1.3602183385361699"/>
    <n v="2E+20"/>
    <n v="0"/>
    <n v="6"/>
    <n v="0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19"/>
    <x v="1"/>
    <x v="1"/>
    <x v="1"/>
    <n v="0.33397899359866601"/>
    <n v="2E+20"/>
    <n v="0"/>
    <n v="1"/>
    <n v="0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19"/>
    <x v="1"/>
    <x v="2"/>
    <x v="1"/>
    <n v="1.33591597439466"/>
    <n v="2E+20"/>
    <n v="0"/>
    <n v="4"/>
    <n v="0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19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19"/>
    <x v="2"/>
    <x v="4"/>
    <x v="2"/>
    <n v="2.4302364141505699E-2"/>
    <n v="2E+20"/>
    <n v="0"/>
    <n v="2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20"/>
    <x v="0"/>
    <x v="0"/>
    <x v="0"/>
    <n v="1.1845659675049001"/>
    <n v="2E+20"/>
    <n v="0"/>
    <n v="6"/>
    <n v="1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20"/>
    <x v="1"/>
    <x v="1"/>
    <x v="1"/>
    <n v="0.29500961506884299"/>
    <n v="2E+20"/>
    <n v="0"/>
    <n v="1"/>
    <n v="0.25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20"/>
    <x v="1"/>
    <x v="2"/>
    <x v="1"/>
    <n v="1.18003846027537"/>
    <n v="2E+20"/>
    <n v="0"/>
    <n v="4"/>
    <n v="1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20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20"/>
    <x v="2"/>
    <x v="4"/>
    <x v="2"/>
    <n v="4.5275072295252296E-3"/>
    <n v="2E+20"/>
    <n v="0"/>
    <n v="2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21"/>
    <x v="0"/>
    <x v="0"/>
    <x v="0"/>
    <n v="1.1733613712836799"/>
    <n v="2E+20"/>
    <n v="0"/>
    <n v="4"/>
    <n v="0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21"/>
    <x v="1"/>
    <x v="1"/>
    <x v="1"/>
    <n v="0.29334034282091898"/>
    <n v="2E+20"/>
    <n v="0"/>
    <n v="1"/>
    <n v="0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21"/>
    <x v="1"/>
    <x v="2"/>
    <x v="1"/>
    <n v="1.1733613712836799"/>
    <n v="2E+20"/>
    <n v="0"/>
    <n v="4"/>
    <n v="0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21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21"/>
    <x v="2"/>
    <x v="4"/>
    <x v="2"/>
    <n v="0"/>
    <n v="2E+20"/>
    <n v="0"/>
    <n v="0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22"/>
    <x v="0"/>
    <x v="0"/>
    <x v="0"/>
    <n v="1.41579985784079"/>
    <n v="2E+20"/>
    <n v="0"/>
    <n v="5"/>
    <n v="2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22"/>
    <x v="1"/>
    <x v="1"/>
    <x v="1"/>
    <n v="0.35308943499485601"/>
    <n v="2E+20"/>
    <n v="0"/>
    <n v="1"/>
    <n v="0.5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22"/>
    <x v="1"/>
    <x v="2"/>
    <x v="1"/>
    <n v="1.41235773997943"/>
    <n v="2E+20"/>
    <n v="0"/>
    <n v="4"/>
    <n v="2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22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22"/>
    <x v="2"/>
    <x v="4"/>
    <x v="2"/>
    <n v="3.4421178613662602E-3"/>
    <n v="2E+20"/>
    <n v="0"/>
    <n v="1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23"/>
    <x v="0"/>
    <x v="0"/>
    <x v="0"/>
    <n v="1.3870221239556799"/>
    <n v="2E+20"/>
    <n v="0"/>
    <n v="6"/>
    <n v="1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23"/>
    <x v="1"/>
    <x v="1"/>
    <x v="1"/>
    <n v="0.335349754770705"/>
    <n v="2E+20"/>
    <n v="0"/>
    <n v="1"/>
    <n v="0.25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23"/>
    <x v="1"/>
    <x v="2"/>
    <x v="1"/>
    <n v="1.34139901908282"/>
    <n v="2E+20"/>
    <n v="0"/>
    <n v="4"/>
    <n v="1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23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23"/>
    <x v="2"/>
    <x v="4"/>
    <x v="2"/>
    <n v="4.5623104872860698E-2"/>
    <n v="2E+20"/>
    <n v="0"/>
    <n v="2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24"/>
    <x v="0"/>
    <x v="0"/>
    <x v="0"/>
    <n v="1.15809915055308"/>
    <n v="2E+20"/>
    <n v="0"/>
    <n v="5"/>
    <n v="1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24"/>
    <x v="1"/>
    <x v="1"/>
    <x v="1"/>
    <n v="0.289041984118456"/>
    <n v="2E+20"/>
    <n v="0"/>
    <n v="1"/>
    <n v="0.25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24"/>
    <x v="1"/>
    <x v="2"/>
    <x v="1"/>
    <n v="1.15616793647383"/>
    <n v="2E+20"/>
    <n v="0"/>
    <n v="4"/>
    <n v="1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24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24"/>
    <x v="2"/>
    <x v="4"/>
    <x v="2"/>
    <n v="1.9312140792551299E-3"/>
    <n v="2E+20"/>
    <n v="0"/>
    <n v="1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25"/>
    <x v="0"/>
    <x v="0"/>
    <x v="0"/>
    <n v="1.25285297444765"/>
    <n v="2E+20"/>
    <n v="0"/>
    <n v="6"/>
    <n v="0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25"/>
    <x v="1"/>
    <x v="1"/>
    <x v="1"/>
    <n v="0.31257468305705199"/>
    <n v="2E+20"/>
    <n v="0"/>
    <n v="1"/>
    <n v="0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25"/>
    <x v="1"/>
    <x v="2"/>
    <x v="1"/>
    <n v="1.25029873222821"/>
    <n v="2E+20"/>
    <n v="0"/>
    <n v="4"/>
    <n v="0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25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25"/>
    <x v="2"/>
    <x v="4"/>
    <x v="2"/>
    <n v="2.5542422194423302E-3"/>
    <n v="2E+20"/>
    <n v="0"/>
    <n v="2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26"/>
    <x v="0"/>
    <x v="0"/>
    <x v="0"/>
    <n v="1.20933106182467"/>
    <n v="2E+20"/>
    <n v="0"/>
    <n v="6"/>
    <n v="1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26"/>
    <x v="1"/>
    <x v="1"/>
    <x v="1"/>
    <n v="0.298492523166975"/>
    <n v="2E+20"/>
    <n v="0"/>
    <n v="1"/>
    <n v="0.25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26"/>
    <x v="1"/>
    <x v="2"/>
    <x v="1"/>
    <n v="1.1939700926679"/>
    <n v="2E+20"/>
    <n v="0"/>
    <n v="4"/>
    <n v="1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26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26"/>
    <x v="2"/>
    <x v="4"/>
    <x v="2"/>
    <n v="1.53609691567666E-2"/>
    <n v="2E+20"/>
    <n v="0"/>
    <n v="2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27"/>
    <x v="0"/>
    <x v="0"/>
    <x v="0"/>
    <n v="1.48023801293431"/>
    <n v="2E+20"/>
    <n v="0"/>
    <n v="7"/>
    <n v="2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27"/>
    <x v="1"/>
    <x v="1"/>
    <x v="1"/>
    <n v="0.36166266889385801"/>
    <n v="2E+20"/>
    <n v="0"/>
    <n v="1"/>
    <n v="0.5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27"/>
    <x v="1"/>
    <x v="2"/>
    <x v="1"/>
    <n v="1.44665067557543"/>
    <n v="2E+20"/>
    <n v="0"/>
    <n v="4"/>
    <n v="2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27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27"/>
    <x v="2"/>
    <x v="4"/>
    <x v="2"/>
    <n v="3.3587337358879303E-2"/>
    <n v="2E+20"/>
    <n v="0"/>
    <n v="3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28"/>
    <x v="0"/>
    <x v="0"/>
    <x v="0"/>
    <n v="1.48771991874209"/>
    <n v="2E+20"/>
    <n v="0"/>
    <n v="5"/>
    <n v="0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28"/>
    <x v="1"/>
    <x v="1"/>
    <x v="1"/>
    <n v="0.36978976128260699"/>
    <n v="2E+20"/>
    <n v="0"/>
    <n v="1"/>
    <n v="0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28"/>
    <x v="1"/>
    <x v="2"/>
    <x v="1"/>
    <n v="1.47915904513043"/>
    <n v="2E+20"/>
    <n v="0"/>
    <n v="4"/>
    <n v="0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28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28"/>
    <x v="2"/>
    <x v="4"/>
    <x v="2"/>
    <n v="8.5608736116626807E-3"/>
    <n v="2E+20"/>
    <n v="0"/>
    <n v="1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29"/>
    <x v="0"/>
    <x v="0"/>
    <x v="0"/>
    <n v="1.44393130877541"/>
    <n v="2E+20"/>
    <n v="0"/>
    <n v="5"/>
    <n v="1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29"/>
    <x v="1"/>
    <x v="1"/>
    <x v="1"/>
    <n v="0.35436813128280398"/>
    <n v="2E+20"/>
    <n v="0"/>
    <n v="1"/>
    <n v="0.25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29"/>
    <x v="1"/>
    <x v="2"/>
    <x v="1"/>
    <n v="1.4174725251312199"/>
    <n v="2E+20"/>
    <n v="0"/>
    <n v="4"/>
    <n v="1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29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29"/>
    <x v="2"/>
    <x v="4"/>
    <x v="2"/>
    <n v="2.6458783644197102E-2"/>
    <n v="2E+20"/>
    <n v="0"/>
    <n v="1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  <r>
    <x v="0"/>
    <s v="2025-02-11 20:33:52"/>
    <n v="30"/>
    <x v="0"/>
    <x v="0"/>
    <x v="0"/>
    <n v="1.54732099692492"/>
    <n v="2E+20"/>
    <n v="0"/>
    <n v="5"/>
    <n v="2"/>
    <n v="0"/>
    <s v="Unnamed ProjectCustomerWIPEntity"/>
    <n v="30"/>
    <n v="1.386363710192503"/>
    <n v="0.21339347269697648"/>
    <n v="0.95"/>
    <n v="7.9682432249173069E-2"/>
    <n v="0.99989438611061798"/>
    <n v="1.89300516389284"/>
    <n v="7.9682432249173069E-2"/>
  </r>
  <r>
    <x v="0"/>
    <s v="2025-02-11 20:33:52"/>
    <n v="30"/>
    <x v="1"/>
    <x v="1"/>
    <x v="1"/>
    <n v="0.38455421629072101"/>
    <n v="2E+20"/>
    <n v="0"/>
    <n v="1"/>
    <n v="0.5"/>
    <n v="0"/>
    <s v="Unnamed ProjectService CounterInstantaneous UtilizationResource"/>
    <n v="30"/>
    <n v="0.33974800639003316"/>
    <n v="4.9728761309198614E-2"/>
    <n v="0.95"/>
    <n v="1.8569024646233528E-2"/>
    <n v="0.248757454721409"/>
    <n v="0.45327220218229702"/>
    <n v="1.8569024646233528E-2"/>
  </r>
  <r>
    <x v="0"/>
    <s v="2025-02-11 20:33:52"/>
    <n v="30"/>
    <x v="1"/>
    <x v="2"/>
    <x v="1"/>
    <n v="1.53821686516288"/>
    <n v="2E+20"/>
    <n v="0"/>
    <n v="4"/>
    <n v="2"/>
    <n v="0"/>
    <s v="Unnamed ProjectService CounterNumber BusyResource"/>
    <n v="30"/>
    <n v="1.358992025560132"/>
    <n v="0.19891504523679876"/>
    <n v="0.95"/>
    <n v="7.4276098584935724E-2"/>
    <n v="0.99502981888563502"/>
    <n v="1.8130888087291901"/>
    <n v="7.4276098584935724E-2"/>
  </r>
  <r>
    <x v="0"/>
    <s v="2025-02-11 20:33:52"/>
    <n v="30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33:52"/>
    <n v="30"/>
    <x v="2"/>
    <x v="4"/>
    <x v="2"/>
    <n v="9.10413176203477E-3"/>
    <n v="2E+20"/>
    <n v="0"/>
    <n v="1"/>
    <n v="0"/>
    <n v="0"/>
    <s v="Unnamed ProjectService Process.QueueNumber WaitingQueue"/>
    <n v="30"/>
    <n v="2.737168463237126E-2"/>
    <n v="5.2041666204248813E-2"/>
    <n v="0.95"/>
    <n v="1.9432677527783122E-2"/>
    <n v="0"/>
    <n v="0.26023163750941702"/>
    <n v="1.943267752778312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0:33:52"/>
    <n v="1"/>
    <x v="0"/>
    <x v="0"/>
    <x v="0"/>
    <n v="0"/>
    <n v="2E+20"/>
    <n v="0"/>
    <n v="0"/>
    <n v="81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"/>
    <x v="0"/>
    <x v="1"/>
    <x v="0"/>
    <n v="0"/>
    <n v="2E+20"/>
    <n v="0"/>
    <n v="0"/>
    <n v="81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"/>
    <x v="0"/>
    <x v="2"/>
    <x v="0"/>
    <n v="9.3015244621846698"/>
    <n v="2E+20"/>
    <n v="0.10066676070425699"/>
    <n v="41.1827233327475"/>
    <n v="81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1"/>
    <x v="0"/>
    <x v="3"/>
    <x v="0"/>
    <n v="0"/>
    <n v="2E+20"/>
    <n v="0"/>
    <n v="0"/>
    <n v="81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"/>
    <x v="0"/>
    <x v="4"/>
    <x v="0"/>
    <n v="9.2552358471937701"/>
    <n v="2E+20"/>
    <n v="2.4808099713027301E-2"/>
    <n v="41.1827233327475"/>
    <n v="81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1"/>
    <x v="0"/>
    <x v="5"/>
    <x v="0"/>
    <n v="4.6288614990902303E-2"/>
    <n v="2E+20"/>
    <n v="0"/>
    <n v="1.53394997465028"/>
    <n v="81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2"/>
    <x v="0"/>
    <x v="0"/>
    <x v="0"/>
    <n v="0"/>
    <n v="2E+20"/>
    <n v="0"/>
    <n v="0"/>
    <n v="98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"/>
    <x v="0"/>
    <x v="1"/>
    <x v="0"/>
    <n v="0"/>
    <n v="2E+20"/>
    <n v="0"/>
    <n v="0"/>
    <n v="98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"/>
    <x v="0"/>
    <x v="2"/>
    <x v="0"/>
    <n v="8.4911537102522896"/>
    <n v="2E+20"/>
    <n v="0.14390288034951501"/>
    <n v="64.660524567664396"/>
    <n v="98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2"/>
    <x v="0"/>
    <x v="3"/>
    <x v="0"/>
    <n v="0"/>
    <n v="2E+20"/>
    <n v="0"/>
    <n v="0"/>
    <n v="98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"/>
    <x v="0"/>
    <x v="4"/>
    <x v="0"/>
    <n v="8.4346743434303608"/>
    <n v="2E+20"/>
    <n v="0.14390288034951501"/>
    <n v="64.660524567664396"/>
    <n v="98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2"/>
    <x v="0"/>
    <x v="5"/>
    <x v="0"/>
    <n v="5.6479366821920299E-2"/>
    <n v="2E+20"/>
    <n v="0"/>
    <n v="4.0879380036819004"/>
    <n v="98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3"/>
    <x v="0"/>
    <x v="0"/>
    <x v="0"/>
    <n v="0"/>
    <n v="2E+20"/>
    <n v="0"/>
    <n v="0"/>
    <n v="107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3"/>
    <x v="0"/>
    <x v="1"/>
    <x v="0"/>
    <n v="0"/>
    <n v="2E+20"/>
    <n v="0"/>
    <n v="0"/>
    <n v="107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3"/>
    <x v="0"/>
    <x v="2"/>
    <x v="0"/>
    <n v="8.4922697076123992"/>
    <n v="2E+20"/>
    <n v="3.2790565955491298E-2"/>
    <n v="55.012656029479302"/>
    <n v="107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3"/>
    <x v="0"/>
    <x v="3"/>
    <x v="0"/>
    <n v="0"/>
    <n v="2E+20"/>
    <n v="0"/>
    <n v="0"/>
    <n v="107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3"/>
    <x v="0"/>
    <x v="4"/>
    <x v="0"/>
    <n v="8.4678357112108902"/>
    <n v="2E+20"/>
    <n v="3.2790565955491298E-2"/>
    <n v="55.012656029479302"/>
    <n v="107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3"/>
    <x v="0"/>
    <x v="5"/>
    <x v="0"/>
    <n v="2.44339964015102E-2"/>
    <n v="2E+20"/>
    <n v="0"/>
    <n v="0.86334179735109695"/>
    <n v="107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4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4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4"/>
    <x v="0"/>
    <x v="2"/>
    <x v="0"/>
    <n v="8.1605477792150207"/>
    <n v="2E+20"/>
    <n v="3.6718086357268503E-2"/>
    <n v="41.836507549098798"/>
    <n v="89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4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4"/>
    <x v="0"/>
    <x v="4"/>
    <x v="0"/>
    <n v="8.0937775104651308"/>
    <n v="2E+20"/>
    <n v="3.6718086357268503E-2"/>
    <n v="41.836507549098798"/>
    <n v="89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4"/>
    <x v="0"/>
    <x v="5"/>
    <x v="0"/>
    <n v="6.6770268749886702E-2"/>
    <n v="2E+20"/>
    <n v="0"/>
    <n v="3.2183136626261901"/>
    <n v="89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5"/>
    <x v="0"/>
    <x v="0"/>
    <x v="0"/>
    <n v="0"/>
    <n v="2E+20"/>
    <n v="0"/>
    <n v="0"/>
    <n v="96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5"/>
    <x v="0"/>
    <x v="1"/>
    <x v="0"/>
    <n v="0"/>
    <n v="2E+20"/>
    <n v="0"/>
    <n v="0"/>
    <n v="96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5"/>
    <x v="0"/>
    <x v="2"/>
    <x v="0"/>
    <n v="6.9292117892749996"/>
    <n v="2E+20"/>
    <n v="3.9970883785230199E-2"/>
    <n v="34.926464913258002"/>
    <n v="96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5"/>
    <x v="0"/>
    <x v="3"/>
    <x v="0"/>
    <n v="0"/>
    <n v="2E+20"/>
    <n v="0"/>
    <n v="0"/>
    <n v="96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5"/>
    <x v="0"/>
    <x v="4"/>
    <x v="0"/>
    <n v="6.9292117892749996"/>
    <n v="2E+20"/>
    <n v="3.9970883785230199E-2"/>
    <n v="34.926464913258002"/>
    <n v="96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5"/>
    <x v="0"/>
    <x v="5"/>
    <x v="0"/>
    <n v="0"/>
    <n v="2E+20"/>
    <n v="0"/>
    <n v="0"/>
    <n v="96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6"/>
    <x v="0"/>
    <x v="0"/>
    <x v="0"/>
    <n v="0"/>
    <n v="2E+20"/>
    <n v="0"/>
    <n v="0"/>
    <n v="95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6"/>
    <x v="0"/>
    <x v="1"/>
    <x v="0"/>
    <n v="0"/>
    <n v="2E+20"/>
    <n v="0"/>
    <n v="0"/>
    <n v="95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6"/>
    <x v="0"/>
    <x v="2"/>
    <x v="0"/>
    <n v="9.1734882274088108"/>
    <n v="2E+20"/>
    <n v="2.0026831159043499E-2"/>
    <n v="49.641521092688201"/>
    <n v="95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6"/>
    <x v="0"/>
    <x v="3"/>
    <x v="0"/>
    <n v="0"/>
    <n v="2E+20"/>
    <n v="0"/>
    <n v="0"/>
    <n v="95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6"/>
    <x v="0"/>
    <x v="4"/>
    <x v="0"/>
    <n v="8.6479956798216797"/>
    <n v="2E+20"/>
    <n v="2.0026831159043499E-2"/>
    <n v="49.641521092688201"/>
    <n v="95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6"/>
    <x v="0"/>
    <x v="5"/>
    <x v="0"/>
    <n v="0.52549254758713104"/>
    <n v="2E+20"/>
    <n v="0"/>
    <n v="11.7463045310827"/>
    <n v="95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7"/>
    <x v="0"/>
    <x v="0"/>
    <x v="0"/>
    <n v="0"/>
    <n v="2E+20"/>
    <n v="0"/>
    <n v="0"/>
    <n v="90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7"/>
    <x v="0"/>
    <x v="1"/>
    <x v="0"/>
    <n v="0"/>
    <n v="2E+20"/>
    <n v="0"/>
    <n v="0"/>
    <n v="90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7"/>
    <x v="0"/>
    <x v="2"/>
    <x v="0"/>
    <n v="9.3622531220660896"/>
    <n v="2E+20"/>
    <n v="0.175952694712635"/>
    <n v="36.7587741085093"/>
    <n v="90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7"/>
    <x v="0"/>
    <x v="3"/>
    <x v="0"/>
    <n v="0"/>
    <n v="2E+20"/>
    <n v="0"/>
    <n v="0"/>
    <n v="90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7"/>
    <x v="0"/>
    <x v="4"/>
    <x v="0"/>
    <n v="9.1819835294980692"/>
    <n v="2E+20"/>
    <n v="0.175952694712635"/>
    <n v="36.7587741085093"/>
    <n v="90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7"/>
    <x v="0"/>
    <x v="5"/>
    <x v="0"/>
    <n v="0.18026959256802499"/>
    <n v="2E+20"/>
    <n v="0"/>
    <n v="3.8292360829544498"/>
    <n v="90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8"/>
    <x v="0"/>
    <x v="0"/>
    <x v="0"/>
    <n v="0"/>
    <n v="2E+20"/>
    <n v="0"/>
    <n v="0"/>
    <n v="72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8"/>
    <x v="0"/>
    <x v="1"/>
    <x v="0"/>
    <n v="0"/>
    <n v="2E+20"/>
    <n v="0"/>
    <n v="0"/>
    <n v="72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8"/>
    <x v="0"/>
    <x v="2"/>
    <x v="0"/>
    <n v="9.3511737924848504"/>
    <n v="2E+20"/>
    <n v="0.13672610701479501"/>
    <n v="58.488493769752203"/>
    <n v="72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8"/>
    <x v="0"/>
    <x v="3"/>
    <x v="0"/>
    <n v="0"/>
    <n v="2E+20"/>
    <n v="0"/>
    <n v="0"/>
    <n v="72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8"/>
    <x v="0"/>
    <x v="4"/>
    <x v="0"/>
    <n v="9.3511737924848504"/>
    <n v="2E+20"/>
    <n v="0.13672610701479501"/>
    <n v="58.488493769752203"/>
    <n v="72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8"/>
    <x v="0"/>
    <x v="5"/>
    <x v="0"/>
    <n v="0"/>
    <n v="2E+20"/>
    <n v="0"/>
    <n v="0"/>
    <n v="72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9"/>
    <x v="0"/>
    <x v="0"/>
    <x v="0"/>
    <n v="0"/>
    <n v="2E+20"/>
    <n v="0"/>
    <n v="0"/>
    <n v="85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9"/>
    <x v="0"/>
    <x v="1"/>
    <x v="0"/>
    <n v="0"/>
    <n v="2E+20"/>
    <n v="0"/>
    <n v="0"/>
    <n v="85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9"/>
    <x v="0"/>
    <x v="2"/>
    <x v="0"/>
    <n v="7.2373663545992297"/>
    <n v="2E+20"/>
    <n v="7.7823452125869594E-2"/>
    <n v="35.269038809934699"/>
    <n v="85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9"/>
    <x v="0"/>
    <x v="3"/>
    <x v="0"/>
    <n v="0"/>
    <n v="2E+20"/>
    <n v="0"/>
    <n v="0"/>
    <n v="85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9"/>
    <x v="0"/>
    <x v="4"/>
    <x v="0"/>
    <n v="7.2373663545992297"/>
    <n v="2E+20"/>
    <n v="7.7823452125869594E-2"/>
    <n v="35.269038809934699"/>
    <n v="85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9"/>
    <x v="0"/>
    <x v="5"/>
    <x v="0"/>
    <n v="0"/>
    <n v="2E+20"/>
    <n v="0"/>
    <n v="0"/>
    <n v="85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10"/>
    <x v="0"/>
    <x v="0"/>
    <x v="0"/>
    <n v="0"/>
    <n v="2E+20"/>
    <n v="0"/>
    <n v="0"/>
    <n v="81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0"/>
    <x v="0"/>
    <x v="1"/>
    <x v="0"/>
    <n v="0"/>
    <n v="2E+20"/>
    <n v="0"/>
    <n v="0"/>
    <n v="81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0"/>
    <x v="0"/>
    <x v="2"/>
    <x v="0"/>
    <n v="6.9430321742064596"/>
    <n v="2E+20"/>
    <n v="7.7657682952917598E-2"/>
    <n v="32.531605815939102"/>
    <n v="81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10"/>
    <x v="0"/>
    <x v="3"/>
    <x v="0"/>
    <n v="0"/>
    <n v="2E+20"/>
    <n v="0"/>
    <n v="0"/>
    <n v="81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0"/>
    <x v="0"/>
    <x v="4"/>
    <x v="0"/>
    <n v="6.7904316364990898"/>
    <n v="2E+20"/>
    <n v="7.7657682952917598E-2"/>
    <n v="32.531605815939102"/>
    <n v="81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10"/>
    <x v="0"/>
    <x v="5"/>
    <x v="0"/>
    <n v="0.152600537707371"/>
    <n v="2E+20"/>
    <n v="0"/>
    <n v="6.2184450640811004"/>
    <n v="81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11"/>
    <x v="0"/>
    <x v="0"/>
    <x v="0"/>
    <n v="0"/>
    <n v="2E+20"/>
    <n v="0"/>
    <n v="0"/>
    <n v="95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1"/>
    <x v="0"/>
    <x v="1"/>
    <x v="0"/>
    <n v="0"/>
    <n v="2E+20"/>
    <n v="0"/>
    <n v="0"/>
    <n v="95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1"/>
    <x v="0"/>
    <x v="2"/>
    <x v="0"/>
    <n v="7.6436225200317196"/>
    <n v="2E+20"/>
    <n v="2.6457518208204099E-2"/>
    <n v="31.827566203010601"/>
    <n v="95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11"/>
    <x v="0"/>
    <x v="3"/>
    <x v="0"/>
    <n v="0"/>
    <n v="2E+20"/>
    <n v="0"/>
    <n v="0"/>
    <n v="95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1"/>
    <x v="0"/>
    <x v="4"/>
    <x v="0"/>
    <n v="7.5855766924020402"/>
    <n v="2E+20"/>
    <n v="2.6457518208204099E-2"/>
    <n v="31.827566203010601"/>
    <n v="95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11"/>
    <x v="0"/>
    <x v="5"/>
    <x v="0"/>
    <n v="5.8045827629687102E-2"/>
    <n v="2E+20"/>
    <n v="0"/>
    <n v="5.51435362482027"/>
    <n v="95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12"/>
    <x v="0"/>
    <x v="0"/>
    <x v="0"/>
    <n v="0"/>
    <n v="2E+20"/>
    <n v="0"/>
    <n v="0"/>
    <n v="80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2"/>
    <x v="0"/>
    <x v="1"/>
    <x v="0"/>
    <n v="0"/>
    <n v="2E+20"/>
    <n v="0"/>
    <n v="0"/>
    <n v="80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2"/>
    <x v="0"/>
    <x v="2"/>
    <x v="0"/>
    <n v="9.8385950367205108"/>
    <n v="2E+20"/>
    <n v="3.2110826562586701E-2"/>
    <n v="40.611510426090099"/>
    <n v="80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12"/>
    <x v="0"/>
    <x v="3"/>
    <x v="0"/>
    <n v="0"/>
    <n v="2E+20"/>
    <n v="0"/>
    <n v="0"/>
    <n v="80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2"/>
    <x v="0"/>
    <x v="4"/>
    <x v="0"/>
    <n v="8.0820314835319405"/>
    <n v="2E+20"/>
    <n v="3.2110826562586701E-2"/>
    <n v="40.611510426090099"/>
    <n v="80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12"/>
    <x v="0"/>
    <x v="5"/>
    <x v="0"/>
    <n v="1.7565635531885599"/>
    <n v="2E+20"/>
    <n v="0"/>
    <n v="15.4369804087658"/>
    <n v="80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13"/>
    <x v="0"/>
    <x v="0"/>
    <x v="0"/>
    <n v="0"/>
    <n v="2E+20"/>
    <n v="0"/>
    <n v="0"/>
    <n v="92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3"/>
    <x v="0"/>
    <x v="1"/>
    <x v="0"/>
    <n v="0"/>
    <n v="2E+20"/>
    <n v="0"/>
    <n v="0"/>
    <n v="92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3"/>
    <x v="0"/>
    <x v="2"/>
    <x v="0"/>
    <n v="8.5981850209165902"/>
    <n v="2E+20"/>
    <n v="6.9634087496297098E-2"/>
    <n v="42.113635255078798"/>
    <n v="92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13"/>
    <x v="0"/>
    <x v="3"/>
    <x v="0"/>
    <n v="0"/>
    <n v="2E+20"/>
    <n v="0"/>
    <n v="0"/>
    <n v="92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3"/>
    <x v="0"/>
    <x v="4"/>
    <x v="0"/>
    <n v="8.5084773026319294"/>
    <n v="2E+20"/>
    <n v="6.9634087496297098E-2"/>
    <n v="42.113635255078798"/>
    <n v="92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13"/>
    <x v="0"/>
    <x v="5"/>
    <x v="0"/>
    <n v="8.9707718284653903E-2"/>
    <n v="2E+20"/>
    <n v="0"/>
    <n v="3.3215003967990202"/>
    <n v="92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14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4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4"/>
    <x v="0"/>
    <x v="2"/>
    <x v="0"/>
    <n v="7.3043228779633802"/>
    <n v="2E+20"/>
    <n v="0.19314470858736901"/>
    <n v="33.326973197422802"/>
    <n v="91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14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4"/>
    <x v="0"/>
    <x v="4"/>
    <x v="0"/>
    <n v="7.2717006197055296"/>
    <n v="2E+20"/>
    <n v="0.19314470858736901"/>
    <n v="33.326973197422802"/>
    <n v="91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14"/>
    <x v="0"/>
    <x v="5"/>
    <x v="0"/>
    <n v="3.2622258257854302E-2"/>
    <n v="2E+20"/>
    <n v="0"/>
    <n v="1.5211024702228999"/>
    <n v="91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15"/>
    <x v="0"/>
    <x v="0"/>
    <x v="0"/>
    <n v="0"/>
    <n v="2E+20"/>
    <n v="0"/>
    <n v="0"/>
    <n v="86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5"/>
    <x v="0"/>
    <x v="1"/>
    <x v="0"/>
    <n v="0"/>
    <n v="2E+20"/>
    <n v="0"/>
    <n v="0"/>
    <n v="86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5"/>
    <x v="0"/>
    <x v="2"/>
    <x v="0"/>
    <n v="8.2478046317101796"/>
    <n v="2E+20"/>
    <n v="0.190139760605746"/>
    <n v="47.813525810613299"/>
    <n v="86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15"/>
    <x v="0"/>
    <x v="3"/>
    <x v="0"/>
    <n v="0"/>
    <n v="2E+20"/>
    <n v="0"/>
    <n v="0"/>
    <n v="86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5"/>
    <x v="0"/>
    <x v="4"/>
    <x v="0"/>
    <n v="8.1703979424556596"/>
    <n v="2E+20"/>
    <n v="0.190139760605746"/>
    <n v="47.813525810613299"/>
    <n v="86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15"/>
    <x v="0"/>
    <x v="5"/>
    <x v="0"/>
    <n v="7.7406689254527705E-2"/>
    <n v="2E+20"/>
    <n v="0"/>
    <n v="3.1172862474677498"/>
    <n v="86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16"/>
    <x v="0"/>
    <x v="0"/>
    <x v="0"/>
    <n v="0"/>
    <n v="2E+20"/>
    <n v="0"/>
    <n v="0"/>
    <n v="96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6"/>
    <x v="0"/>
    <x v="1"/>
    <x v="0"/>
    <n v="0"/>
    <n v="2E+20"/>
    <n v="0"/>
    <n v="0"/>
    <n v="96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6"/>
    <x v="0"/>
    <x v="2"/>
    <x v="0"/>
    <n v="10.366150950228"/>
    <n v="2E+20"/>
    <n v="1.78557104427455E-2"/>
    <n v="51.836035250993099"/>
    <n v="96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16"/>
    <x v="0"/>
    <x v="3"/>
    <x v="0"/>
    <n v="0"/>
    <n v="2E+20"/>
    <n v="0"/>
    <n v="0"/>
    <n v="96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6"/>
    <x v="0"/>
    <x v="4"/>
    <x v="0"/>
    <n v="10.1986245491017"/>
    <n v="2E+20"/>
    <n v="1.78557104427455E-2"/>
    <n v="51.836035250993099"/>
    <n v="96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16"/>
    <x v="0"/>
    <x v="5"/>
    <x v="0"/>
    <n v="0.167526401126319"/>
    <n v="2E+20"/>
    <n v="0"/>
    <n v="3.3436769914801499"/>
    <n v="96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17"/>
    <x v="0"/>
    <x v="0"/>
    <x v="0"/>
    <n v="0"/>
    <n v="2E+20"/>
    <n v="0"/>
    <n v="0"/>
    <n v="68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7"/>
    <x v="0"/>
    <x v="1"/>
    <x v="0"/>
    <n v="0"/>
    <n v="2E+20"/>
    <n v="0"/>
    <n v="0"/>
    <n v="68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7"/>
    <x v="0"/>
    <x v="2"/>
    <x v="0"/>
    <n v="7.5174632278014997"/>
    <n v="2E+20"/>
    <n v="0.15670464847801199"/>
    <n v="30.5640535683014"/>
    <n v="68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17"/>
    <x v="0"/>
    <x v="3"/>
    <x v="0"/>
    <n v="0"/>
    <n v="2E+20"/>
    <n v="0"/>
    <n v="0"/>
    <n v="68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7"/>
    <x v="0"/>
    <x v="4"/>
    <x v="0"/>
    <n v="7.4788328410148601"/>
    <n v="2E+20"/>
    <n v="0.15670464847801199"/>
    <n v="30.5640535683014"/>
    <n v="68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17"/>
    <x v="0"/>
    <x v="5"/>
    <x v="0"/>
    <n v="3.86303867866368E-2"/>
    <n v="2E+20"/>
    <n v="0"/>
    <n v="1.08638271366738"/>
    <n v="68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18"/>
    <x v="0"/>
    <x v="0"/>
    <x v="0"/>
    <n v="0"/>
    <n v="2E+20"/>
    <n v="0"/>
    <n v="0"/>
    <n v="101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8"/>
    <x v="0"/>
    <x v="1"/>
    <x v="0"/>
    <n v="0"/>
    <n v="2E+20"/>
    <n v="0"/>
    <n v="0"/>
    <n v="101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8"/>
    <x v="0"/>
    <x v="2"/>
    <x v="0"/>
    <n v="9.8666456432813803"/>
    <n v="2E+20"/>
    <n v="0.13528529806103501"/>
    <n v="38.633328617339501"/>
    <n v="101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18"/>
    <x v="0"/>
    <x v="3"/>
    <x v="0"/>
    <n v="0"/>
    <n v="2E+20"/>
    <n v="0"/>
    <n v="0"/>
    <n v="101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8"/>
    <x v="0"/>
    <x v="4"/>
    <x v="0"/>
    <n v="9.1765340939111706"/>
    <n v="2E+20"/>
    <n v="0.13528529806103501"/>
    <n v="38.633328617339501"/>
    <n v="101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18"/>
    <x v="0"/>
    <x v="5"/>
    <x v="0"/>
    <n v="0.69011154937021602"/>
    <n v="2E+20"/>
    <n v="0"/>
    <n v="12.1236007212635"/>
    <n v="101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19"/>
    <x v="0"/>
    <x v="0"/>
    <x v="0"/>
    <n v="0"/>
    <n v="2E+20"/>
    <n v="0"/>
    <n v="0"/>
    <n v="83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9"/>
    <x v="0"/>
    <x v="1"/>
    <x v="0"/>
    <n v="0"/>
    <n v="2E+20"/>
    <n v="0"/>
    <n v="0"/>
    <n v="83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9"/>
    <x v="0"/>
    <x v="2"/>
    <x v="0"/>
    <n v="8.8496132868618194"/>
    <n v="2E+20"/>
    <n v="6.4063890553143201E-3"/>
    <n v="38.060326901497298"/>
    <n v="83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19"/>
    <x v="0"/>
    <x v="3"/>
    <x v="0"/>
    <n v="0"/>
    <n v="2E+20"/>
    <n v="0"/>
    <n v="0"/>
    <n v="83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19"/>
    <x v="0"/>
    <x v="4"/>
    <x v="0"/>
    <n v="8.6915015201580399"/>
    <n v="2E+20"/>
    <n v="6.4063890553143201E-3"/>
    <n v="38.060326901497298"/>
    <n v="83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19"/>
    <x v="0"/>
    <x v="5"/>
    <x v="0"/>
    <n v="0.158111766703772"/>
    <n v="2E+20"/>
    <n v="0"/>
    <n v="4.3739773832420497"/>
    <n v="83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20"/>
    <x v="0"/>
    <x v="0"/>
    <x v="0"/>
    <n v="0"/>
    <n v="2E+20"/>
    <n v="0"/>
    <n v="0"/>
    <n v="84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0"/>
    <x v="0"/>
    <x v="1"/>
    <x v="0"/>
    <n v="0"/>
    <n v="2E+20"/>
    <n v="0"/>
    <n v="0"/>
    <n v="84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0"/>
    <x v="0"/>
    <x v="2"/>
    <x v="0"/>
    <n v="7.5817489919705796"/>
    <n v="2E+20"/>
    <n v="5.1675866018285901E-2"/>
    <n v="66.702859103432402"/>
    <n v="84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20"/>
    <x v="0"/>
    <x v="3"/>
    <x v="0"/>
    <n v="0"/>
    <n v="2E+20"/>
    <n v="0"/>
    <n v="0"/>
    <n v="84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0"/>
    <x v="0"/>
    <x v="4"/>
    <x v="0"/>
    <n v="7.5526435883521996"/>
    <n v="2E+20"/>
    <n v="5.1675866018285901E-2"/>
    <n v="66.702859103432402"/>
    <n v="84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20"/>
    <x v="0"/>
    <x v="5"/>
    <x v="0"/>
    <n v="2.9105403618376501E-2"/>
    <n v="2E+20"/>
    <n v="0"/>
    <n v="1.42552600445856"/>
    <n v="84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21"/>
    <x v="0"/>
    <x v="0"/>
    <x v="0"/>
    <n v="0"/>
    <n v="2E+20"/>
    <n v="0"/>
    <n v="0"/>
    <n v="93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1"/>
    <x v="0"/>
    <x v="1"/>
    <x v="0"/>
    <n v="0"/>
    <n v="2E+20"/>
    <n v="0"/>
    <n v="0"/>
    <n v="93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1"/>
    <x v="0"/>
    <x v="2"/>
    <x v="0"/>
    <n v="6.81306602680844"/>
    <n v="2E+20"/>
    <n v="6.5702714622375397E-2"/>
    <n v="33.829346636880601"/>
    <n v="93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21"/>
    <x v="0"/>
    <x v="3"/>
    <x v="0"/>
    <n v="0"/>
    <n v="2E+20"/>
    <n v="0"/>
    <n v="0"/>
    <n v="93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1"/>
    <x v="0"/>
    <x v="4"/>
    <x v="0"/>
    <n v="6.81306602680844"/>
    <n v="2E+20"/>
    <n v="6.5702714622375397E-2"/>
    <n v="33.829346636880601"/>
    <n v="93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21"/>
    <x v="0"/>
    <x v="5"/>
    <x v="0"/>
    <n v="0"/>
    <n v="2E+20"/>
    <n v="0"/>
    <n v="0"/>
    <n v="93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22"/>
    <x v="0"/>
    <x v="0"/>
    <x v="0"/>
    <n v="0"/>
    <n v="2E+20"/>
    <n v="0"/>
    <n v="0"/>
    <n v="81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2"/>
    <x v="0"/>
    <x v="1"/>
    <x v="0"/>
    <n v="0"/>
    <n v="2E+20"/>
    <n v="0"/>
    <n v="0"/>
    <n v="81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2"/>
    <x v="0"/>
    <x v="2"/>
    <x v="0"/>
    <n v="9.3837454494722596"/>
    <n v="2E+20"/>
    <n v="2.5144256069182799E-2"/>
    <n v="32.238673536365901"/>
    <n v="81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22"/>
    <x v="0"/>
    <x v="3"/>
    <x v="0"/>
    <n v="0"/>
    <n v="2E+20"/>
    <n v="0"/>
    <n v="0"/>
    <n v="81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2"/>
    <x v="0"/>
    <x v="4"/>
    <x v="0"/>
    <n v="9.3607979970631501"/>
    <n v="2E+20"/>
    <n v="2.5144256069182799E-2"/>
    <n v="32.238673536365901"/>
    <n v="81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22"/>
    <x v="0"/>
    <x v="5"/>
    <x v="0"/>
    <n v="2.29474524091084E-2"/>
    <n v="2E+20"/>
    <n v="0"/>
    <n v="1.52567910742997"/>
    <n v="81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23"/>
    <x v="0"/>
    <x v="0"/>
    <x v="0"/>
    <n v="0"/>
    <n v="2E+20"/>
    <n v="0"/>
    <n v="0"/>
    <n v="92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3"/>
    <x v="0"/>
    <x v="1"/>
    <x v="0"/>
    <n v="0"/>
    <n v="2E+20"/>
    <n v="0"/>
    <n v="0"/>
    <n v="92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3"/>
    <x v="0"/>
    <x v="2"/>
    <x v="0"/>
    <n v="8.0349329050952303"/>
    <n v="2E+20"/>
    <n v="1.31104526331001E-2"/>
    <n v="33.4586433379204"/>
    <n v="92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23"/>
    <x v="0"/>
    <x v="3"/>
    <x v="0"/>
    <n v="0"/>
    <n v="2E+20"/>
    <n v="0"/>
    <n v="0"/>
    <n v="92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3"/>
    <x v="0"/>
    <x v="4"/>
    <x v="0"/>
    <n v="7.7671451156240803"/>
    <n v="2E+20"/>
    <n v="1.31104526331001E-2"/>
    <n v="33.4586433379204"/>
    <n v="92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23"/>
    <x v="0"/>
    <x v="5"/>
    <x v="0"/>
    <n v="0.26778778947113901"/>
    <n v="2E+20"/>
    <n v="0"/>
    <n v="6.4738128586644503"/>
    <n v="92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24"/>
    <x v="0"/>
    <x v="0"/>
    <x v="0"/>
    <n v="0"/>
    <n v="2E+20"/>
    <n v="0"/>
    <n v="0"/>
    <n v="73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4"/>
    <x v="0"/>
    <x v="1"/>
    <x v="0"/>
    <n v="0"/>
    <n v="2E+20"/>
    <n v="0"/>
    <n v="0"/>
    <n v="73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4"/>
    <x v="0"/>
    <x v="2"/>
    <x v="0"/>
    <n v="8.4896722916083007"/>
    <n v="2E+20"/>
    <n v="0.113476061281631"/>
    <n v="39.532637762023697"/>
    <n v="73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24"/>
    <x v="0"/>
    <x v="3"/>
    <x v="0"/>
    <n v="0"/>
    <n v="2E+20"/>
    <n v="0"/>
    <n v="0"/>
    <n v="73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4"/>
    <x v="0"/>
    <x v="4"/>
    <x v="0"/>
    <n v="8.4753865984192895"/>
    <n v="2E+20"/>
    <n v="0.113476061281631"/>
    <n v="39.532637762023697"/>
    <n v="73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24"/>
    <x v="0"/>
    <x v="5"/>
    <x v="0"/>
    <n v="1.4285693189010599E-2"/>
    <n v="2E+20"/>
    <n v="0"/>
    <n v="1.04285560279777"/>
    <n v="73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25"/>
    <x v="0"/>
    <x v="0"/>
    <x v="0"/>
    <n v="0"/>
    <n v="2E+20"/>
    <n v="0"/>
    <n v="0"/>
    <n v="88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5"/>
    <x v="0"/>
    <x v="1"/>
    <x v="0"/>
    <n v="0"/>
    <n v="2E+20"/>
    <n v="0"/>
    <n v="0"/>
    <n v="88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5"/>
    <x v="0"/>
    <x v="2"/>
    <x v="0"/>
    <n v="7.6879614341105897"/>
    <n v="2E+20"/>
    <n v="9.0271934225967208E-3"/>
    <n v="36.6592571995469"/>
    <n v="88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25"/>
    <x v="0"/>
    <x v="3"/>
    <x v="0"/>
    <n v="0"/>
    <n v="2E+20"/>
    <n v="0"/>
    <n v="0"/>
    <n v="88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5"/>
    <x v="0"/>
    <x v="4"/>
    <x v="0"/>
    <n v="7.6722876750367401"/>
    <n v="2E+20"/>
    <n v="9.0271934225967208E-3"/>
    <n v="36.6592571995469"/>
    <n v="88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25"/>
    <x v="0"/>
    <x v="5"/>
    <x v="0"/>
    <n v="1.5673759073850699E-2"/>
    <n v="2E+20"/>
    <n v="0"/>
    <n v="0.70572653491922199"/>
    <n v="88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26"/>
    <x v="0"/>
    <x v="0"/>
    <x v="0"/>
    <n v="0"/>
    <n v="2E+20"/>
    <n v="0"/>
    <n v="0"/>
    <n v="80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6"/>
    <x v="0"/>
    <x v="1"/>
    <x v="0"/>
    <n v="0"/>
    <n v="2E+20"/>
    <n v="0"/>
    <n v="0"/>
    <n v="80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6"/>
    <x v="0"/>
    <x v="2"/>
    <x v="0"/>
    <n v="7.8286909932485296"/>
    <n v="2E+20"/>
    <n v="6.2754048036595101E-4"/>
    <n v="38.8938228204712"/>
    <n v="80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26"/>
    <x v="0"/>
    <x v="3"/>
    <x v="0"/>
    <n v="0"/>
    <n v="2E+20"/>
    <n v="0"/>
    <n v="0"/>
    <n v="80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6"/>
    <x v="0"/>
    <x v="4"/>
    <x v="0"/>
    <n v="7.7486300587185699"/>
    <n v="2E+20"/>
    <n v="6.2754048036595101E-4"/>
    <n v="38.8938228204712"/>
    <n v="80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26"/>
    <x v="0"/>
    <x v="5"/>
    <x v="0"/>
    <n v="8.0060934529957495E-2"/>
    <n v="2E+20"/>
    <n v="0"/>
    <n v="1.99843619192495"/>
    <n v="80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27"/>
    <x v="0"/>
    <x v="0"/>
    <x v="0"/>
    <n v="0"/>
    <n v="2E+20"/>
    <n v="0"/>
    <n v="0"/>
    <n v="88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7"/>
    <x v="0"/>
    <x v="1"/>
    <x v="0"/>
    <n v="0"/>
    <n v="2E+20"/>
    <n v="0"/>
    <n v="0"/>
    <n v="88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7"/>
    <x v="0"/>
    <x v="2"/>
    <x v="0"/>
    <n v="8.81462007163951"/>
    <n v="2E+20"/>
    <n v="0.181986718430977"/>
    <n v="60.5378249523392"/>
    <n v="88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27"/>
    <x v="0"/>
    <x v="3"/>
    <x v="0"/>
    <n v="0"/>
    <n v="2E+20"/>
    <n v="0"/>
    <n v="0"/>
    <n v="88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7"/>
    <x v="0"/>
    <x v="4"/>
    <x v="0"/>
    <n v="8.6085159560282101"/>
    <n v="2E+20"/>
    <n v="0.181986718430977"/>
    <n v="60.5378249523392"/>
    <n v="88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27"/>
    <x v="0"/>
    <x v="5"/>
    <x v="0"/>
    <n v="0.20610411561130501"/>
    <n v="2E+20"/>
    <n v="0"/>
    <n v="5.6556757474375603"/>
    <n v="88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28"/>
    <x v="0"/>
    <x v="0"/>
    <x v="0"/>
    <n v="0"/>
    <n v="2E+20"/>
    <n v="0"/>
    <n v="0"/>
    <n v="98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8"/>
    <x v="0"/>
    <x v="1"/>
    <x v="0"/>
    <n v="0"/>
    <n v="2E+20"/>
    <n v="0"/>
    <n v="0"/>
    <n v="98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8"/>
    <x v="0"/>
    <x v="2"/>
    <x v="0"/>
    <n v="8.1976403685788704"/>
    <n v="2E+20"/>
    <n v="0.17547477122070601"/>
    <n v="63.392444108219102"/>
    <n v="98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28"/>
    <x v="0"/>
    <x v="3"/>
    <x v="0"/>
    <n v="0"/>
    <n v="2E+20"/>
    <n v="0"/>
    <n v="0"/>
    <n v="98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8"/>
    <x v="0"/>
    <x v="4"/>
    <x v="0"/>
    <n v="8.1504682078615396"/>
    <n v="2E+20"/>
    <n v="0.17547477122070601"/>
    <n v="63.392444108219102"/>
    <n v="98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28"/>
    <x v="0"/>
    <x v="5"/>
    <x v="0"/>
    <n v="4.7172160717325003E-2"/>
    <n v="2E+20"/>
    <n v="0"/>
    <n v="1.81293433665347"/>
    <n v="98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29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9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9"/>
    <x v="0"/>
    <x v="2"/>
    <x v="0"/>
    <n v="8.7059058592685794"/>
    <n v="2E+20"/>
    <n v="3.6342768931433497E-2"/>
    <n v="55.170941421627099"/>
    <n v="89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29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29"/>
    <x v="0"/>
    <x v="4"/>
    <x v="0"/>
    <n v="8.5453694191801901"/>
    <n v="2E+20"/>
    <n v="3.6342768931433497E-2"/>
    <n v="55.170941421627099"/>
    <n v="89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29"/>
    <x v="0"/>
    <x v="5"/>
    <x v="0"/>
    <n v="0.16053644008838699"/>
    <n v="2E+20"/>
    <n v="0"/>
    <n v="5.3229909550951504"/>
    <n v="89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30"/>
    <x v="0"/>
    <x v="0"/>
    <x v="0"/>
    <n v="0"/>
    <n v="2E+20"/>
    <n v="0"/>
    <n v="0"/>
    <n v="102"/>
    <s v="Unnamed ProjectCustomerNVA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30"/>
    <x v="0"/>
    <x v="1"/>
    <x v="0"/>
    <n v="0"/>
    <n v="2E+20"/>
    <n v="0"/>
    <n v="0"/>
    <n v="102"/>
    <s v="Unnamed ProjectCustomerOth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30"/>
    <x v="0"/>
    <x v="2"/>
    <x v="0"/>
    <n v="8.1663408147043892"/>
    <n v="2E+20"/>
    <n v="6.4147843096890297E-2"/>
    <n v="39.694135643202003"/>
    <n v="102"/>
    <s v="Unnamed ProjectCustomerTotal TimeEntity"/>
    <n v="30"/>
    <n v="8.3792916507108366"/>
    <n v="0.93466762779502222"/>
    <n v="0.95"/>
    <n v="0.34901062804779692"/>
    <n v="6.81306602680844"/>
    <n v="10.366150950228"/>
    <n v="6.2754048036595101E-4"/>
    <n v="66.702859103432402"/>
    <n v="88.466666666666669"/>
    <n v="0.34901062804779692"/>
    <n v="30"/>
    <n v="1"/>
  </r>
  <r>
    <x v="0"/>
    <s v="2025-02-11 20:33:52"/>
    <n v="30"/>
    <x v="0"/>
    <x v="3"/>
    <x v="0"/>
    <n v="0"/>
    <n v="2E+20"/>
    <n v="0"/>
    <n v="0"/>
    <n v="102"/>
    <s v="Unnamed ProjectCustomerTransfer TimeEntity"/>
    <n v="30"/>
    <n v="0"/>
    <n v="0"/>
    <n v="0.95"/>
    <n v="0"/>
    <n v="0"/>
    <n v="0"/>
    <n v="0"/>
    <n v="0"/>
    <n v="88.466666666666669"/>
    <n v="0"/>
    <n v="30"/>
    <n v="1"/>
  </r>
  <r>
    <x v="0"/>
    <s v="2025-02-11 20:33:52"/>
    <n v="30"/>
    <x v="0"/>
    <x v="4"/>
    <x v="0"/>
    <n v="8.1181424700818603"/>
    <n v="2E+20"/>
    <n v="6.4147843096890297E-2"/>
    <n v="39.694135643202003"/>
    <n v="102"/>
    <s v="Unnamed ProjectCustomerVA TimeEntity"/>
    <n v="30"/>
    <n v="8.2121938784188373"/>
    <n v="0.83160875742536189"/>
    <n v="0.95"/>
    <n v="0.31052781340440827"/>
    <n v="6.7904316364990898"/>
    <n v="10.1986245491017"/>
    <n v="6.2754048036595101E-4"/>
    <n v="66.702859103432402"/>
    <n v="88.466666666666669"/>
    <n v="0.31052781340440827"/>
    <n v="30"/>
    <n v="1"/>
  </r>
  <r>
    <x v="0"/>
    <s v="2025-02-11 20:33:52"/>
    <n v="30"/>
    <x v="0"/>
    <x v="5"/>
    <x v="0"/>
    <n v="4.8198344622537102E-2"/>
    <n v="2E+20"/>
    <n v="0"/>
    <n v="2.6277084140896099"/>
    <n v="102"/>
    <s v="Unnamed ProjectCustomerWait TimeEntity"/>
    <n v="30"/>
    <n v="0.16709777229199901"/>
    <n v="0.33693373980050262"/>
    <n v="0.95"/>
    <n v="0.12581312612236456"/>
    <n v="0"/>
    <n v="1.7565635531885599"/>
    <n v="0"/>
    <n v="15.4369804087658"/>
    <n v="88.466666666666669"/>
    <n v="0.12581312612236456"/>
    <n v="30"/>
    <n v="1"/>
  </r>
  <r>
    <x v="0"/>
    <s v="2025-02-11 20:33:52"/>
    <n v="1"/>
    <x v="1"/>
    <x v="6"/>
    <x v="1"/>
    <n v="4.5724119686135198E-2"/>
    <n v="2E+20"/>
    <n v="0"/>
    <n v="1.53394997465028"/>
    <n v="82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2"/>
    <x v="1"/>
    <x v="6"/>
    <x v="1"/>
    <n v="5.5349779485481899E-2"/>
    <n v="2E+20"/>
    <n v="0"/>
    <n v="4.0879380036819004"/>
    <n v="100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3"/>
    <x v="1"/>
    <x v="6"/>
    <x v="1"/>
    <n v="2.4207755694088801E-2"/>
    <n v="2E+20"/>
    <n v="0"/>
    <n v="0.86334179735109695"/>
    <n v="108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4"/>
    <x v="1"/>
    <x v="6"/>
    <x v="1"/>
    <n v="6.6770268749886702E-2"/>
    <n v="2E+20"/>
    <n v="0"/>
    <n v="3.2183136626261901"/>
    <n v="89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5"/>
    <x v="1"/>
    <x v="6"/>
    <x v="1"/>
    <n v="0"/>
    <n v="2E+20"/>
    <n v="0"/>
    <n v="0"/>
    <n v="96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6"/>
    <x v="1"/>
    <x v="6"/>
    <x v="1"/>
    <n v="0.52001866688309795"/>
    <n v="2E+20"/>
    <n v="0"/>
    <n v="11.7463045310827"/>
    <n v="96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7"/>
    <x v="1"/>
    <x v="6"/>
    <x v="1"/>
    <n v="0.17828860803430999"/>
    <n v="2E+20"/>
    <n v="0"/>
    <n v="3.8292360829544498"/>
    <n v="91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8"/>
    <x v="1"/>
    <x v="6"/>
    <x v="1"/>
    <n v="0"/>
    <n v="2E+20"/>
    <n v="0"/>
    <n v="0"/>
    <n v="72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9"/>
    <x v="1"/>
    <x v="6"/>
    <x v="1"/>
    <n v="0"/>
    <n v="2E+20"/>
    <n v="0"/>
    <n v="0"/>
    <n v="87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10"/>
    <x v="1"/>
    <x v="6"/>
    <x v="1"/>
    <n v="0.14892341631683201"/>
    <n v="2E+20"/>
    <n v="0"/>
    <n v="6.2184450640811004"/>
    <n v="83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11"/>
    <x v="1"/>
    <x v="6"/>
    <x v="1"/>
    <n v="5.8045827629687102E-2"/>
    <n v="2E+20"/>
    <n v="0"/>
    <n v="5.51435362482027"/>
    <n v="95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12"/>
    <x v="1"/>
    <x v="6"/>
    <x v="1"/>
    <n v="1.7137205396961599"/>
    <n v="2E+20"/>
    <n v="0"/>
    <n v="15.4369804087658"/>
    <n v="82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13"/>
    <x v="1"/>
    <x v="6"/>
    <x v="1"/>
    <n v="8.9707718284653903E-2"/>
    <n v="2E+20"/>
    <n v="0"/>
    <n v="3.3215003967990202"/>
    <n v="92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14"/>
    <x v="1"/>
    <x v="6"/>
    <x v="1"/>
    <n v="3.2267668494182E-2"/>
    <n v="2E+20"/>
    <n v="0"/>
    <n v="1.5211024702228999"/>
    <n v="92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15"/>
    <x v="1"/>
    <x v="6"/>
    <x v="1"/>
    <n v="7.7406689254527705E-2"/>
    <n v="2E+20"/>
    <n v="0"/>
    <n v="3.1172862474677498"/>
    <n v="86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16"/>
    <x v="1"/>
    <x v="6"/>
    <x v="1"/>
    <n v="0.167526401126319"/>
    <n v="2E+20"/>
    <n v="0"/>
    <n v="3.3436769914801499"/>
    <n v="96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17"/>
    <x v="1"/>
    <x v="6"/>
    <x v="1"/>
    <n v="3.6998116922412699E-2"/>
    <n v="2E+20"/>
    <n v="0"/>
    <n v="1.08638271366738"/>
    <n v="71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18"/>
    <x v="1"/>
    <x v="6"/>
    <x v="1"/>
    <n v="0.68334574986658703"/>
    <n v="2E+20"/>
    <n v="0"/>
    <n v="12.1236007212635"/>
    <n v="102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19"/>
    <x v="1"/>
    <x v="6"/>
    <x v="1"/>
    <n v="0.158111766703772"/>
    <n v="2E+20"/>
    <n v="0"/>
    <n v="4.3739773832420497"/>
    <n v="83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20"/>
    <x v="1"/>
    <x v="6"/>
    <x v="1"/>
    <n v="2.8762987105219101E-2"/>
    <n v="2E+20"/>
    <n v="0"/>
    <n v="1.42552600445856"/>
    <n v="85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21"/>
    <x v="1"/>
    <x v="6"/>
    <x v="1"/>
    <n v="0"/>
    <n v="2E+20"/>
    <n v="0"/>
    <n v="0"/>
    <n v="93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22"/>
    <x v="1"/>
    <x v="6"/>
    <x v="1"/>
    <n v="2.2394501748647901E-2"/>
    <n v="2E+20"/>
    <n v="0"/>
    <n v="1.52567910742997"/>
    <n v="83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23"/>
    <x v="1"/>
    <x v="6"/>
    <x v="1"/>
    <n v="0.26490835087467501"/>
    <n v="2E+20"/>
    <n v="0"/>
    <n v="6.4738128586644503"/>
    <n v="93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24"/>
    <x v="1"/>
    <x v="6"/>
    <x v="1"/>
    <n v="1.4092643281051E-2"/>
    <n v="2E+20"/>
    <n v="0"/>
    <n v="1.04285560279777"/>
    <n v="74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25"/>
    <x v="1"/>
    <x v="6"/>
    <x v="1"/>
    <n v="1.5673759073850699E-2"/>
    <n v="2E+20"/>
    <n v="0"/>
    <n v="0.70572653491922199"/>
    <n v="88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26"/>
    <x v="1"/>
    <x v="6"/>
    <x v="1"/>
    <n v="0.102406461045111"/>
    <n v="2E+20"/>
    <n v="0"/>
    <n v="1.99843619192495"/>
    <n v="81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27"/>
    <x v="1"/>
    <x v="6"/>
    <x v="1"/>
    <n v="0.201524024153276"/>
    <n v="2E+20"/>
    <n v="0"/>
    <n v="5.6556757474375603"/>
    <n v="90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28"/>
    <x v="1"/>
    <x v="6"/>
    <x v="1"/>
    <n v="4.7172160717325003E-2"/>
    <n v="2E+20"/>
    <n v="0"/>
    <n v="1.81293433665347"/>
    <n v="98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29"/>
    <x v="1"/>
    <x v="6"/>
    <x v="1"/>
    <n v="0.15875270186518201"/>
    <n v="2E+20"/>
    <n v="0"/>
    <n v="5.3229909550951504"/>
    <n v="90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  <r>
    <x v="0"/>
    <s v="2025-02-11 20:33:52"/>
    <n v="30"/>
    <x v="1"/>
    <x v="6"/>
    <x v="1"/>
    <n v="4.7271453379795998E-2"/>
    <n v="2E+20"/>
    <n v="0"/>
    <n v="2.6277084140896099"/>
    <n v="104"/>
    <s v="Unnamed ProjectService Process.QueueWaiting TimeQueue"/>
    <n v="30"/>
    <n v="0.16531240453574228"/>
    <n v="0.32926933820354465"/>
    <n v="0.95"/>
    <n v="0.12295119153148186"/>
    <n v="0"/>
    <n v="1.7137205396961599"/>
    <n v="0"/>
    <n v="15.4369804087658"/>
    <n v="89.4"/>
    <n v="0.12295119153148186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33:52"/>
    <n v="1"/>
    <x v="0"/>
    <x v="0"/>
    <x v="0"/>
    <n v="82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1"/>
    <x v="1"/>
    <x v="1"/>
    <x v="0"/>
    <n v="81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1"/>
    <x v="2"/>
    <x v="2"/>
    <x v="1"/>
    <n v="82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1"/>
    <x v="3"/>
    <x v="3"/>
    <x v="1"/>
    <n v="0.34810337586844797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1"/>
    <x v="4"/>
    <x v="1"/>
    <x v="2"/>
    <n v="81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2"/>
    <x v="0"/>
    <x v="0"/>
    <x v="0"/>
    <n v="100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2"/>
    <x v="1"/>
    <x v="1"/>
    <x v="0"/>
    <n v="98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2"/>
    <x v="2"/>
    <x v="2"/>
    <x v="1"/>
    <n v="100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2"/>
    <x v="3"/>
    <x v="3"/>
    <x v="1"/>
    <n v="0.39439353533598198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2"/>
    <x v="4"/>
    <x v="1"/>
    <x v="2"/>
    <n v="98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3"/>
    <x v="0"/>
    <x v="0"/>
    <x v="0"/>
    <n v="108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3"/>
    <x v="1"/>
    <x v="1"/>
    <x v="0"/>
    <n v="107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3"/>
    <x v="2"/>
    <x v="2"/>
    <x v="1"/>
    <n v="108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3"/>
    <x v="3"/>
    <x v="3"/>
    <x v="1"/>
    <n v="0.42273473243562398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3"/>
    <x v="4"/>
    <x v="1"/>
    <x v="2"/>
    <n v="107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4"/>
    <x v="0"/>
    <x v="0"/>
    <x v="0"/>
    <n v="89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4"/>
    <x v="1"/>
    <x v="1"/>
    <x v="0"/>
    <n v="89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4"/>
    <x v="2"/>
    <x v="2"/>
    <x v="1"/>
    <n v="89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4"/>
    <x v="3"/>
    <x v="3"/>
    <x v="1"/>
    <n v="0.33349361038490599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4"/>
    <x v="4"/>
    <x v="1"/>
    <x v="2"/>
    <n v="89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5"/>
    <x v="0"/>
    <x v="0"/>
    <x v="0"/>
    <n v="96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5"/>
    <x v="1"/>
    <x v="1"/>
    <x v="0"/>
    <n v="96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5"/>
    <x v="2"/>
    <x v="2"/>
    <x v="1"/>
    <n v="96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5"/>
    <x v="3"/>
    <x v="3"/>
    <x v="1"/>
    <n v="0.30796496841222198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5"/>
    <x v="4"/>
    <x v="1"/>
    <x v="2"/>
    <n v="96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6"/>
    <x v="0"/>
    <x v="0"/>
    <x v="0"/>
    <n v="96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6"/>
    <x v="1"/>
    <x v="1"/>
    <x v="0"/>
    <n v="95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6"/>
    <x v="2"/>
    <x v="2"/>
    <x v="1"/>
    <n v="96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6"/>
    <x v="3"/>
    <x v="3"/>
    <x v="1"/>
    <n v="0.38150515211918201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6"/>
    <x v="4"/>
    <x v="1"/>
    <x v="2"/>
    <n v="95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7"/>
    <x v="0"/>
    <x v="0"/>
    <x v="0"/>
    <n v="91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7"/>
    <x v="1"/>
    <x v="1"/>
    <x v="0"/>
    <n v="90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7"/>
    <x v="2"/>
    <x v="2"/>
    <x v="1"/>
    <n v="91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7"/>
    <x v="3"/>
    <x v="3"/>
    <x v="1"/>
    <n v="0.38259165535883299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7"/>
    <x v="4"/>
    <x v="1"/>
    <x v="2"/>
    <n v="90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8"/>
    <x v="0"/>
    <x v="0"/>
    <x v="0"/>
    <n v="72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8"/>
    <x v="1"/>
    <x v="1"/>
    <x v="0"/>
    <n v="72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8"/>
    <x v="2"/>
    <x v="2"/>
    <x v="1"/>
    <n v="72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8"/>
    <x v="3"/>
    <x v="3"/>
    <x v="1"/>
    <n v="0.31170579308282897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8"/>
    <x v="4"/>
    <x v="1"/>
    <x v="2"/>
    <n v="72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9"/>
    <x v="0"/>
    <x v="0"/>
    <x v="0"/>
    <n v="87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9"/>
    <x v="1"/>
    <x v="1"/>
    <x v="0"/>
    <n v="85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9"/>
    <x v="2"/>
    <x v="2"/>
    <x v="1"/>
    <n v="87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9"/>
    <x v="3"/>
    <x v="3"/>
    <x v="1"/>
    <n v="0.29580691344465998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9"/>
    <x v="4"/>
    <x v="1"/>
    <x v="2"/>
    <n v="85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10"/>
    <x v="0"/>
    <x v="0"/>
    <x v="0"/>
    <n v="83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10"/>
    <x v="1"/>
    <x v="1"/>
    <x v="0"/>
    <n v="81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10"/>
    <x v="2"/>
    <x v="2"/>
    <x v="1"/>
    <n v="83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10"/>
    <x v="3"/>
    <x v="3"/>
    <x v="1"/>
    <n v="0.25603561267972003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10"/>
    <x v="4"/>
    <x v="1"/>
    <x v="2"/>
    <n v="81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11"/>
    <x v="0"/>
    <x v="0"/>
    <x v="0"/>
    <n v="95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11"/>
    <x v="1"/>
    <x v="1"/>
    <x v="0"/>
    <n v="95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11"/>
    <x v="2"/>
    <x v="2"/>
    <x v="1"/>
    <n v="95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11"/>
    <x v="3"/>
    <x v="3"/>
    <x v="1"/>
    <n v="0.33362490082323798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11"/>
    <x v="4"/>
    <x v="1"/>
    <x v="2"/>
    <n v="95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12"/>
    <x v="0"/>
    <x v="0"/>
    <x v="0"/>
    <n v="82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12"/>
    <x v="1"/>
    <x v="1"/>
    <x v="0"/>
    <n v="80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12"/>
    <x v="2"/>
    <x v="2"/>
    <x v="1"/>
    <n v="82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12"/>
    <x v="3"/>
    <x v="3"/>
    <x v="1"/>
    <n v="0.30601631145157698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12"/>
    <x v="4"/>
    <x v="1"/>
    <x v="2"/>
    <n v="80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13"/>
    <x v="0"/>
    <x v="0"/>
    <x v="0"/>
    <n v="92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13"/>
    <x v="1"/>
    <x v="1"/>
    <x v="0"/>
    <n v="92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13"/>
    <x v="2"/>
    <x v="2"/>
    <x v="1"/>
    <n v="92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13"/>
    <x v="3"/>
    <x v="3"/>
    <x v="1"/>
    <n v="0.36239810733432298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13"/>
    <x v="4"/>
    <x v="1"/>
    <x v="2"/>
    <n v="92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14"/>
    <x v="0"/>
    <x v="0"/>
    <x v="0"/>
    <n v="92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14"/>
    <x v="1"/>
    <x v="1"/>
    <x v="0"/>
    <n v="91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14"/>
    <x v="2"/>
    <x v="2"/>
    <x v="1"/>
    <n v="92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14"/>
    <x v="3"/>
    <x v="3"/>
    <x v="1"/>
    <n v="0.30649868955866399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14"/>
    <x v="4"/>
    <x v="1"/>
    <x v="2"/>
    <n v="91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15"/>
    <x v="0"/>
    <x v="0"/>
    <x v="0"/>
    <n v="86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15"/>
    <x v="1"/>
    <x v="1"/>
    <x v="0"/>
    <n v="86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15"/>
    <x v="2"/>
    <x v="2"/>
    <x v="1"/>
    <n v="86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15"/>
    <x v="3"/>
    <x v="3"/>
    <x v="1"/>
    <n v="0.325302881042216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15"/>
    <x v="4"/>
    <x v="1"/>
    <x v="2"/>
    <n v="86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16"/>
    <x v="0"/>
    <x v="0"/>
    <x v="0"/>
    <n v="96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16"/>
    <x v="1"/>
    <x v="1"/>
    <x v="0"/>
    <n v="96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16"/>
    <x v="2"/>
    <x v="2"/>
    <x v="1"/>
    <n v="96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16"/>
    <x v="3"/>
    <x v="3"/>
    <x v="1"/>
    <n v="0.45327220218229702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16"/>
    <x v="4"/>
    <x v="1"/>
    <x v="2"/>
    <n v="96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17"/>
    <x v="0"/>
    <x v="0"/>
    <x v="0"/>
    <n v="71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17"/>
    <x v="1"/>
    <x v="1"/>
    <x v="0"/>
    <n v="68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17"/>
    <x v="2"/>
    <x v="2"/>
    <x v="1"/>
    <n v="71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17"/>
    <x v="3"/>
    <x v="3"/>
    <x v="1"/>
    <n v="0.248757454721409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17"/>
    <x v="4"/>
    <x v="1"/>
    <x v="2"/>
    <n v="68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18"/>
    <x v="0"/>
    <x v="0"/>
    <x v="0"/>
    <n v="102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18"/>
    <x v="1"/>
    <x v="1"/>
    <x v="0"/>
    <n v="101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18"/>
    <x v="2"/>
    <x v="2"/>
    <x v="1"/>
    <n v="102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18"/>
    <x v="3"/>
    <x v="3"/>
    <x v="1"/>
    <n v="0.44098218611840101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18"/>
    <x v="4"/>
    <x v="1"/>
    <x v="2"/>
    <n v="101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19"/>
    <x v="0"/>
    <x v="0"/>
    <x v="0"/>
    <n v="83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19"/>
    <x v="1"/>
    <x v="1"/>
    <x v="0"/>
    <n v="83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19"/>
    <x v="2"/>
    <x v="2"/>
    <x v="1"/>
    <n v="83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19"/>
    <x v="3"/>
    <x v="3"/>
    <x v="1"/>
    <n v="0.33397899359866601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19"/>
    <x v="4"/>
    <x v="1"/>
    <x v="2"/>
    <n v="83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20"/>
    <x v="0"/>
    <x v="0"/>
    <x v="0"/>
    <n v="85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20"/>
    <x v="1"/>
    <x v="1"/>
    <x v="0"/>
    <n v="84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20"/>
    <x v="2"/>
    <x v="2"/>
    <x v="1"/>
    <n v="85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20"/>
    <x v="3"/>
    <x v="3"/>
    <x v="1"/>
    <n v="0.29500961506884299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20"/>
    <x v="4"/>
    <x v="1"/>
    <x v="2"/>
    <n v="84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21"/>
    <x v="0"/>
    <x v="0"/>
    <x v="0"/>
    <n v="93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21"/>
    <x v="1"/>
    <x v="1"/>
    <x v="0"/>
    <n v="93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21"/>
    <x v="2"/>
    <x v="2"/>
    <x v="1"/>
    <n v="93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21"/>
    <x v="3"/>
    <x v="3"/>
    <x v="1"/>
    <n v="0.29334034282091898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21"/>
    <x v="4"/>
    <x v="1"/>
    <x v="2"/>
    <n v="93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22"/>
    <x v="0"/>
    <x v="0"/>
    <x v="0"/>
    <n v="83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22"/>
    <x v="1"/>
    <x v="1"/>
    <x v="0"/>
    <n v="81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22"/>
    <x v="2"/>
    <x v="2"/>
    <x v="1"/>
    <n v="83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22"/>
    <x v="3"/>
    <x v="3"/>
    <x v="1"/>
    <n v="0.35308943499485601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22"/>
    <x v="4"/>
    <x v="1"/>
    <x v="2"/>
    <n v="81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23"/>
    <x v="0"/>
    <x v="0"/>
    <x v="0"/>
    <n v="93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23"/>
    <x v="1"/>
    <x v="1"/>
    <x v="0"/>
    <n v="92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23"/>
    <x v="2"/>
    <x v="2"/>
    <x v="1"/>
    <n v="93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23"/>
    <x v="3"/>
    <x v="3"/>
    <x v="1"/>
    <n v="0.335349754770705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23"/>
    <x v="4"/>
    <x v="1"/>
    <x v="2"/>
    <n v="92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24"/>
    <x v="0"/>
    <x v="0"/>
    <x v="0"/>
    <n v="74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24"/>
    <x v="1"/>
    <x v="1"/>
    <x v="0"/>
    <n v="73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24"/>
    <x v="2"/>
    <x v="2"/>
    <x v="1"/>
    <n v="74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24"/>
    <x v="3"/>
    <x v="3"/>
    <x v="1"/>
    <n v="0.289041984118456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24"/>
    <x v="4"/>
    <x v="1"/>
    <x v="2"/>
    <n v="73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25"/>
    <x v="0"/>
    <x v="0"/>
    <x v="0"/>
    <n v="88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25"/>
    <x v="1"/>
    <x v="1"/>
    <x v="0"/>
    <n v="88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25"/>
    <x v="2"/>
    <x v="2"/>
    <x v="1"/>
    <n v="88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25"/>
    <x v="3"/>
    <x v="3"/>
    <x v="1"/>
    <n v="0.31257468305705199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25"/>
    <x v="4"/>
    <x v="1"/>
    <x v="2"/>
    <n v="88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26"/>
    <x v="0"/>
    <x v="0"/>
    <x v="0"/>
    <n v="81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26"/>
    <x v="1"/>
    <x v="1"/>
    <x v="0"/>
    <n v="80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26"/>
    <x v="2"/>
    <x v="2"/>
    <x v="1"/>
    <n v="81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26"/>
    <x v="3"/>
    <x v="3"/>
    <x v="1"/>
    <n v="0.298492523166975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26"/>
    <x v="4"/>
    <x v="1"/>
    <x v="2"/>
    <n v="80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27"/>
    <x v="0"/>
    <x v="0"/>
    <x v="0"/>
    <n v="90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27"/>
    <x v="1"/>
    <x v="1"/>
    <x v="0"/>
    <n v="88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27"/>
    <x v="2"/>
    <x v="2"/>
    <x v="1"/>
    <n v="90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27"/>
    <x v="3"/>
    <x v="3"/>
    <x v="1"/>
    <n v="0.36166266889385801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27"/>
    <x v="4"/>
    <x v="1"/>
    <x v="2"/>
    <n v="88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28"/>
    <x v="0"/>
    <x v="0"/>
    <x v="0"/>
    <n v="98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28"/>
    <x v="1"/>
    <x v="1"/>
    <x v="0"/>
    <n v="98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28"/>
    <x v="2"/>
    <x v="2"/>
    <x v="1"/>
    <n v="98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28"/>
    <x v="3"/>
    <x v="3"/>
    <x v="1"/>
    <n v="0.36978976128260699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28"/>
    <x v="4"/>
    <x v="1"/>
    <x v="2"/>
    <n v="98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29"/>
    <x v="0"/>
    <x v="0"/>
    <x v="0"/>
    <n v="90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29"/>
    <x v="1"/>
    <x v="1"/>
    <x v="0"/>
    <n v="89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29"/>
    <x v="2"/>
    <x v="2"/>
    <x v="1"/>
    <n v="90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29"/>
    <x v="3"/>
    <x v="3"/>
    <x v="1"/>
    <n v="0.35436813128280398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29"/>
    <x v="4"/>
    <x v="1"/>
    <x v="2"/>
    <n v="89"/>
    <n v="0"/>
    <s v="Unnamed ProjectSystem.NumberOutNumber OutSystem"/>
    <n v="30"/>
    <n v="88.466666666666669"/>
    <n v="9.1490844966279035"/>
    <n v="0.95"/>
    <n v="3.4163242967592509"/>
    <n v="68"/>
    <n v="107"/>
  </r>
  <r>
    <x v="0"/>
    <s v="2025-02-11 20:33:52"/>
    <n v="30"/>
    <x v="0"/>
    <x v="0"/>
    <x v="0"/>
    <n v="104"/>
    <n v="0"/>
    <s v="Unnamed ProjectCustomer.NumberInNumber InEntity"/>
    <n v="30"/>
    <n v="89.4"/>
    <n v="8.9619886955580537"/>
    <n v="0.95"/>
    <n v="3.3464615764780965"/>
    <n v="71"/>
    <n v="108"/>
  </r>
  <r>
    <x v="0"/>
    <s v="2025-02-11 20:33:52"/>
    <n v="30"/>
    <x v="1"/>
    <x v="1"/>
    <x v="0"/>
    <n v="102"/>
    <n v="0"/>
    <s v="Unnamed ProjectCustomer.NumberOutNumber OutEntity"/>
    <n v="30"/>
    <n v="88.466666666666669"/>
    <n v="9.1490844966279035"/>
    <n v="0.95"/>
    <n v="3.4163242967592509"/>
    <n v="68"/>
    <n v="107"/>
  </r>
  <r>
    <x v="0"/>
    <s v="2025-02-11 20:33:52"/>
    <n v="30"/>
    <x v="2"/>
    <x v="2"/>
    <x v="1"/>
    <n v="104"/>
    <n v="0"/>
    <s v="Unnamed ProjectService Counter.NumberSeizedTotal Number SeizedResource"/>
    <n v="30"/>
    <n v="89.4"/>
    <n v="8.9619886955580537"/>
    <n v="0.95"/>
    <n v="3.3464615764780965"/>
    <n v="71"/>
    <n v="108"/>
  </r>
  <r>
    <x v="0"/>
    <s v="2025-02-11 20:33:52"/>
    <n v="30"/>
    <x v="3"/>
    <x v="3"/>
    <x v="1"/>
    <n v="0.38455421629072101"/>
    <n v="0"/>
    <s v="Unnamed ProjectService Counter.ScheduledUtilizationScheduled UtilizationResource"/>
    <n v="30"/>
    <n v="0.33974800639003316"/>
    <n v="4.9728761309198614E-2"/>
    <n v="0.95"/>
    <n v="1.8569024646233528E-2"/>
    <n v="0.248757454721409"/>
    <n v="0.45327220218229702"/>
  </r>
  <r>
    <x v="0"/>
    <s v="2025-02-11 20:33:52"/>
    <n v="30"/>
    <x v="4"/>
    <x v="1"/>
    <x v="2"/>
    <n v="102"/>
    <n v="0"/>
    <s v="Unnamed ProjectSystem.NumberOutNumber OutSystem"/>
    <n v="30"/>
    <n v="88.466666666666669"/>
    <n v="9.1490844966279035"/>
    <n v="0.95"/>
    <n v="3.4163242967592509"/>
    <n v="68"/>
    <n v="10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0:33:52"/>
    <n v="1"/>
    <x v="0"/>
    <x v="0"/>
    <x v="0"/>
    <n v="81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1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2"/>
    <x v="0"/>
    <x v="0"/>
    <x v="0"/>
    <n v="98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2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3"/>
    <x v="0"/>
    <x v="0"/>
    <x v="0"/>
    <n v="107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3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4"/>
    <x v="0"/>
    <x v="0"/>
    <x v="0"/>
    <n v="89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4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5"/>
    <x v="0"/>
    <x v="0"/>
    <x v="0"/>
    <n v="96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5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6"/>
    <x v="0"/>
    <x v="0"/>
    <x v="0"/>
    <n v="95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6"/>
    <x v="1"/>
    <x v="0"/>
    <x v="0"/>
    <n v="4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7"/>
    <x v="0"/>
    <x v="0"/>
    <x v="0"/>
    <n v="90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7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8"/>
    <x v="0"/>
    <x v="0"/>
    <x v="0"/>
    <n v="72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8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9"/>
    <x v="0"/>
    <x v="0"/>
    <x v="0"/>
    <n v="85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9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10"/>
    <x v="0"/>
    <x v="0"/>
    <x v="0"/>
    <n v="81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10"/>
    <x v="1"/>
    <x v="0"/>
    <x v="0"/>
    <n v="1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11"/>
    <x v="0"/>
    <x v="0"/>
    <x v="0"/>
    <n v="95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11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12"/>
    <x v="0"/>
    <x v="0"/>
    <x v="0"/>
    <n v="80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12"/>
    <x v="1"/>
    <x v="0"/>
    <x v="0"/>
    <n v="9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13"/>
    <x v="0"/>
    <x v="0"/>
    <x v="0"/>
    <n v="92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13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14"/>
    <x v="0"/>
    <x v="0"/>
    <x v="0"/>
    <n v="91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14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15"/>
    <x v="0"/>
    <x v="0"/>
    <x v="0"/>
    <n v="86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15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16"/>
    <x v="0"/>
    <x v="0"/>
    <x v="0"/>
    <n v="96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16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17"/>
    <x v="0"/>
    <x v="0"/>
    <x v="0"/>
    <n v="68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17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18"/>
    <x v="0"/>
    <x v="0"/>
    <x v="0"/>
    <n v="101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18"/>
    <x v="1"/>
    <x v="0"/>
    <x v="0"/>
    <n v="6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19"/>
    <x v="0"/>
    <x v="0"/>
    <x v="0"/>
    <n v="83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19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20"/>
    <x v="0"/>
    <x v="0"/>
    <x v="0"/>
    <n v="84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20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21"/>
    <x v="0"/>
    <x v="0"/>
    <x v="0"/>
    <n v="93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21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22"/>
    <x v="0"/>
    <x v="0"/>
    <x v="0"/>
    <n v="81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22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23"/>
    <x v="0"/>
    <x v="0"/>
    <x v="0"/>
    <n v="92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23"/>
    <x v="1"/>
    <x v="0"/>
    <x v="0"/>
    <n v="1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24"/>
    <x v="0"/>
    <x v="0"/>
    <x v="0"/>
    <n v="73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24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25"/>
    <x v="0"/>
    <x v="0"/>
    <x v="0"/>
    <n v="88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25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26"/>
    <x v="0"/>
    <x v="0"/>
    <x v="0"/>
    <n v="80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26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27"/>
    <x v="0"/>
    <x v="0"/>
    <x v="0"/>
    <n v="88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27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28"/>
    <x v="0"/>
    <x v="0"/>
    <x v="0"/>
    <n v="98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28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29"/>
    <x v="0"/>
    <x v="0"/>
    <x v="0"/>
    <n v="89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29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  <r>
    <x v="0"/>
    <s v="2025-02-11 20:33:52"/>
    <n v="30"/>
    <x v="0"/>
    <x v="0"/>
    <x v="0"/>
    <n v="102"/>
    <s v="Unnamed Projectcustomer servedCountUser Specified"/>
    <n v="30"/>
    <n v="88.466666666666669"/>
    <n v="9.1490844966279035"/>
    <n v="0.95"/>
    <n v="3.4163242967592509"/>
    <n v="68"/>
    <n v="107"/>
  </r>
  <r>
    <x v="0"/>
    <s v="2025-02-11 20:33:52"/>
    <n v="30"/>
    <x v="1"/>
    <x v="0"/>
    <x v="0"/>
    <n v="0"/>
    <s v="Unnamed Projectwaiting time over 6minsCountUser Specified"/>
    <n v="30"/>
    <n v="0.7"/>
    <n v="2.0367316617730884"/>
    <n v="0.95"/>
    <n v="0.76052810143559413"/>
    <n v="0"/>
    <n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topLeftCell="AK1" workbookViewId="0"/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88.466666666666669</v>
      </c>
      <c r="O3" t="s">
        <v>66</v>
      </c>
      <c r="P3" t="s">
        <v>69</v>
      </c>
      <c r="Q3" t="s">
        <v>80</v>
      </c>
      <c r="R3" t="s">
        <v>71</v>
      </c>
      <c r="S3" s="5">
        <v>1.386363710192503</v>
      </c>
      <c r="T3" s="5">
        <v>7.9682432249173069E-2</v>
      </c>
      <c r="U3" s="5">
        <v>0.21339347269697648</v>
      </c>
      <c r="V3" s="5">
        <v>0.99989438611061798</v>
      </c>
      <c r="W3" s="5">
        <v>1.89300516389284</v>
      </c>
      <c r="X3" s="5">
        <v>0</v>
      </c>
      <c r="Y3" s="5">
        <v>9</v>
      </c>
      <c r="AA3" t="s">
        <v>66</v>
      </c>
      <c r="AB3" t="s">
        <v>87</v>
      </c>
      <c r="AC3" t="s">
        <v>88</v>
      </c>
      <c r="AD3" t="s">
        <v>89</v>
      </c>
      <c r="AE3" s="5">
        <v>88.466666666666669</v>
      </c>
      <c r="AF3" s="5">
        <v>3.4163242967592509</v>
      </c>
      <c r="AG3" s="5">
        <v>9.1490844966279035</v>
      </c>
      <c r="AH3" s="5">
        <v>68</v>
      </c>
      <c r="AI3" s="5">
        <v>107</v>
      </c>
      <c r="AK3" t="s">
        <v>66</v>
      </c>
      <c r="AL3" t="s">
        <v>99</v>
      </c>
      <c r="AM3" t="s">
        <v>94</v>
      </c>
      <c r="AN3" t="s">
        <v>100</v>
      </c>
      <c r="AO3" s="5">
        <v>88.466666666666669</v>
      </c>
      <c r="AP3" s="5">
        <v>3.4163242967592509</v>
      </c>
      <c r="AQ3" s="5">
        <v>9.1490844966279035</v>
      </c>
      <c r="AR3" s="5">
        <v>68</v>
      </c>
      <c r="AS3" s="5">
        <v>107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88.466666666666669</v>
      </c>
      <c r="P4" t="s">
        <v>81</v>
      </c>
      <c r="Q4" t="s">
        <v>82</v>
      </c>
      <c r="R4" t="s">
        <v>83</v>
      </c>
      <c r="S4" s="5">
        <v>0.33974800639003316</v>
      </c>
      <c r="T4" s="5">
        <v>1.8569024646233528E-2</v>
      </c>
      <c r="U4" s="5">
        <v>4.9728761309198614E-2</v>
      </c>
      <c r="V4" s="5">
        <v>0.248757454721409</v>
      </c>
      <c r="W4" s="5">
        <v>0.45327220218229702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0.7</v>
      </c>
      <c r="AF4" s="5">
        <v>0.76052810143559413</v>
      </c>
      <c r="AG4" s="5">
        <v>2.0367316617730884</v>
      </c>
      <c r="AH4" s="5">
        <v>0</v>
      </c>
      <c r="AI4" s="5">
        <v>9</v>
      </c>
      <c r="AL4" t="s">
        <v>91</v>
      </c>
      <c r="AM4" t="s">
        <v>92</v>
      </c>
      <c r="AN4" t="s">
        <v>71</v>
      </c>
      <c r="AO4" s="5">
        <v>89.4</v>
      </c>
      <c r="AP4" s="5">
        <v>3.3464615764780965</v>
      </c>
      <c r="AQ4" s="5">
        <v>8.9619886955580537</v>
      </c>
      <c r="AR4" s="5">
        <v>71</v>
      </c>
      <c r="AS4" s="5">
        <v>108</v>
      </c>
    </row>
    <row r="5" spans="1:52" x14ac:dyDescent="0.3">
      <c r="C5" t="s">
        <v>73</v>
      </c>
      <c r="D5" t="s">
        <v>71</v>
      </c>
      <c r="E5" s="5">
        <v>8.3792916507108366</v>
      </c>
      <c r="F5" s="5">
        <v>1</v>
      </c>
      <c r="G5" s="5">
        <v>0.34901062804779692</v>
      </c>
      <c r="H5" s="5">
        <v>0.93466762779502222</v>
      </c>
      <c r="I5" s="5">
        <v>6.81306602680844</v>
      </c>
      <c r="J5" s="5">
        <v>10.366150950228</v>
      </c>
      <c r="K5" s="5">
        <v>6.2754048036595101E-4</v>
      </c>
      <c r="L5" s="5">
        <v>66.702859103432402</v>
      </c>
      <c r="M5" s="5">
        <v>88.466666666666669</v>
      </c>
      <c r="Q5" t="s">
        <v>84</v>
      </c>
      <c r="R5" t="s">
        <v>83</v>
      </c>
      <c r="S5" s="5">
        <v>1.358992025560132</v>
      </c>
      <c r="T5" s="5">
        <v>7.4276098584935724E-2</v>
      </c>
      <c r="U5" s="5">
        <v>0.19891504523679876</v>
      </c>
      <c r="V5" s="5">
        <v>0.99502981888563502</v>
      </c>
      <c r="W5" s="5">
        <v>1.8130888087291901</v>
      </c>
      <c r="X5" s="5">
        <v>0</v>
      </c>
      <c r="Y5" s="5">
        <v>4</v>
      </c>
      <c r="AL5" t="s">
        <v>93</v>
      </c>
      <c r="AM5" t="s">
        <v>94</v>
      </c>
      <c r="AN5" t="s">
        <v>71</v>
      </c>
      <c r="AO5" s="5">
        <v>88.466666666666669</v>
      </c>
      <c r="AP5" s="5">
        <v>3.4163242967592509</v>
      </c>
      <c r="AQ5" s="5">
        <v>9.1490844966279035</v>
      </c>
      <c r="AR5" s="5">
        <v>68</v>
      </c>
      <c r="AS5" s="5">
        <v>107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88.466666666666669</v>
      </c>
      <c r="Q6" t="s">
        <v>85</v>
      </c>
      <c r="R6" t="s">
        <v>83</v>
      </c>
      <c r="S6" s="5">
        <v>4</v>
      </c>
      <c r="T6" s="5">
        <v>0</v>
      </c>
      <c r="U6" s="5">
        <v>0</v>
      </c>
      <c r="V6" s="5">
        <v>4</v>
      </c>
      <c r="W6" s="5">
        <v>4</v>
      </c>
      <c r="X6" s="5">
        <v>4</v>
      </c>
      <c r="Y6" s="5">
        <v>4</v>
      </c>
      <c r="AL6" t="s">
        <v>95</v>
      </c>
      <c r="AM6" t="s">
        <v>96</v>
      </c>
      <c r="AN6" t="s">
        <v>83</v>
      </c>
      <c r="AO6" s="5">
        <v>89.4</v>
      </c>
      <c r="AP6" s="5">
        <v>3.3464615764780965</v>
      </c>
      <c r="AQ6" s="5">
        <v>8.9619886955580537</v>
      </c>
      <c r="AR6" s="5">
        <v>71</v>
      </c>
      <c r="AS6" s="5">
        <v>108</v>
      </c>
    </row>
    <row r="7" spans="1:52" x14ac:dyDescent="0.3">
      <c r="C7" t="s">
        <v>75</v>
      </c>
      <c r="D7" t="s">
        <v>71</v>
      </c>
      <c r="E7" s="5">
        <v>8.2121938784188373</v>
      </c>
      <c r="F7" s="5">
        <v>1</v>
      </c>
      <c r="G7" s="5">
        <v>0.31052781340440827</v>
      </c>
      <c r="H7" s="5">
        <v>0.83160875742536189</v>
      </c>
      <c r="I7" s="5">
        <v>6.7904316364990898</v>
      </c>
      <c r="J7" s="5">
        <v>10.1986245491017</v>
      </c>
      <c r="K7" s="5">
        <v>6.2754048036595101E-4</v>
      </c>
      <c r="L7" s="5">
        <v>66.702859103432402</v>
      </c>
      <c r="M7" s="5">
        <v>88.466666666666669</v>
      </c>
      <c r="P7" t="s">
        <v>77</v>
      </c>
      <c r="Q7" t="s">
        <v>86</v>
      </c>
      <c r="R7" t="s">
        <v>79</v>
      </c>
      <c r="S7" s="5">
        <v>2.737168463237126E-2</v>
      </c>
      <c r="T7" s="5">
        <v>1.9432677527783122E-2</v>
      </c>
      <c r="U7" s="5">
        <v>5.2041666204248813E-2</v>
      </c>
      <c r="V7" s="5">
        <v>0</v>
      </c>
      <c r="W7" s="5">
        <v>0.26023163750941702</v>
      </c>
      <c r="X7" s="5">
        <v>0</v>
      </c>
      <c r="Y7" s="5">
        <v>5</v>
      </c>
      <c r="AL7" t="s">
        <v>97</v>
      </c>
      <c r="AM7" t="s">
        <v>98</v>
      </c>
      <c r="AN7" t="s">
        <v>83</v>
      </c>
      <c r="AO7" s="5">
        <v>0.33974800639003316</v>
      </c>
      <c r="AP7" s="5">
        <v>1.8569024646233528E-2</v>
      </c>
      <c r="AQ7" s="5">
        <v>4.9728761309198614E-2</v>
      </c>
      <c r="AR7" s="5">
        <v>0.248757454721409</v>
      </c>
      <c r="AS7" s="5">
        <v>0.45327220218229702</v>
      </c>
    </row>
    <row r="8" spans="1:52" x14ac:dyDescent="0.3">
      <c r="C8" t="s">
        <v>76</v>
      </c>
      <c r="D8" t="s">
        <v>71</v>
      </c>
      <c r="E8" s="5">
        <v>0.16709777229199901</v>
      </c>
      <c r="F8" s="5">
        <v>1</v>
      </c>
      <c r="G8" s="5">
        <v>0.12581312612236456</v>
      </c>
      <c r="H8" s="5">
        <v>0.33693373980050262</v>
      </c>
      <c r="I8" s="5">
        <v>0</v>
      </c>
      <c r="J8" s="5">
        <v>1.7565635531885599</v>
      </c>
      <c r="K8" s="5">
        <v>0</v>
      </c>
      <c r="L8" s="5">
        <v>15.4369804087658</v>
      </c>
      <c r="M8" s="5">
        <v>88.466666666666669</v>
      </c>
    </row>
    <row r="9" spans="1:52" x14ac:dyDescent="0.3">
      <c r="B9" t="s">
        <v>77</v>
      </c>
      <c r="C9" t="s">
        <v>78</v>
      </c>
      <c r="D9" t="s">
        <v>79</v>
      </c>
      <c r="E9" s="5">
        <v>0.16531240453574228</v>
      </c>
      <c r="F9" s="5">
        <v>1</v>
      </c>
      <c r="G9" s="5">
        <v>0.12295119153148186</v>
      </c>
      <c r="H9" s="5">
        <v>0.32926933820354465</v>
      </c>
      <c r="I9" s="5">
        <v>0</v>
      </c>
      <c r="J9" s="5">
        <v>1.7137205396961599</v>
      </c>
      <c r="K9" s="5">
        <v>0</v>
      </c>
      <c r="L9" s="5">
        <v>15.4369804087658</v>
      </c>
      <c r="M9" s="5">
        <v>89.4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81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81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9.3015244621846698</v>
      </c>
      <c r="H4">
        <v>2E+20</v>
      </c>
      <c r="I4">
        <v>0.10066676070425699</v>
      </c>
      <c r="J4">
        <v>41.1827233327475</v>
      </c>
      <c r="K4">
        <v>81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8.3792916507108366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0.93466762779502222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4" cm="1">
        <f t="array" ref="R4">MIN(IF((DiscreteStatsTable[GroupByKey]=DiscreteStatsTable[[#This Row],[GroupByKey]]),(DiscreteStatsTable[GroupByKey]=DiscreteStatsTable[[#This Row],[GroupByKey]])*DiscreteStatsTable[Average]))</f>
        <v>6.81306602680844</v>
      </c>
      <c r="S4" cm="1">
        <f t="array" ref="S4">MAX(IF((DiscreteStatsTable[GroupByKey]=DiscreteStatsTable[[#This Row],[GroupByKey]]),(DiscreteStatsTable[GroupByKey]=DiscreteStatsTable[[#This Row],[GroupByKey]])*DiscreteStatsTable[Average]))</f>
        <v>10.366150950228</v>
      </c>
      <c r="T4" cm="1">
        <f t="array" ref="T4">MIN(IF((DiscreteStatsTable[GroupByKey]=DiscreteStatsTable[[#This Row],[GroupByKey]]),(DiscreteStatsTable[GroupByKey]=DiscreteStatsTable[[#This Row],[GroupByKey]])*DiscreteStatsTable[Minimum]))</f>
        <v>6.2754048036595101E-4</v>
      </c>
      <c r="U4" cm="1">
        <f t="array" ref="U4">MAX(IF((DiscreteStatsTable[GroupByKey]=DiscreteStatsTable[[#This Row],[GroupByKey]]),(DiscreteStatsTable[GroupByKey]=DiscreteStatsTable[[#This Row],[GroupByKey]])*DiscreteStatsTable[Maximum]))</f>
        <v>66.702859103432402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4">
        <f>IF((DiscreteStatsTable[[#This Row],[RepsRequested]]&gt;1),DiscreteStatsTable[[#This Row],[HalfWidth]],DiscreteStatsTable[[#This Row],[BatchMeansHalfWidth]])</f>
        <v>0.34901062804779692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81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9.2552358471937701</v>
      </c>
      <c r="H6">
        <v>2E+20</v>
      </c>
      <c r="I6">
        <v>2.4808099713027301E-2</v>
      </c>
      <c r="J6">
        <v>41.1827233327475</v>
      </c>
      <c r="K6">
        <v>81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8.2121938784188373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0.83160875742536189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6" cm="1">
        <f t="array" ref="R6">MIN(IF((DiscreteStatsTable[GroupByKey]=DiscreteStatsTable[[#This Row],[GroupByKey]]),(DiscreteStatsTable[GroupByKey]=DiscreteStatsTable[[#This Row],[GroupByKey]])*DiscreteStatsTable[Average]))</f>
        <v>6.7904316364990898</v>
      </c>
      <c r="S6" cm="1">
        <f t="array" ref="S6">MAX(IF((DiscreteStatsTable[GroupByKey]=DiscreteStatsTable[[#This Row],[GroupByKey]]),(DiscreteStatsTable[GroupByKey]=DiscreteStatsTable[[#This Row],[GroupByKey]])*DiscreteStatsTable[Average]))</f>
        <v>10.1986245491017</v>
      </c>
      <c r="T6" cm="1">
        <f t="array" ref="T6">MIN(IF((DiscreteStatsTable[GroupByKey]=DiscreteStatsTable[[#This Row],[GroupByKey]]),(DiscreteStatsTable[GroupByKey]=DiscreteStatsTable[[#This Row],[GroupByKey]])*DiscreteStatsTable[Minimum]))</f>
        <v>6.2754048036595101E-4</v>
      </c>
      <c r="U6" cm="1">
        <f t="array" ref="U6">MAX(IF((DiscreteStatsTable[GroupByKey]=DiscreteStatsTable[[#This Row],[GroupByKey]]),(DiscreteStatsTable[GroupByKey]=DiscreteStatsTable[[#This Row],[GroupByKey]])*DiscreteStatsTable[Maximum]))</f>
        <v>66.702859103432402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6">
        <f>IF((DiscreteStatsTable[[#This Row],[RepsRequested]]&gt;1),DiscreteStatsTable[[#This Row],[HalfWidth]],DiscreteStatsTable[[#This Row],[BatchMeansHalfWidth]])</f>
        <v>0.31052781340440827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4.6288614990902303E-2</v>
      </c>
      <c r="H7">
        <v>2E+20</v>
      </c>
      <c r="I7">
        <v>0</v>
      </c>
      <c r="J7">
        <v>1.53394997465028</v>
      </c>
      <c r="K7">
        <v>81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0.16709777229199901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0.33693373980050262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1.7565635531885599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15.4369804087658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7">
        <f>IF((DiscreteStatsTable[[#This Row],[RepsRequested]]&gt;1),DiscreteStatsTable[[#This Row],[HalfWidth]],DiscreteStatsTable[[#This Row],[BatchMeansHalfWidth]])</f>
        <v>0.12581312612236456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98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98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8.4911537102522896</v>
      </c>
      <c r="H10">
        <v>2E+20</v>
      </c>
      <c r="I10">
        <v>0.14390288034951501</v>
      </c>
      <c r="J10">
        <v>64.660524567664396</v>
      </c>
      <c r="K10">
        <v>98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8.3792916507108366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0.93466762779502222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6.81306602680844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10.366150950228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6.2754048036595101E-4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66.702859103432402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0">
        <f>IF((DiscreteStatsTable[[#This Row],[RepsRequested]]&gt;1),DiscreteStatsTable[[#This Row],[HalfWidth]],DiscreteStatsTable[[#This Row],[BatchMeansHalfWidth]])</f>
        <v>0.34901062804779692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98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8.4346743434303608</v>
      </c>
      <c r="H12">
        <v>2E+20</v>
      </c>
      <c r="I12">
        <v>0.14390288034951501</v>
      </c>
      <c r="J12">
        <v>64.660524567664396</v>
      </c>
      <c r="K12">
        <v>98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8.2121938784188373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0.83160875742536189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6.7904316364990898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10.1986245491017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6.2754048036595101E-4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66.702859103432402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2">
        <f>IF((DiscreteStatsTable[[#This Row],[RepsRequested]]&gt;1),DiscreteStatsTable[[#This Row],[HalfWidth]],DiscreteStatsTable[[#This Row],[BatchMeansHalfWidth]])</f>
        <v>0.31052781340440827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5.6479366821920299E-2</v>
      </c>
      <c r="H13">
        <v>2E+20</v>
      </c>
      <c r="I13">
        <v>0</v>
      </c>
      <c r="J13">
        <v>4.0879380036819004</v>
      </c>
      <c r="K13">
        <v>98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0.16709777229199901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0.33693373980050262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1.7565635531885599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15.4369804087658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3">
        <f>IF((DiscreteStatsTable[[#This Row],[RepsRequested]]&gt;1),DiscreteStatsTable[[#This Row],[HalfWidth]],DiscreteStatsTable[[#This Row],[BatchMeansHalfWidth]])</f>
        <v>0.12581312612236456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107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107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8.4922697076123992</v>
      </c>
      <c r="H16">
        <v>2E+20</v>
      </c>
      <c r="I16">
        <v>3.2790565955491298E-2</v>
      </c>
      <c r="J16">
        <v>55.012656029479302</v>
      </c>
      <c r="K16">
        <v>107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8.3792916507108366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0.93466762779502222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6.81306602680844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10.366150950228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6.2754048036595101E-4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66.702859103432402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6">
        <f>IF((DiscreteStatsTable[[#This Row],[RepsRequested]]&gt;1),DiscreteStatsTable[[#This Row],[HalfWidth]],DiscreteStatsTable[[#This Row],[BatchMeansHalfWidth]])</f>
        <v>0.34901062804779692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107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8.4678357112108902</v>
      </c>
      <c r="H18">
        <v>2E+20</v>
      </c>
      <c r="I18">
        <v>3.2790565955491298E-2</v>
      </c>
      <c r="J18">
        <v>55.012656029479302</v>
      </c>
      <c r="K18">
        <v>107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8.2121938784188373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0.83160875742536189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6.7904316364990898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10.1986245491017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6.2754048036595101E-4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66.702859103432402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8">
        <f>IF((DiscreteStatsTable[[#This Row],[RepsRequested]]&gt;1),DiscreteStatsTable[[#This Row],[HalfWidth]],DiscreteStatsTable[[#This Row],[BatchMeansHalfWidth]])</f>
        <v>0.31052781340440827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2.44339964015102E-2</v>
      </c>
      <c r="H19">
        <v>2E+20</v>
      </c>
      <c r="I19">
        <v>0</v>
      </c>
      <c r="J19">
        <v>0.86334179735109695</v>
      </c>
      <c r="K19">
        <v>107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0.16709777229199901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0.33693373980050262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1.7565635531885599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15.4369804087658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9">
        <f>IF((DiscreteStatsTable[[#This Row],[RepsRequested]]&gt;1),DiscreteStatsTable[[#This Row],[HalfWidth]],DiscreteStatsTable[[#This Row],[BatchMeansHalfWidth]])</f>
        <v>0.12581312612236456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89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89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8.1605477792150207</v>
      </c>
      <c r="H22">
        <v>2E+20</v>
      </c>
      <c r="I22">
        <v>3.6718086357268503E-2</v>
      </c>
      <c r="J22">
        <v>41.836507549098798</v>
      </c>
      <c r="K22">
        <v>89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8.3792916507108366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0.93466762779502222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6.81306602680844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10.366150950228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6.2754048036595101E-4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66.702859103432402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22">
        <f>IF((DiscreteStatsTable[[#This Row],[RepsRequested]]&gt;1),DiscreteStatsTable[[#This Row],[HalfWidth]],DiscreteStatsTable[[#This Row],[BatchMeansHalfWidth]])</f>
        <v>0.34901062804779692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89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8.0937775104651308</v>
      </c>
      <c r="H24">
        <v>2E+20</v>
      </c>
      <c r="I24">
        <v>3.6718086357268503E-2</v>
      </c>
      <c r="J24">
        <v>41.836507549098798</v>
      </c>
      <c r="K24">
        <v>89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8.2121938784188373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0.83160875742536189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6.7904316364990898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10.1986245491017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6.2754048036595101E-4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66.702859103432402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24">
        <f>IF((DiscreteStatsTable[[#This Row],[RepsRequested]]&gt;1),DiscreteStatsTable[[#This Row],[HalfWidth]],DiscreteStatsTable[[#This Row],[BatchMeansHalfWidth]])</f>
        <v>0.31052781340440827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6.6770268749886702E-2</v>
      </c>
      <c r="H25">
        <v>2E+20</v>
      </c>
      <c r="I25">
        <v>0</v>
      </c>
      <c r="J25">
        <v>3.2183136626261901</v>
      </c>
      <c r="K25">
        <v>89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0.16709777229199901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0.33693373980050262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1.7565635531885599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15.4369804087658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25">
        <f>IF((DiscreteStatsTable[[#This Row],[RepsRequested]]&gt;1),DiscreteStatsTable[[#This Row],[HalfWidth]],DiscreteStatsTable[[#This Row],[BatchMeansHalfWidth]])</f>
        <v>0.12581312612236456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96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96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6.9292117892749996</v>
      </c>
      <c r="H28">
        <v>2E+20</v>
      </c>
      <c r="I28">
        <v>3.9970883785230199E-2</v>
      </c>
      <c r="J28">
        <v>34.926464913258002</v>
      </c>
      <c r="K28">
        <v>96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8.3792916507108366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0.93466762779502222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6.81306602680844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10.366150950228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6.2754048036595101E-4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66.702859103432402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28">
        <f>IF((DiscreteStatsTable[[#This Row],[RepsRequested]]&gt;1),DiscreteStatsTable[[#This Row],[HalfWidth]],DiscreteStatsTable[[#This Row],[BatchMeansHalfWidth]])</f>
        <v>0.34901062804779692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96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6.9292117892749996</v>
      </c>
      <c r="H30">
        <v>2E+20</v>
      </c>
      <c r="I30">
        <v>3.9970883785230199E-2</v>
      </c>
      <c r="J30">
        <v>34.926464913258002</v>
      </c>
      <c r="K30">
        <v>96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8.2121938784188373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0.83160875742536189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6.7904316364990898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10.1986245491017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6.2754048036595101E-4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66.702859103432402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30">
        <f>IF((DiscreteStatsTable[[#This Row],[RepsRequested]]&gt;1),DiscreteStatsTable[[#This Row],[HalfWidth]],DiscreteStatsTable[[#This Row],[BatchMeansHalfWidth]])</f>
        <v>0.31052781340440827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0</v>
      </c>
      <c r="H31">
        <v>2E+20</v>
      </c>
      <c r="I31">
        <v>0</v>
      </c>
      <c r="J31">
        <v>0</v>
      </c>
      <c r="K31">
        <v>96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0.16709777229199901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0.33693373980050262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1.7565635531885599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15.4369804087658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31">
        <f>IF((DiscreteStatsTable[[#This Row],[RepsRequested]]&gt;1),DiscreteStatsTable[[#This Row],[HalfWidth]],DiscreteStatsTable[[#This Row],[BatchMeansHalfWidth]])</f>
        <v>0.12581312612236456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95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95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9.1734882274088108</v>
      </c>
      <c r="H34">
        <v>2E+20</v>
      </c>
      <c r="I34">
        <v>2.0026831159043499E-2</v>
      </c>
      <c r="J34">
        <v>49.641521092688201</v>
      </c>
      <c r="K34">
        <v>95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8.3792916507108366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0.93466762779502222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6.81306602680844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10.366150950228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6.2754048036595101E-4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66.702859103432402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34">
        <f>IF((DiscreteStatsTable[[#This Row],[RepsRequested]]&gt;1),DiscreteStatsTable[[#This Row],[HalfWidth]],DiscreteStatsTable[[#This Row],[BatchMeansHalfWidth]])</f>
        <v>0.34901062804779692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95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8.6479956798216797</v>
      </c>
      <c r="H36">
        <v>2E+20</v>
      </c>
      <c r="I36">
        <v>2.0026831159043499E-2</v>
      </c>
      <c r="J36">
        <v>49.641521092688201</v>
      </c>
      <c r="K36">
        <v>95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8.2121938784188373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0.83160875742536189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6.7904316364990898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10.1986245491017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6.2754048036595101E-4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66.702859103432402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36">
        <f>IF((DiscreteStatsTable[[#This Row],[RepsRequested]]&gt;1),DiscreteStatsTable[[#This Row],[HalfWidth]],DiscreteStatsTable[[#This Row],[BatchMeansHalfWidth]])</f>
        <v>0.31052781340440827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0.52549254758713104</v>
      </c>
      <c r="H37">
        <v>2E+20</v>
      </c>
      <c r="I37">
        <v>0</v>
      </c>
      <c r="J37">
        <v>11.7463045310827</v>
      </c>
      <c r="K37">
        <v>95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0.16709777229199901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0.33693373980050262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1.7565635531885599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15.4369804087658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37">
        <f>IF((DiscreteStatsTable[[#This Row],[RepsRequested]]&gt;1),DiscreteStatsTable[[#This Row],[HalfWidth]],DiscreteStatsTable[[#This Row],[BatchMeansHalfWidth]])</f>
        <v>0.12581312612236456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90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90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9.3622531220660896</v>
      </c>
      <c r="H40">
        <v>2E+20</v>
      </c>
      <c r="I40">
        <v>0.175952694712635</v>
      </c>
      <c r="J40">
        <v>36.7587741085093</v>
      </c>
      <c r="K40">
        <v>90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8.3792916507108366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0.93466762779502222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6.81306602680844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10.366150950228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6.2754048036595101E-4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66.702859103432402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40">
        <f>IF((DiscreteStatsTable[[#This Row],[RepsRequested]]&gt;1),DiscreteStatsTable[[#This Row],[HalfWidth]],DiscreteStatsTable[[#This Row],[BatchMeansHalfWidth]])</f>
        <v>0.34901062804779692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90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9.1819835294980692</v>
      </c>
      <c r="H42">
        <v>2E+20</v>
      </c>
      <c r="I42">
        <v>0.175952694712635</v>
      </c>
      <c r="J42">
        <v>36.7587741085093</v>
      </c>
      <c r="K42">
        <v>90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8.2121938784188373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0.83160875742536189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6.7904316364990898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10.1986245491017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6.2754048036595101E-4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66.702859103432402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42">
        <f>IF((DiscreteStatsTable[[#This Row],[RepsRequested]]&gt;1),DiscreteStatsTable[[#This Row],[HalfWidth]],DiscreteStatsTable[[#This Row],[BatchMeansHalfWidth]])</f>
        <v>0.31052781340440827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0.18026959256802499</v>
      </c>
      <c r="H43">
        <v>2E+20</v>
      </c>
      <c r="I43">
        <v>0</v>
      </c>
      <c r="J43">
        <v>3.8292360829544498</v>
      </c>
      <c r="K43">
        <v>90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0.16709777229199901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0.33693373980050262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1.7565635531885599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15.4369804087658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43">
        <f>IF((DiscreteStatsTable[[#This Row],[RepsRequested]]&gt;1),DiscreteStatsTable[[#This Row],[HalfWidth]],DiscreteStatsTable[[#This Row],[BatchMeansHalfWidth]])</f>
        <v>0.12581312612236456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72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72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9.3511737924848504</v>
      </c>
      <c r="H46">
        <v>2E+20</v>
      </c>
      <c r="I46">
        <v>0.13672610701479501</v>
      </c>
      <c r="J46">
        <v>58.488493769752203</v>
      </c>
      <c r="K46">
        <v>72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8.3792916507108366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0.93466762779502222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6.81306602680844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10.366150950228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6.2754048036595101E-4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66.702859103432402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46">
        <f>IF((DiscreteStatsTable[[#This Row],[RepsRequested]]&gt;1),DiscreteStatsTable[[#This Row],[HalfWidth]],DiscreteStatsTable[[#This Row],[BatchMeansHalfWidth]])</f>
        <v>0.34901062804779692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72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9.3511737924848504</v>
      </c>
      <c r="H48">
        <v>2E+20</v>
      </c>
      <c r="I48">
        <v>0.13672610701479501</v>
      </c>
      <c r="J48">
        <v>58.488493769752203</v>
      </c>
      <c r="K48">
        <v>72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8.2121938784188373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0.83160875742536189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6.7904316364990898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10.1986245491017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6.2754048036595101E-4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66.702859103432402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48">
        <f>IF((DiscreteStatsTable[[#This Row],[RepsRequested]]&gt;1),DiscreteStatsTable[[#This Row],[HalfWidth]],DiscreteStatsTable[[#This Row],[BatchMeansHalfWidth]])</f>
        <v>0.31052781340440827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0</v>
      </c>
      <c r="H49">
        <v>2E+20</v>
      </c>
      <c r="I49">
        <v>0</v>
      </c>
      <c r="J49">
        <v>0</v>
      </c>
      <c r="K49">
        <v>72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0.16709777229199901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0.33693373980050262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1.7565635531885599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15.4369804087658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49">
        <f>IF((DiscreteStatsTable[[#This Row],[RepsRequested]]&gt;1),DiscreteStatsTable[[#This Row],[HalfWidth]],DiscreteStatsTable[[#This Row],[BatchMeansHalfWidth]])</f>
        <v>0.12581312612236456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85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85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7.2373663545992297</v>
      </c>
      <c r="H52">
        <v>2E+20</v>
      </c>
      <c r="I52">
        <v>7.7823452125869594E-2</v>
      </c>
      <c r="J52">
        <v>35.269038809934699</v>
      </c>
      <c r="K52">
        <v>85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8.3792916507108366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0.93466762779502222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6.81306602680844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10.366150950228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6.2754048036595101E-4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66.702859103432402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52">
        <f>IF((DiscreteStatsTable[[#This Row],[RepsRequested]]&gt;1),DiscreteStatsTable[[#This Row],[HalfWidth]],DiscreteStatsTable[[#This Row],[BatchMeansHalfWidth]])</f>
        <v>0.34901062804779692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85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7.2373663545992297</v>
      </c>
      <c r="H54">
        <v>2E+20</v>
      </c>
      <c r="I54">
        <v>7.7823452125869594E-2</v>
      </c>
      <c r="J54">
        <v>35.269038809934699</v>
      </c>
      <c r="K54">
        <v>85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8.2121938784188373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0.83160875742536189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6.7904316364990898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10.1986245491017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6.2754048036595101E-4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66.702859103432402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54">
        <f>IF((DiscreteStatsTable[[#This Row],[RepsRequested]]&gt;1),DiscreteStatsTable[[#This Row],[HalfWidth]],DiscreteStatsTable[[#This Row],[BatchMeansHalfWidth]])</f>
        <v>0.31052781340440827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0</v>
      </c>
      <c r="H55">
        <v>2E+20</v>
      </c>
      <c r="I55">
        <v>0</v>
      </c>
      <c r="J55">
        <v>0</v>
      </c>
      <c r="K55">
        <v>85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0.16709777229199901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0.33693373980050262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1.7565635531885599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15.4369804087658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55">
        <f>IF((DiscreteStatsTable[[#This Row],[RepsRequested]]&gt;1),DiscreteStatsTable[[#This Row],[HalfWidth]],DiscreteStatsTable[[#This Row],[BatchMeansHalfWidth]])</f>
        <v>0.12581312612236456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81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81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6.9430321742064596</v>
      </c>
      <c r="H58">
        <v>2E+20</v>
      </c>
      <c r="I58">
        <v>7.7657682952917598E-2</v>
      </c>
      <c r="J58">
        <v>32.531605815939102</v>
      </c>
      <c r="K58">
        <v>81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8.3792916507108366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0.93466762779502222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6.81306602680844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10.366150950228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6.2754048036595101E-4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66.702859103432402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58">
        <f>IF((DiscreteStatsTable[[#This Row],[RepsRequested]]&gt;1),DiscreteStatsTable[[#This Row],[HalfWidth]],DiscreteStatsTable[[#This Row],[BatchMeansHalfWidth]])</f>
        <v>0.34901062804779692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81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6.7904316364990898</v>
      </c>
      <c r="H60">
        <v>2E+20</v>
      </c>
      <c r="I60">
        <v>7.7657682952917598E-2</v>
      </c>
      <c r="J60">
        <v>32.531605815939102</v>
      </c>
      <c r="K60">
        <v>81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8.2121938784188373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0.83160875742536189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6.7904316364990898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10.1986245491017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6.2754048036595101E-4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66.702859103432402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60">
        <f>IF((DiscreteStatsTable[[#This Row],[RepsRequested]]&gt;1),DiscreteStatsTable[[#This Row],[HalfWidth]],DiscreteStatsTable[[#This Row],[BatchMeansHalfWidth]])</f>
        <v>0.31052781340440827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0.152600537707371</v>
      </c>
      <c r="H61">
        <v>2E+20</v>
      </c>
      <c r="I61">
        <v>0</v>
      </c>
      <c r="J61">
        <v>6.2184450640811004</v>
      </c>
      <c r="K61">
        <v>81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0.16709777229199901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0.33693373980050262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1.7565635531885599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15.4369804087658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61">
        <f>IF((DiscreteStatsTable[[#This Row],[RepsRequested]]&gt;1),DiscreteStatsTable[[#This Row],[HalfWidth]],DiscreteStatsTable[[#This Row],[BatchMeansHalfWidth]])</f>
        <v>0.12581312612236456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95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95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7.6436225200317196</v>
      </c>
      <c r="H64">
        <v>2E+20</v>
      </c>
      <c r="I64">
        <v>2.6457518208204099E-2</v>
      </c>
      <c r="J64">
        <v>31.827566203010601</v>
      </c>
      <c r="K64">
        <v>95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8.3792916507108366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0.93466762779502222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6.81306602680844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10.366150950228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6.2754048036595101E-4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66.702859103432402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64">
        <f>IF((DiscreteStatsTable[[#This Row],[RepsRequested]]&gt;1),DiscreteStatsTable[[#This Row],[HalfWidth]],DiscreteStatsTable[[#This Row],[BatchMeansHalfWidth]])</f>
        <v>0.34901062804779692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95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7.5855766924020402</v>
      </c>
      <c r="H66">
        <v>2E+20</v>
      </c>
      <c r="I66">
        <v>2.6457518208204099E-2</v>
      </c>
      <c r="J66">
        <v>31.827566203010601</v>
      </c>
      <c r="K66">
        <v>95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8.2121938784188373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0.83160875742536189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6.7904316364990898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10.1986245491017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6.2754048036595101E-4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66.702859103432402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66">
        <f>IF((DiscreteStatsTable[[#This Row],[RepsRequested]]&gt;1),DiscreteStatsTable[[#This Row],[HalfWidth]],DiscreteStatsTable[[#This Row],[BatchMeansHalfWidth]])</f>
        <v>0.31052781340440827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5.8045827629687102E-2</v>
      </c>
      <c r="H67">
        <v>2E+20</v>
      </c>
      <c r="I67">
        <v>0</v>
      </c>
      <c r="J67">
        <v>5.51435362482027</v>
      </c>
      <c r="K67">
        <v>95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0.16709777229199901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0.33693373980050262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1.7565635531885599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15.4369804087658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67">
        <f>IF((DiscreteStatsTable[[#This Row],[RepsRequested]]&gt;1),DiscreteStatsTable[[#This Row],[HalfWidth]],DiscreteStatsTable[[#This Row],[BatchMeansHalfWidth]])</f>
        <v>0.12581312612236456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80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80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9.8385950367205108</v>
      </c>
      <c r="H70">
        <v>2E+20</v>
      </c>
      <c r="I70">
        <v>3.2110826562586701E-2</v>
      </c>
      <c r="J70">
        <v>40.611510426090099</v>
      </c>
      <c r="K70">
        <v>80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8.3792916507108366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0.93466762779502222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6.81306602680844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10.366150950228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6.2754048036595101E-4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66.702859103432402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70">
        <f>IF((DiscreteStatsTable[[#This Row],[RepsRequested]]&gt;1),DiscreteStatsTable[[#This Row],[HalfWidth]],DiscreteStatsTable[[#This Row],[BatchMeansHalfWidth]])</f>
        <v>0.34901062804779692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80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8.0820314835319405</v>
      </c>
      <c r="H72">
        <v>2E+20</v>
      </c>
      <c r="I72">
        <v>3.2110826562586701E-2</v>
      </c>
      <c r="J72">
        <v>40.611510426090099</v>
      </c>
      <c r="K72">
        <v>80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8.2121938784188373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0.83160875742536189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6.7904316364990898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10.1986245491017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6.2754048036595101E-4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66.702859103432402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72">
        <f>IF((DiscreteStatsTable[[#This Row],[RepsRequested]]&gt;1),DiscreteStatsTable[[#This Row],[HalfWidth]],DiscreteStatsTable[[#This Row],[BatchMeansHalfWidth]])</f>
        <v>0.31052781340440827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1.7565635531885599</v>
      </c>
      <c r="H73">
        <v>2E+20</v>
      </c>
      <c r="I73">
        <v>0</v>
      </c>
      <c r="J73">
        <v>15.4369804087658</v>
      </c>
      <c r="K73">
        <v>80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0.16709777229199901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0.33693373980050262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1.7565635531885599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15.4369804087658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73">
        <f>IF((DiscreteStatsTable[[#This Row],[RepsRequested]]&gt;1),DiscreteStatsTable[[#This Row],[HalfWidth]],DiscreteStatsTable[[#This Row],[BatchMeansHalfWidth]])</f>
        <v>0.12581312612236456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92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92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8.5981850209165902</v>
      </c>
      <c r="H76">
        <v>2E+20</v>
      </c>
      <c r="I76">
        <v>6.9634087496297098E-2</v>
      </c>
      <c r="J76">
        <v>42.113635255078798</v>
      </c>
      <c r="K76">
        <v>92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8.3792916507108366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0.93466762779502222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6.81306602680844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10.366150950228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6.2754048036595101E-4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66.702859103432402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76">
        <f>IF((DiscreteStatsTable[[#This Row],[RepsRequested]]&gt;1),DiscreteStatsTable[[#This Row],[HalfWidth]],DiscreteStatsTable[[#This Row],[BatchMeansHalfWidth]])</f>
        <v>0.34901062804779692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92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8.5084773026319294</v>
      </c>
      <c r="H78">
        <v>2E+20</v>
      </c>
      <c r="I78">
        <v>6.9634087496297098E-2</v>
      </c>
      <c r="J78">
        <v>42.113635255078798</v>
      </c>
      <c r="K78">
        <v>92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8.2121938784188373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0.83160875742536189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6.7904316364990898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10.1986245491017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6.2754048036595101E-4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66.702859103432402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78">
        <f>IF((DiscreteStatsTable[[#This Row],[RepsRequested]]&gt;1),DiscreteStatsTable[[#This Row],[HalfWidth]],DiscreteStatsTable[[#This Row],[BatchMeansHalfWidth]])</f>
        <v>0.31052781340440827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8.9707718284653903E-2</v>
      </c>
      <c r="H79">
        <v>2E+20</v>
      </c>
      <c r="I79">
        <v>0</v>
      </c>
      <c r="J79">
        <v>3.3215003967990202</v>
      </c>
      <c r="K79">
        <v>92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0.16709777229199901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0.33693373980050262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1.7565635531885599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15.4369804087658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79">
        <f>IF((DiscreteStatsTable[[#This Row],[RepsRequested]]&gt;1),DiscreteStatsTable[[#This Row],[HalfWidth]],DiscreteStatsTable[[#This Row],[BatchMeansHalfWidth]])</f>
        <v>0.12581312612236456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91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91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7.3043228779633802</v>
      </c>
      <c r="H82">
        <v>2E+20</v>
      </c>
      <c r="I82">
        <v>0.19314470858736901</v>
      </c>
      <c r="J82">
        <v>33.326973197422802</v>
      </c>
      <c r="K82">
        <v>91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8.3792916507108366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0.93466762779502222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6.81306602680844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10.366150950228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6.2754048036595101E-4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66.702859103432402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82">
        <f>IF((DiscreteStatsTable[[#This Row],[RepsRequested]]&gt;1),DiscreteStatsTable[[#This Row],[HalfWidth]],DiscreteStatsTable[[#This Row],[BatchMeansHalfWidth]])</f>
        <v>0.34901062804779692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91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7.2717006197055296</v>
      </c>
      <c r="H84">
        <v>2E+20</v>
      </c>
      <c r="I84">
        <v>0.19314470858736901</v>
      </c>
      <c r="J84">
        <v>33.326973197422802</v>
      </c>
      <c r="K84">
        <v>91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8.2121938784188373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0.83160875742536189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6.7904316364990898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10.1986245491017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6.2754048036595101E-4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66.702859103432402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84">
        <f>IF((DiscreteStatsTable[[#This Row],[RepsRequested]]&gt;1),DiscreteStatsTable[[#This Row],[HalfWidth]],DiscreteStatsTable[[#This Row],[BatchMeansHalfWidth]])</f>
        <v>0.31052781340440827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3.2622258257854302E-2</v>
      </c>
      <c r="H85">
        <v>2E+20</v>
      </c>
      <c r="I85">
        <v>0</v>
      </c>
      <c r="J85">
        <v>1.5211024702228999</v>
      </c>
      <c r="K85">
        <v>91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0.16709777229199901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0.33693373980050262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1.7565635531885599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15.4369804087658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85">
        <f>IF((DiscreteStatsTable[[#This Row],[RepsRequested]]&gt;1),DiscreteStatsTable[[#This Row],[HalfWidth]],DiscreteStatsTable[[#This Row],[BatchMeansHalfWidth]])</f>
        <v>0.12581312612236456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86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86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8.2478046317101796</v>
      </c>
      <c r="H88">
        <v>2E+20</v>
      </c>
      <c r="I88">
        <v>0.190139760605746</v>
      </c>
      <c r="J88">
        <v>47.813525810613299</v>
      </c>
      <c r="K88">
        <v>86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8.3792916507108366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0.93466762779502222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6.81306602680844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10.366150950228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6.2754048036595101E-4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66.702859103432402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88">
        <f>IF((DiscreteStatsTable[[#This Row],[RepsRequested]]&gt;1),DiscreteStatsTable[[#This Row],[HalfWidth]],DiscreteStatsTable[[#This Row],[BatchMeansHalfWidth]])</f>
        <v>0.34901062804779692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86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8.1703979424556596</v>
      </c>
      <c r="H90">
        <v>2E+20</v>
      </c>
      <c r="I90">
        <v>0.190139760605746</v>
      </c>
      <c r="J90">
        <v>47.813525810613299</v>
      </c>
      <c r="K90">
        <v>86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8.2121938784188373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0.83160875742536189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6.7904316364990898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10.1986245491017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6.2754048036595101E-4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66.702859103432402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90">
        <f>IF((DiscreteStatsTable[[#This Row],[RepsRequested]]&gt;1),DiscreteStatsTable[[#This Row],[HalfWidth]],DiscreteStatsTable[[#This Row],[BatchMeansHalfWidth]])</f>
        <v>0.31052781340440827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7.7406689254527705E-2</v>
      </c>
      <c r="H91">
        <v>2E+20</v>
      </c>
      <c r="I91">
        <v>0</v>
      </c>
      <c r="J91">
        <v>3.1172862474677498</v>
      </c>
      <c r="K91">
        <v>86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0.16709777229199901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0.33693373980050262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1.7565635531885599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15.4369804087658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91">
        <f>IF((DiscreteStatsTable[[#This Row],[RepsRequested]]&gt;1),DiscreteStatsTable[[#This Row],[HalfWidth]],DiscreteStatsTable[[#This Row],[BatchMeansHalfWidth]])</f>
        <v>0.12581312612236456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96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96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10.366150950228</v>
      </c>
      <c r="H94">
        <v>2E+20</v>
      </c>
      <c r="I94">
        <v>1.78557104427455E-2</v>
      </c>
      <c r="J94">
        <v>51.836035250993099</v>
      </c>
      <c r="K94">
        <v>96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8.3792916507108366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0.93466762779502222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6.81306602680844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10.366150950228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6.2754048036595101E-4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66.702859103432402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94">
        <f>IF((DiscreteStatsTable[[#This Row],[RepsRequested]]&gt;1),DiscreteStatsTable[[#This Row],[HalfWidth]],DiscreteStatsTable[[#This Row],[BatchMeansHalfWidth]])</f>
        <v>0.34901062804779692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96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10.1986245491017</v>
      </c>
      <c r="H96">
        <v>2E+20</v>
      </c>
      <c r="I96">
        <v>1.78557104427455E-2</v>
      </c>
      <c r="J96">
        <v>51.836035250993099</v>
      </c>
      <c r="K96">
        <v>96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8.2121938784188373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0.83160875742536189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6.7904316364990898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10.1986245491017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6.2754048036595101E-4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66.702859103432402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96">
        <f>IF((DiscreteStatsTable[[#This Row],[RepsRequested]]&gt;1),DiscreteStatsTable[[#This Row],[HalfWidth]],DiscreteStatsTable[[#This Row],[BatchMeansHalfWidth]])</f>
        <v>0.31052781340440827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0.167526401126319</v>
      </c>
      <c r="H97">
        <v>2E+20</v>
      </c>
      <c r="I97">
        <v>0</v>
      </c>
      <c r="J97">
        <v>3.3436769914801499</v>
      </c>
      <c r="K97">
        <v>96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0.16709777229199901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0.33693373980050262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1.7565635531885599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15.4369804087658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97">
        <f>IF((DiscreteStatsTable[[#This Row],[RepsRequested]]&gt;1),DiscreteStatsTable[[#This Row],[HalfWidth]],DiscreteStatsTable[[#This Row],[BatchMeansHalfWidth]])</f>
        <v>0.12581312612236456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68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68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7.5174632278014997</v>
      </c>
      <c r="H100">
        <v>2E+20</v>
      </c>
      <c r="I100">
        <v>0.15670464847801199</v>
      </c>
      <c r="J100">
        <v>30.5640535683014</v>
      </c>
      <c r="K100">
        <v>68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8.3792916507108366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0.93466762779502222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6.81306602680844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10.366150950228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6.2754048036595101E-4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66.702859103432402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00">
        <f>IF((DiscreteStatsTable[[#This Row],[RepsRequested]]&gt;1),DiscreteStatsTable[[#This Row],[HalfWidth]],DiscreteStatsTable[[#This Row],[BatchMeansHalfWidth]])</f>
        <v>0.34901062804779692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68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7.4788328410148601</v>
      </c>
      <c r="H102">
        <v>2E+20</v>
      </c>
      <c r="I102">
        <v>0.15670464847801199</v>
      </c>
      <c r="J102">
        <v>30.5640535683014</v>
      </c>
      <c r="K102">
        <v>68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8.2121938784188373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0.83160875742536189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6.7904316364990898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10.1986245491017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6.2754048036595101E-4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66.702859103432402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02">
        <f>IF((DiscreteStatsTable[[#This Row],[RepsRequested]]&gt;1),DiscreteStatsTable[[#This Row],[HalfWidth]],DiscreteStatsTable[[#This Row],[BatchMeansHalfWidth]])</f>
        <v>0.31052781340440827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3.86303867866368E-2</v>
      </c>
      <c r="H103">
        <v>2E+20</v>
      </c>
      <c r="I103">
        <v>0</v>
      </c>
      <c r="J103">
        <v>1.08638271366738</v>
      </c>
      <c r="K103">
        <v>68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0.16709777229199901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0.33693373980050262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1.7565635531885599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15.4369804087658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03">
        <f>IF((DiscreteStatsTable[[#This Row],[RepsRequested]]&gt;1),DiscreteStatsTable[[#This Row],[HalfWidth]],DiscreteStatsTable[[#This Row],[BatchMeansHalfWidth]])</f>
        <v>0.12581312612236456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101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101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9.8666456432813803</v>
      </c>
      <c r="H106">
        <v>2E+20</v>
      </c>
      <c r="I106">
        <v>0.13528529806103501</v>
      </c>
      <c r="J106">
        <v>38.633328617339501</v>
      </c>
      <c r="K106">
        <v>101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8.3792916507108366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0.93466762779502222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6.81306602680844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10.366150950228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6.2754048036595101E-4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66.702859103432402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06">
        <f>IF((DiscreteStatsTable[[#This Row],[RepsRequested]]&gt;1),DiscreteStatsTable[[#This Row],[HalfWidth]],DiscreteStatsTable[[#This Row],[BatchMeansHalfWidth]])</f>
        <v>0.34901062804779692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101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9.1765340939111706</v>
      </c>
      <c r="H108">
        <v>2E+20</v>
      </c>
      <c r="I108">
        <v>0.13528529806103501</v>
      </c>
      <c r="J108">
        <v>38.633328617339501</v>
      </c>
      <c r="K108">
        <v>101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8.2121938784188373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0.83160875742536189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6.7904316364990898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10.1986245491017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6.2754048036595101E-4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66.702859103432402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08">
        <f>IF((DiscreteStatsTable[[#This Row],[RepsRequested]]&gt;1),DiscreteStatsTable[[#This Row],[HalfWidth]],DiscreteStatsTable[[#This Row],[BatchMeansHalfWidth]])</f>
        <v>0.31052781340440827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0.69011154937021602</v>
      </c>
      <c r="H109">
        <v>2E+20</v>
      </c>
      <c r="I109">
        <v>0</v>
      </c>
      <c r="J109">
        <v>12.1236007212635</v>
      </c>
      <c r="K109">
        <v>101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0.16709777229199901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0.33693373980050262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1.7565635531885599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15.4369804087658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09">
        <f>IF((DiscreteStatsTable[[#This Row],[RepsRequested]]&gt;1),DiscreteStatsTable[[#This Row],[HalfWidth]],DiscreteStatsTable[[#This Row],[BatchMeansHalfWidth]])</f>
        <v>0.12581312612236456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83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83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8.8496132868618194</v>
      </c>
      <c r="H112">
        <v>2E+20</v>
      </c>
      <c r="I112">
        <v>6.4063890553143201E-3</v>
      </c>
      <c r="J112">
        <v>38.060326901497298</v>
      </c>
      <c r="K112">
        <v>83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8.3792916507108366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0.93466762779502222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6.81306602680844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10.366150950228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6.2754048036595101E-4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66.702859103432402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12">
        <f>IF((DiscreteStatsTable[[#This Row],[RepsRequested]]&gt;1),DiscreteStatsTable[[#This Row],[HalfWidth]],DiscreteStatsTable[[#This Row],[BatchMeansHalfWidth]])</f>
        <v>0.34901062804779692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83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8.6915015201580399</v>
      </c>
      <c r="H114">
        <v>2E+20</v>
      </c>
      <c r="I114">
        <v>6.4063890553143201E-3</v>
      </c>
      <c r="J114">
        <v>38.060326901497298</v>
      </c>
      <c r="K114">
        <v>83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8.2121938784188373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0.83160875742536189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6.7904316364990898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10.1986245491017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6.2754048036595101E-4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66.702859103432402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14">
        <f>IF((DiscreteStatsTable[[#This Row],[RepsRequested]]&gt;1),DiscreteStatsTable[[#This Row],[HalfWidth]],DiscreteStatsTable[[#This Row],[BatchMeansHalfWidth]])</f>
        <v>0.31052781340440827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0.158111766703772</v>
      </c>
      <c r="H115">
        <v>2E+20</v>
      </c>
      <c r="I115">
        <v>0</v>
      </c>
      <c r="J115">
        <v>4.3739773832420497</v>
      </c>
      <c r="K115">
        <v>83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0.16709777229199901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0.33693373980050262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1.7565635531885599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15.4369804087658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15">
        <f>IF((DiscreteStatsTable[[#This Row],[RepsRequested]]&gt;1),DiscreteStatsTable[[#This Row],[HalfWidth]],DiscreteStatsTable[[#This Row],[BatchMeansHalfWidth]])</f>
        <v>0.12581312612236456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84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84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7.5817489919705796</v>
      </c>
      <c r="H118">
        <v>2E+20</v>
      </c>
      <c r="I118">
        <v>5.1675866018285901E-2</v>
      </c>
      <c r="J118">
        <v>66.702859103432402</v>
      </c>
      <c r="K118">
        <v>84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8.3792916507108366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0.93466762779502222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6.81306602680844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10.366150950228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6.2754048036595101E-4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66.702859103432402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18">
        <f>IF((DiscreteStatsTable[[#This Row],[RepsRequested]]&gt;1),DiscreteStatsTable[[#This Row],[HalfWidth]],DiscreteStatsTable[[#This Row],[BatchMeansHalfWidth]])</f>
        <v>0.34901062804779692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84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7.5526435883521996</v>
      </c>
      <c r="H120">
        <v>2E+20</v>
      </c>
      <c r="I120">
        <v>5.1675866018285901E-2</v>
      </c>
      <c r="J120">
        <v>66.702859103432402</v>
      </c>
      <c r="K120">
        <v>84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8.2121938784188373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0.83160875742536189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6.7904316364990898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10.1986245491017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6.2754048036595101E-4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66.702859103432402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20">
        <f>IF((DiscreteStatsTable[[#This Row],[RepsRequested]]&gt;1),DiscreteStatsTable[[#This Row],[HalfWidth]],DiscreteStatsTable[[#This Row],[BatchMeansHalfWidth]])</f>
        <v>0.31052781340440827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2.9105403618376501E-2</v>
      </c>
      <c r="H121">
        <v>2E+20</v>
      </c>
      <c r="I121">
        <v>0</v>
      </c>
      <c r="J121">
        <v>1.42552600445856</v>
      </c>
      <c r="K121">
        <v>84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0.16709777229199901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0.33693373980050262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1.7565635531885599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15.4369804087658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21">
        <f>IF((DiscreteStatsTable[[#This Row],[RepsRequested]]&gt;1),DiscreteStatsTable[[#This Row],[HalfWidth]],DiscreteStatsTable[[#This Row],[BatchMeansHalfWidth]])</f>
        <v>0.12581312612236456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93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93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6.81306602680844</v>
      </c>
      <c r="H124">
        <v>2E+20</v>
      </c>
      <c r="I124">
        <v>6.5702714622375397E-2</v>
      </c>
      <c r="J124">
        <v>33.829346636880601</v>
      </c>
      <c r="K124">
        <v>93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8.3792916507108366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0.93466762779502222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6.81306602680844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10.366150950228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6.2754048036595101E-4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66.702859103432402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24" s="5">
        <f>IF((DiscreteStatsTable[[#This Row],[RepsRequested]]&gt;1),DiscreteStatsTable[[#This Row],[HalfWidth]],DiscreteStatsTable[[#This Row],[BatchMeansHalfWidth]])</f>
        <v>0.34901062804779692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93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6.81306602680844</v>
      </c>
      <c r="H126">
        <v>2E+20</v>
      </c>
      <c r="I126">
        <v>6.5702714622375397E-2</v>
      </c>
      <c r="J126">
        <v>33.829346636880601</v>
      </c>
      <c r="K126">
        <v>93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8.2121938784188373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0.83160875742536189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6.7904316364990898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10.1986245491017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6.2754048036595101E-4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66.702859103432402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26" s="5">
        <f>IF((DiscreteStatsTable[[#This Row],[RepsRequested]]&gt;1),DiscreteStatsTable[[#This Row],[HalfWidth]],DiscreteStatsTable[[#This Row],[BatchMeansHalfWidth]])</f>
        <v>0.31052781340440827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0</v>
      </c>
      <c r="H127">
        <v>2E+20</v>
      </c>
      <c r="I127">
        <v>0</v>
      </c>
      <c r="J127">
        <v>0</v>
      </c>
      <c r="K127">
        <v>93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0.16709777229199901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0.33693373980050262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1.7565635531885599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15.4369804087658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27" s="5">
        <f>IF((DiscreteStatsTable[[#This Row],[RepsRequested]]&gt;1),DiscreteStatsTable[[#This Row],[HalfWidth]],DiscreteStatsTable[[#This Row],[BatchMeansHalfWidth]])</f>
        <v>0.12581312612236456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81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81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9.3837454494722596</v>
      </c>
      <c r="H130">
        <v>2E+20</v>
      </c>
      <c r="I130">
        <v>2.5144256069182799E-2</v>
      </c>
      <c r="J130">
        <v>32.238673536365901</v>
      </c>
      <c r="K130">
        <v>81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8.3792916507108366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0.93466762779502222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6.81306602680844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10.366150950228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6.2754048036595101E-4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66.702859103432402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30" s="5">
        <f>IF((DiscreteStatsTable[[#This Row],[RepsRequested]]&gt;1),DiscreteStatsTable[[#This Row],[HalfWidth]],DiscreteStatsTable[[#This Row],[BatchMeansHalfWidth]])</f>
        <v>0.34901062804779692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81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9.3607979970631501</v>
      </c>
      <c r="H132">
        <v>2E+20</v>
      </c>
      <c r="I132">
        <v>2.5144256069182799E-2</v>
      </c>
      <c r="J132">
        <v>32.238673536365901</v>
      </c>
      <c r="K132">
        <v>81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8.2121938784188373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0.83160875742536189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6.7904316364990898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10.1986245491017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6.2754048036595101E-4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66.702859103432402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32" s="5">
        <f>IF((DiscreteStatsTable[[#This Row],[RepsRequested]]&gt;1),DiscreteStatsTable[[#This Row],[HalfWidth]],DiscreteStatsTable[[#This Row],[BatchMeansHalfWidth]])</f>
        <v>0.31052781340440827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2.29474524091084E-2</v>
      </c>
      <c r="H133">
        <v>2E+20</v>
      </c>
      <c r="I133">
        <v>0</v>
      </c>
      <c r="J133">
        <v>1.52567910742997</v>
      </c>
      <c r="K133">
        <v>81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0.16709777229199901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0.33693373980050262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1.7565635531885599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15.4369804087658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33" s="5">
        <f>IF((DiscreteStatsTable[[#This Row],[RepsRequested]]&gt;1),DiscreteStatsTable[[#This Row],[HalfWidth]],DiscreteStatsTable[[#This Row],[BatchMeansHalfWidth]])</f>
        <v>0.12581312612236456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92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92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8.0349329050952303</v>
      </c>
      <c r="H136">
        <v>2E+20</v>
      </c>
      <c r="I136">
        <v>1.31104526331001E-2</v>
      </c>
      <c r="J136">
        <v>33.4586433379204</v>
      </c>
      <c r="K136">
        <v>92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8.3792916507108366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0.93466762779502222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6.81306602680844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10.366150950228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6.2754048036595101E-4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66.702859103432402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36" s="5">
        <f>IF((DiscreteStatsTable[[#This Row],[RepsRequested]]&gt;1),DiscreteStatsTable[[#This Row],[HalfWidth]],DiscreteStatsTable[[#This Row],[BatchMeansHalfWidth]])</f>
        <v>0.34901062804779692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92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7.7671451156240803</v>
      </c>
      <c r="H138">
        <v>2E+20</v>
      </c>
      <c r="I138">
        <v>1.31104526331001E-2</v>
      </c>
      <c r="J138">
        <v>33.4586433379204</v>
      </c>
      <c r="K138">
        <v>92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8.2121938784188373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0.83160875742536189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6.7904316364990898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10.1986245491017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6.2754048036595101E-4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66.702859103432402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38" s="5">
        <f>IF((DiscreteStatsTable[[#This Row],[RepsRequested]]&gt;1),DiscreteStatsTable[[#This Row],[HalfWidth]],DiscreteStatsTable[[#This Row],[BatchMeansHalfWidth]])</f>
        <v>0.31052781340440827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0.26778778947113901</v>
      </c>
      <c r="H139">
        <v>2E+20</v>
      </c>
      <c r="I139">
        <v>0</v>
      </c>
      <c r="J139">
        <v>6.4738128586644503</v>
      </c>
      <c r="K139">
        <v>92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0.16709777229199901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0.33693373980050262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1.7565635531885599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15.4369804087658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39" s="5">
        <f>IF((DiscreteStatsTable[[#This Row],[RepsRequested]]&gt;1),DiscreteStatsTable[[#This Row],[HalfWidth]],DiscreteStatsTable[[#This Row],[BatchMeansHalfWidth]])</f>
        <v>0.12581312612236456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73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73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8.4896722916083007</v>
      </c>
      <c r="H142">
        <v>2E+20</v>
      </c>
      <c r="I142">
        <v>0.113476061281631</v>
      </c>
      <c r="J142">
        <v>39.532637762023697</v>
      </c>
      <c r="K142">
        <v>73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8.3792916507108366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0.93466762779502222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6.81306602680844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10.366150950228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6.2754048036595101E-4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66.702859103432402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42" s="5">
        <f>IF((DiscreteStatsTable[[#This Row],[RepsRequested]]&gt;1),DiscreteStatsTable[[#This Row],[HalfWidth]],DiscreteStatsTable[[#This Row],[BatchMeansHalfWidth]])</f>
        <v>0.34901062804779692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73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8.4753865984192895</v>
      </c>
      <c r="H144">
        <v>2E+20</v>
      </c>
      <c r="I144">
        <v>0.113476061281631</v>
      </c>
      <c r="J144">
        <v>39.532637762023697</v>
      </c>
      <c r="K144">
        <v>73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8.2121938784188373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0.83160875742536189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6.7904316364990898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10.1986245491017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6.2754048036595101E-4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66.702859103432402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44" s="5">
        <f>IF((DiscreteStatsTable[[#This Row],[RepsRequested]]&gt;1),DiscreteStatsTable[[#This Row],[HalfWidth]],DiscreteStatsTable[[#This Row],[BatchMeansHalfWidth]])</f>
        <v>0.31052781340440827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1.4285693189010599E-2</v>
      </c>
      <c r="H145">
        <v>2E+20</v>
      </c>
      <c r="I145">
        <v>0</v>
      </c>
      <c r="J145">
        <v>1.04285560279777</v>
      </c>
      <c r="K145">
        <v>73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0.16709777229199901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0.33693373980050262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1.7565635531885599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15.4369804087658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45" s="5">
        <f>IF((DiscreteStatsTable[[#This Row],[RepsRequested]]&gt;1),DiscreteStatsTable[[#This Row],[HalfWidth]],DiscreteStatsTable[[#This Row],[BatchMeansHalfWidth]])</f>
        <v>0.12581312612236456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88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88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7.6879614341105897</v>
      </c>
      <c r="H148">
        <v>2E+20</v>
      </c>
      <c r="I148">
        <v>9.0271934225967208E-3</v>
      </c>
      <c r="J148">
        <v>36.6592571995469</v>
      </c>
      <c r="K148">
        <v>88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8.3792916507108366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0.93466762779502222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6.81306602680844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10.366150950228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6.2754048036595101E-4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66.702859103432402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48" s="5">
        <f>IF((DiscreteStatsTable[[#This Row],[RepsRequested]]&gt;1),DiscreteStatsTable[[#This Row],[HalfWidth]],DiscreteStatsTable[[#This Row],[BatchMeansHalfWidth]])</f>
        <v>0.34901062804779692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88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7.6722876750367401</v>
      </c>
      <c r="H150">
        <v>2E+20</v>
      </c>
      <c r="I150">
        <v>9.0271934225967208E-3</v>
      </c>
      <c r="J150">
        <v>36.6592571995469</v>
      </c>
      <c r="K150">
        <v>88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8.2121938784188373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0.83160875742536189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6.7904316364990898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10.1986245491017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6.2754048036595101E-4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66.702859103432402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50" s="5">
        <f>IF((DiscreteStatsTable[[#This Row],[RepsRequested]]&gt;1),DiscreteStatsTable[[#This Row],[HalfWidth]],DiscreteStatsTable[[#This Row],[BatchMeansHalfWidth]])</f>
        <v>0.31052781340440827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1.5673759073850699E-2</v>
      </c>
      <c r="H151">
        <v>2E+20</v>
      </c>
      <c r="I151">
        <v>0</v>
      </c>
      <c r="J151">
        <v>0.70572653491922199</v>
      </c>
      <c r="K151">
        <v>88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0.16709777229199901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0.33693373980050262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1.7565635531885599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15.4369804087658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51" s="5">
        <f>IF((DiscreteStatsTable[[#This Row],[RepsRequested]]&gt;1),DiscreteStatsTable[[#This Row],[HalfWidth]],DiscreteStatsTable[[#This Row],[BatchMeansHalfWidth]])</f>
        <v>0.12581312612236456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80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80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7.8286909932485296</v>
      </c>
      <c r="H154">
        <v>2E+20</v>
      </c>
      <c r="I154">
        <v>6.2754048036595101E-4</v>
      </c>
      <c r="J154">
        <v>38.8938228204712</v>
      </c>
      <c r="K154">
        <v>80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8.3792916507108366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0.93466762779502222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6.81306602680844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10.366150950228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6.2754048036595101E-4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66.702859103432402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54" s="5">
        <f>IF((DiscreteStatsTable[[#This Row],[RepsRequested]]&gt;1),DiscreteStatsTable[[#This Row],[HalfWidth]],DiscreteStatsTable[[#This Row],[BatchMeansHalfWidth]])</f>
        <v>0.34901062804779692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80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7.7486300587185699</v>
      </c>
      <c r="H156">
        <v>2E+20</v>
      </c>
      <c r="I156">
        <v>6.2754048036595101E-4</v>
      </c>
      <c r="J156">
        <v>38.8938228204712</v>
      </c>
      <c r="K156">
        <v>80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8.2121938784188373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0.83160875742536189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6.7904316364990898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10.1986245491017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6.2754048036595101E-4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66.702859103432402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56" s="5">
        <f>IF((DiscreteStatsTable[[#This Row],[RepsRequested]]&gt;1),DiscreteStatsTable[[#This Row],[HalfWidth]],DiscreteStatsTable[[#This Row],[BatchMeansHalfWidth]])</f>
        <v>0.31052781340440827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8.0060934529957495E-2</v>
      </c>
      <c r="H157">
        <v>2E+20</v>
      </c>
      <c r="I157">
        <v>0</v>
      </c>
      <c r="J157">
        <v>1.99843619192495</v>
      </c>
      <c r="K157">
        <v>80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0.16709777229199901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0.33693373980050262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1.7565635531885599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15.4369804087658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57" s="5">
        <f>IF((DiscreteStatsTable[[#This Row],[RepsRequested]]&gt;1),DiscreteStatsTable[[#This Row],[HalfWidth]],DiscreteStatsTable[[#This Row],[BatchMeansHalfWidth]])</f>
        <v>0.12581312612236456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88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88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8.81462007163951</v>
      </c>
      <c r="H160">
        <v>2E+20</v>
      </c>
      <c r="I160">
        <v>0.181986718430977</v>
      </c>
      <c r="J160">
        <v>60.5378249523392</v>
      </c>
      <c r="K160">
        <v>88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8.3792916507108366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0.93466762779502222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6.81306602680844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10.366150950228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6.2754048036595101E-4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66.702859103432402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60" s="5">
        <f>IF((DiscreteStatsTable[[#This Row],[RepsRequested]]&gt;1),DiscreteStatsTable[[#This Row],[HalfWidth]],DiscreteStatsTable[[#This Row],[BatchMeansHalfWidth]])</f>
        <v>0.34901062804779692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88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8.6085159560282101</v>
      </c>
      <c r="H162">
        <v>2E+20</v>
      </c>
      <c r="I162">
        <v>0.181986718430977</v>
      </c>
      <c r="J162">
        <v>60.5378249523392</v>
      </c>
      <c r="K162">
        <v>88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8.2121938784188373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0.83160875742536189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6.7904316364990898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10.1986245491017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6.2754048036595101E-4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66.702859103432402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62" s="5">
        <f>IF((DiscreteStatsTable[[#This Row],[RepsRequested]]&gt;1),DiscreteStatsTable[[#This Row],[HalfWidth]],DiscreteStatsTable[[#This Row],[BatchMeansHalfWidth]])</f>
        <v>0.31052781340440827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0.20610411561130501</v>
      </c>
      <c r="H163">
        <v>2E+20</v>
      </c>
      <c r="I163">
        <v>0</v>
      </c>
      <c r="J163">
        <v>5.6556757474375603</v>
      </c>
      <c r="K163">
        <v>88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0.16709777229199901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0.33693373980050262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1.7565635531885599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15.4369804087658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63" s="5">
        <f>IF((DiscreteStatsTable[[#This Row],[RepsRequested]]&gt;1),DiscreteStatsTable[[#This Row],[HalfWidth]],DiscreteStatsTable[[#This Row],[BatchMeansHalfWidth]])</f>
        <v>0.12581312612236456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98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98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8.1976403685788704</v>
      </c>
      <c r="H166">
        <v>2E+20</v>
      </c>
      <c r="I166">
        <v>0.17547477122070601</v>
      </c>
      <c r="J166">
        <v>63.392444108219102</v>
      </c>
      <c r="K166">
        <v>98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8.3792916507108366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0.93466762779502222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6.81306602680844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10.366150950228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6.2754048036595101E-4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66.702859103432402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66" s="5">
        <f>IF((DiscreteStatsTable[[#This Row],[RepsRequested]]&gt;1),DiscreteStatsTable[[#This Row],[HalfWidth]],DiscreteStatsTable[[#This Row],[BatchMeansHalfWidth]])</f>
        <v>0.34901062804779692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98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8.1504682078615396</v>
      </c>
      <c r="H168">
        <v>2E+20</v>
      </c>
      <c r="I168">
        <v>0.17547477122070601</v>
      </c>
      <c r="J168">
        <v>63.392444108219102</v>
      </c>
      <c r="K168">
        <v>98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8.2121938784188373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0.83160875742536189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6.7904316364990898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10.1986245491017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6.2754048036595101E-4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66.702859103432402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68" s="5">
        <f>IF((DiscreteStatsTable[[#This Row],[RepsRequested]]&gt;1),DiscreteStatsTable[[#This Row],[HalfWidth]],DiscreteStatsTable[[#This Row],[BatchMeansHalfWidth]])</f>
        <v>0.31052781340440827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4.7172160717325003E-2</v>
      </c>
      <c r="H169">
        <v>2E+20</v>
      </c>
      <c r="I169">
        <v>0</v>
      </c>
      <c r="J169">
        <v>1.81293433665347</v>
      </c>
      <c r="K169">
        <v>98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0.16709777229199901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0.33693373980050262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1.7565635531885599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15.4369804087658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69" s="5">
        <f>IF((DiscreteStatsTable[[#This Row],[RepsRequested]]&gt;1),DiscreteStatsTable[[#This Row],[HalfWidth]],DiscreteStatsTable[[#This Row],[BatchMeansHalfWidth]])</f>
        <v>0.12581312612236456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89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89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8.7059058592685794</v>
      </c>
      <c r="H172">
        <v>2E+20</v>
      </c>
      <c r="I172">
        <v>3.6342768931433497E-2</v>
      </c>
      <c r="J172">
        <v>55.170941421627099</v>
      </c>
      <c r="K172">
        <v>89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8.3792916507108366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0.93466762779502222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6.81306602680844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10.366150950228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6.2754048036595101E-4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66.702859103432402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72" s="5">
        <f>IF((DiscreteStatsTable[[#This Row],[RepsRequested]]&gt;1),DiscreteStatsTable[[#This Row],[HalfWidth]],DiscreteStatsTable[[#This Row],[BatchMeansHalfWidth]])</f>
        <v>0.34901062804779692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89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8.5453694191801901</v>
      </c>
      <c r="H174">
        <v>2E+20</v>
      </c>
      <c r="I174">
        <v>3.6342768931433497E-2</v>
      </c>
      <c r="J174">
        <v>55.170941421627099</v>
      </c>
      <c r="K174">
        <v>89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8.2121938784188373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0.83160875742536189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6.7904316364990898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10.1986245491017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6.2754048036595101E-4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66.702859103432402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74" s="5">
        <f>IF((DiscreteStatsTable[[#This Row],[RepsRequested]]&gt;1),DiscreteStatsTable[[#This Row],[HalfWidth]],DiscreteStatsTable[[#This Row],[BatchMeansHalfWidth]])</f>
        <v>0.31052781340440827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0.16053644008838699</v>
      </c>
      <c r="H175">
        <v>2E+20</v>
      </c>
      <c r="I175">
        <v>0</v>
      </c>
      <c r="J175">
        <v>5.3229909550951504</v>
      </c>
      <c r="K175">
        <v>89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0.16709777229199901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0.33693373980050262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1.7565635531885599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15.4369804087658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75" s="5">
        <f>IF((DiscreteStatsTable[[#This Row],[RepsRequested]]&gt;1),DiscreteStatsTable[[#This Row],[HalfWidth]],DiscreteStatsTable[[#This Row],[BatchMeansHalfWidth]])</f>
        <v>0.12581312612236456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102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102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8.1663408147043892</v>
      </c>
      <c r="H178">
        <v>2E+20</v>
      </c>
      <c r="I178">
        <v>6.4147843096890297E-2</v>
      </c>
      <c r="J178">
        <v>39.694135643202003</v>
      </c>
      <c r="K178">
        <v>102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8.3792916507108366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0.93466762779502222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0.34901062804779692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6.81306602680844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10.366150950228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6.2754048036595101E-4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66.702859103432402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78" s="5">
        <f>IF((DiscreteStatsTable[[#This Row],[RepsRequested]]&gt;1),DiscreteStatsTable[[#This Row],[HalfWidth]],DiscreteStatsTable[[#This Row],[BatchMeansHalfWidth]])</f>
        <v>0.34901062804779692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102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8.1181424700818603</v>
      </c>
      <c r="H180">
        <v>2E+20</v>
      </c>
      <c r="I180">
        <v>6.4147843096890297E-2</v>
      </c>
      <c r="J180">
        <v>39.694135643202003</v>
      </c>
      <c r="K180">
        <v>102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8.2121938784188373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0.83160875742536189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0.31052781340440827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6.7904316364990898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10.1986245491017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6.2754048036595101E-4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66.702859103432402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80" s="5">
        <f>IF((DiscreteStatsTable[[#This Row],[RepsRequested]]&gt;1),DiscreteStatsTable[[#This Row],[HalfWidth]],DiscreteStatsTable[[#This Row],[BatchMeansHalfWidth]])</f>
        <v>0.31052781340440827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4.8198344622537102E-2</v>
      </c>
      <c r="H181">
        <v>2E+20</v>
      </c>
      <c r="I181">
        <v>0</v>
      </c>
      <c r="J181">
        <v>2.6277084140896099</v>
      </c>
      <c r="K181">
        <v>102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0.16709777229199901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0.33693373980050262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0.12581312612236456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1.7565635531885599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15.4369804087658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88.466666666666669</v>
      </c>
      <c r="W181" s="5">
        <f>IF((DiscreteStatsTable[[#This Row],[RepsRequested]]&gt;1),DiscreteStatsTable[[#This Row],[HalfWidth]],DiscreteStatsTable[[#This Row],[BatchMeansHalfWidth]])</f>
        <v>0.12581312612236456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4.5724119686135198E-2</v>
      </c>
      <c r="H182">
        <v>2E+20</v>
      </c>
      <c r="I182">
        <v>0</v>
      </c>
      <c r="J182">
        <v>1.53394997465028</v>
      </c>
      <c r="K182">
        <v>82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0.16531240453574228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0.32926933820354465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1.7137205396961599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15.4369804087658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89.4</v>
      </c>
      <c r="W182" s="5">
        <f>IF((DiscreteStatsTable[[#This Row],[RepsRequested]]&gt;1),DiscreteStatsTable[[#This Row],[HalfWidth]],DiscreteStatsTable[[#This Row],[BatchMeansHalfWidth]])</f>
        <v>0.12295119153148186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5.5349779485481899E-2</v>
      </c>
      <c r="H183">
        <v>2E+20</v>
      </c>
      <c r="I183">
        <v>0</v>
      </c>
      <c r="J183">
        <v>4.0879380036819004</v>
      </c>
      <c r="K183">
        <v>100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0.16531240453574228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0.32926933820354465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1.7137205396961599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15.4369804087658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89.4</v>
      </c>
      <c r="W183" s="5">
        <f>IF((DiscreteStatsTable[[#This Row],[RepsRequested]]&gt;1),DiscreteStatsTable[[#This Row],[HalfWidth]],DiscreteStatsTable[[#This Row],[BatchMeansHalfWidth]])</f>
        <v>0.12295119153148186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2.4207755694088801E-2</v>
      </c>
      <c r="H184">
        <v>2E+20</v>
      </c>
      <c r="I184">
        <v>0</v>
      </c>
      <c r="J184">
        <v>0.86334179735109695</v>
      </c>
      <c r="K184">
        <v>108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0.16531240453574228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0.32926933820354465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1.7137205396961599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15.4369804087658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89.4</v>
      </c>
      <c r="W184" s="5">
        <f>IF((DiscreteStatsTable[[#This Row],[RepsRequested]]&gt;1),DiscreteStatsTable[[#This Row],[HalfWidth]],DiscreteStatsTable[[#This Row],[BatchMeansHalfWidth]])</f>
        <v>0.12295119153148186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6.6770268749886702E-2</v>
      </c>
      <c r="H185">
        <v>2E+20</v>
      </c>
      <c r="I185">
        <v>0</v>
      </c>
      <c r="J185">
        <v>3.2183136626261901</v>
      </c>
      <c r="K185">
        <v>89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0.16531240453574228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0.32926933820354465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1.7137205396961599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15.4369804087658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89.4</v>
      </c>
      <c r="W185" s="5">
        <f>IF((DiscreteStatsTable[[#This Row],[RepsRequested]]&gt;1),DiscreteStatsTable[[#This Row],[HalfWidth]],DiscreteStatsTable[[#This Row],[BatchMeansHalfWidth]])</f>
        <v>0.12295119153148186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0</v>
      </c>
      <c r="H186">
        <v>2E+20</v>
      </c>
      <c r="I186">
        <v>0</v>
      </c>
      <c r="J186">
        <v>0</v>
      </c>
      <c r="K186">
        <v>96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0.16531240453574228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0.32926933820354465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1.7137205396961599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15.4369804087658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89.4</v>
      </c>
      <c r="W186" s="5">
        <f>IF((DiscreteStatsTable[[#This Row],[RepsRequested]]&gt;1),DiscreteStatsTable[[#This Row],[HalfWidth]],DiscreteStatsTable[[#This Row],[BatchMeansHalfWidth]])</f>
        <v>0.12295119153148186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0.52001866688309795</v>
      </c>
      <c r="H187">
        <v>2E+20</v>
      </c>
      <c r="I187">
        <v>0</v>
      </c>
      <c r="J187">
        <v>11.7463045310827</v>
      </c>
      <c r="K187">
        <v>96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0.16531240453574228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0.32926933820354465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1.7137205396961599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15.4369804087658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89.4</v>
      </c>
      <c r="W187" s="5">
        <f>IF((DiscreteStatsTable[[#This Row],[RepsRequested]]&gt;1),DiscreteStatsTable[[#This Row],[HalfWidth]],DiscreteStatsTable[[#This Row],[BatchMeansHalfWidth]])</f>
        <v>0.12295119153148186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0.17828860803430999</v>
      </c>
      <c r="H188">
        <v>2E+20</v>
      </c>
      <c r="I188">
        <v>0</v>
      </c>
      <c r="J188">
        <v>3.8292360829544498</v>
      </c>
      <c r="K188">
        <v>91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0.16531240453574228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0.32926933820354465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1.7137205396961599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15.4369804087658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89.4</v>
      </c>
      <c r="W188" s="5">
        <f>IF((DiscreteStatsTable[[#This Row],[RepsRequested]]&gt;1),DiscreteStatsTable[[#This Row],[HalfWidth]],DiscreteStatsTable[[#This Row],[BatchMeansHalfWidth]])</f>
        <v>0.12295119153148186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0</v>
      </c>
      <c r="H189">
        <v>2E+20</v>
      </c>
      <c r="I189">
        <v>0</v>
      </c>
      <c r="J189">
        <v>0</v>
      </c>
      <c r="K189">
        <v>72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0.16531240453574228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0.32926933820354465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1.7137205396961599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15.4369804087658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89.4</v>
      </c>
      <c r="W189" s="5">
        <f>IF((DiscreteStatsTable[[#This Row],[RepsRequested]]&gt;1),DiscreteStatsTable[[#This Row],[HalfWidth]],DiscreteStatsTable[[#This Row],[BatchMeansHalfWidth]])</f>
        <v>0.12295119153148186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0</v>
      </c>
      <c r="H190">
        <v>2E+20</v>
      </c>
      <c r="I190">
        <v>0</v>
      </c>
      <c r="J190">
        <v>0</v>
      </c>
      <c r="K190">
        <v>87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0.16531240453574228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0.32926933820354465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1.7137205396961599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15.4369804087658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89.4</v>
      </c>
      <c r="W190" s="5">
        <f>IF((DiscreteStatsTable[[#This Row],[RepsRequested]]&gt;1),DiscreteStatsTable[[#This Row],[HalfWidth]],DiscreteStatsTable[[#This Row],[BatchMeansHalfWidth]])</f>
        <v>0.12295119153148186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0.14892341631683201</v>
      </c>
      <c r="H191">
        <v>2E+20</v>
      </c>
      <c r="I191">
        <v>0</v>
      </c>
      <c r="J191">
        <v>6.2184450640811004</v>
      </c>
      <c r="K191">
        <v>83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0.16531240453574228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0.32926933820354465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1.7137205396961599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15.4369804087658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89.4</v>
      </c>
      <c r="W191" s="5">
        <f>IF((DiscreteStatsTable[[#This Row],[RepsRequested]]&gt;1),DiscreteStatsTable[[#This Row],[HalfWidth]],DiscreteStatsTable[[#This Row],[BatchMeansHalfWidth]])</f>
        <v>0.12295119153148186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5.8045827629687102E-2</v>
      </c>
      <c r="H192">
        <v>2E+20</v>
      </c>
      <c r="I192">
        <v>0</v>
      </c>
      <c r="J192">
        <v>5.51435362482027</v>
      </c>
      <c r="K192">
        <v>95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0.16531240453574228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0.32926933820354465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1.7137205396961599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15.4369804087658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89.4</v>
      </c>
      <c r="W192" s="5">
        <f>IF((DiscreteStatsTable[[#This Row],[RepsRequested]]&gt;1),DiscreteStatsTable[[#This Row],[HalfWidth]],DiscreteStatsTable[[#This Row],[BatchMeansHalfWidth]])</f>
        <v>0.12295119153148186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1.7137205396961599</v>
      </c>
      <c r="H193">
        <v>2E+20</v>
      </c>
      <c r="I193">
        <v>0</v>
      </c>
      <c r="J193">
        <v>15.4369804087658</v>
      </c>
      <c r="K193">
        <v>82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0.16531240453574228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0.32926933820354465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1.7137205396961599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15.4369804087658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89.4</v>
      </c>
      <c r="W193" s="5">
        <f>IF((DiscreteStatsTable[[#This Row],[RepsRequested]]&gt;1),DiscreteStatsTable[[#This Row],[HalfWidth]],DiscreteStatsTable[[#This Row],[BatchMeansHalfWidth]])</f>
        <v>0.12295119153148186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8.9707718284653903E-2</v>
      </c>
      <c r="H194">
        <v>2E+20</v>
      </c>
      <c r="I194">
        <v>0</v>
      </c>
      <c r="J194">
        <v>3.3215003967990202</v>
      </c>
      <c r="K194">
        <v>92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0.16531240453574228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0.32926933820354465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1.7137205396961599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15.4369804087658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89.4</v>
      </c>
      <c r="W194" s="5">
        <f>IF((DiscreteStatsTable[[#This Row],[RepsRequested]]&gt;1),DiscreteStatsTable[[#This Row],[HalfWidth]],DiscreteStatsTable[[#This Row],[BatchMeansHalfWidth]])</f>
        <v>0.12295119153148186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3.2267668494182E-2</v>
      </c>
      <c r="H195">
        <v>2E+20</v>
      </c>
      <c r="I195">
        <v>0</v>
      </c>
      <c r="J195">
        <v>1.5211024702228999</v>
      </c>
      <c r="K195">
        <v>92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0.16531240453574228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0.32926933820354465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1.7137205396961599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15.4369804087658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89.4</v>
      </c>
      <c r="W195" s="5">
        <f>IF((DiscreteStatsTable[[#This Row],[RepsRequested]]&gt;1),DiscreteStatsTable[[#This Row],[HalfWidth]],DiscreteStatsTable[[#This Row],[BatchMeansHalfWidth]])</f>
        <v>0.12295119153148186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7.7406689254527705E-2</v>
      </c>
      <c r="H196">
        <v>2E+20</v>
      </c>
      <c r="I196">
        <v>0</v>
      </c>
      <c r="J196">
        <v>3.1172862474677498</v>
      </c>
      <c r="K196">
        <v>86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0.16531240453574228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0.32926933820354465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1.7137205396961599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15.4369804087658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89.4</v>
      </c>
      <c r="W196" s="5">
        <f>IF((DiscreteStatsTable[[#This Row],[RepsRequested]]&gt;1),DiscreteStatsTable[[#This Row],[HalfWidth]],DiscreteStatsTable[[#This Row],[BatchMeansHalfWidth]])</f>
        <v>0.12295119153148186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0.167526401126319</v>
      </c>
      <c r="H197">
        <v>2E+20</v>
      </c>
      <c r="I197">
        <v>0</v>
      </c>
      <c r="J197">
        <v>3.3436769914801499</v>
      </c>
      <c r="K197">
        <v>96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0.16531240453574228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0.32926933820354465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1.7137205396961599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15.4369804087658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89.4</v>
      </c>
      <c r="W197" s="5">
        <f>IF((DiscreteStatsTable[[#This Row],[RepsRequested]]&gt;1),DiscreteStatsTable[[#This Row],[HalfWidth]],DiscreteStatsTable[[#This Row],[BatchMeansHalfWidth]])</f>
        <v>0.12295119153148186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3.6998116922412699E-2</v>
      </c>
      <c r="H198">
        <v>2E+20</v>
      </c>
      <c r="I198">
        <v>0</v>
      </c>
      <c r="J198">
        <v>1.08638271366738</v>
      </c>
      <c r="K198">
        <v>71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0.16531240453574228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0.32926933820354465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1.7137205396961599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15.4369804087658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89.4</v>
      </c>
      <c r="W198" s="5">
        <f>IF((DiscreteStatsTable[[#This Row],[RepsRequested]]&gt;1),DiscreteStatsTable[[#This Row],[HalfWidth]],DiscreteStatsTable[[#This Row],[BatchMeansHalfWidth]])</f>
        <v>0.12295119153148186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0.68334574986658703</v>
      </c>
      <c r="H199">
        <v>2E+20</v>
      </c>
      <c r="I199">
        <v>0</v>
      </c>
      <c r="J199">
        <v>12.1236007212635</v>
      </c>
      <c r="K199">
        <v>102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0.16531240453574228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0.32926933820354465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1.7137205396961599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15.4369804087658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89.4</v>
      </c>
      <c r="W199" s="5">
        <f>IF((DiscreteStatsTable[[#This Row],[RepsRequested]]&gt;1),DiscreteStatsTable[[#This Row],[HalfWidth]],DiscreteStatsTable[[#This Row],[BatchMeansHalfWidth]])</f>
        <v>0.12295119153148186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0.158111766703772</v>
      </c>
      <c r="H200">
        <v>2E+20</v>
      </c>
      <c r="I200">
        <v>0</v>
      </c>
      <c r="J200">
        <v>4.3739773832420497</v>
      </c>
      <c r="K200">
        <v>83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0.16531240453574228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0.32926933820354465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1.7137205396961599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15.4369804087658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89.4</v>
      </c>
      <c r="W200" s="5">
        <f>IF((DiscreteStatsTable[[#This Row],[RepsRequested]]&gt;1),DiscreteStatsTable[[#This Row],[HalfWidth]],DiscreteStatsTable[[#This Row],[BatchMeansHalfWidth]])</f>
        <v>0.12295119153148186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2.8762987105219101E-2</v>
      </c>
      <c r="H201">
        <v>2E+20</v>
      </c>
      <c r="I201">
        <v>0</v>
      </c>
      <c r="J201">
        <v>1.42552600445856</v>
      </c>
      <c r="K201">
        <v>85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0.16531240453574228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0.32926933820354465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1.7137205396961599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15.4369804087658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89.4</v>
      </c>
      <c r="W201" s="5">
        <f>IF((DiscreteStatsTable[[#This Row],[RepsRequested]]&gt;1),DiscreteStatsTable[[#This Row],[HalfWidth]],DiscreteStatsTable[[#This Row],[BatchMeansHalfWidth]])</f>
        <v>0.12295119153148186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0</v>
      </c>
      <c r="H202">
        <v>2E+20</v>
      </c>
      <c r="I202">
        <v>0</v>
      </c>
      <c r="J202">
        <v>0</v>
      </c>
      <c r="K202">
        <v>93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0.16531240453574228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0.32926933820354465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1.7137205396961599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15.4369804087658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89.4</v>
      </c>
      <c r="W202" s="5">
        <f>IF((DiscreteStatsTable[[#This Row],[RepsRequested]]&gt;1),DiscreteStatsTable[[#This Row],[HalfWidth]],DiscreteStatsTable[[#This Row],[BatchMeansHalfWidth]])</f>
        <v>0.12295119153148186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2.2394501748647901E-2</v>
      </c>
      <c r="H203">
        <v>2E+20</v>
      </c>
      <c r="I203">
        <v>0</v>
      </c>
      <c r="J203">
        <v>1.52567910742997</v>
      </c>
      <c r="K203">
        <v>83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0.16531240453574228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0.32926933820354465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1.7137205396961599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15.4369804087658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89.4</v>
      </c>
      <c r="W203" s="5">
        <f>IF((DiscreteStatsTable[[#This Row],[RepsRequested]]&gt;1),DiscreteStatsTable[[#This Row],[HalfWidth]],DiscreteStatsTable[[#This Row],[BatchMeansHalfWidth]])</f>
        <v>0.12295119153148186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0.26490835087467501</v>
      </c>
      <c r="H204">
        <v>2E+20</v>
      </c>
      <c r="I204">
        <v>0</v>
      </c>
      <c r="J204">
        <v>6.4738128586644503</v>
      </c>
      <c r="K204">
        <v>93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0.16531240453574228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0.32926933820354465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1.7137205396961599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15.4369804087658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89.4</v>
      </c>
      <c r="W204" s="5">
        <f>IF((DiscreteStatsTable[[#This Row],[RepsRequested]]&gt;1),DiscreteStatsTable[[#This Row],[HalfWidth]],DiscreteStatsTable[[#This Row],[BatchMeansHalfWidth]])</f>
        <v>0.12295119153148186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1.4092643281051E-2</v>
      </c>
      <c r="H205">
        <v>2E+20</v>
      </c>
      <c r="I205">
        <v>0</v>
      </c>
      <c r="J205">
        <v>1.04285560279777</v>
      </c>
      <c r="K205">
        <v>74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0.16531240453574228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0.32926933820354465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1.7137205396961599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15.4369804087658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89.4</v>
      </c>
      <c r="W205" s="5">
        <f>IF((DiscreteStatsTable[[#This Row],[RepsRequested]]&gt;1),DiscreteStatsTable[[#This Row],[HalfWidth]],DiscreteStatsTable[[#This Row],[BatchMeansHalfWidth]])</f>
        <v>0.12295119153148186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1.5673759073850699E-2</v>
      </c>
      <c r="H206">
        <v>2E+20</v>
      </c>
      <c r="I206">
        <v>0</v>
      </c>
      <c r="J206">
        <v>0.70572653491922199</v>
      </c>
      <c r="K206">
        <v>88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0.16531240453574228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0.32926933820354465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1.7137205396961599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15.4369804087658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89.4</v>
      </c>
      <c r="W206" s="5">
        <f>IF((DiscreteStatsTable[[#This Row],[RepsRequested]]&gt;1),DiscreteStatsTable[[#This Row],[HalfWidth]],DiscreteStatsTable[[#This Row],[BatchMeansHalfWidth]])</f>
        <v>0.12295119153148186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0.102406461045111</v>
      </c>
      <c r="H207">
        <v>2E+20</v>
      </c>
      <c r="I207">
        <v>0</v>
      </c>
      <c r="J207">
        <v>1.99843619192495</v>
      </c>
      <c r="K207">
        <v>81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0.16531240453574228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0.32926933820354465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1.7137205396961599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15.4369804087658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89.4</v>
      </c>
      <c r="W207" s="5">
        <f>IF((DiscreteStatsTable[[#This Row],[RepsRequested]]&gt;1),DiscreteStatsTable[[#This Row],[HalfWidth]],DiscreteStatsTable[[#This Row],[BatchMeansHalfWidth]])</f>
        <v>0.12295119153148186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0.201524024153276</v>
      </c>
      <c r="H208">
        <v>2E+20</v>
      </c>
      <c r="I208">
        <v>0</v>
      </c>
      <c r="J208">
        <v>5.6556757474375603</v>
      </c>
      <c r="K208">
        <v>90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0.16531240453574228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0.32926933820354465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1.7137205396961599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15.4369804087658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89.4</v>
      </c>
      <c r="W208" s="5">
        <f>IF((DiscreteStatsTable[[#This Row],[RepsRequested]]&gt;1),DiscreteStatsTable[[#This Row],[HalfWidth]],DiscreteStatsTable[[#This Row],[BatchMeansHalfWidth]])</f>
        <v>0.12295119153148186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4.7172160717325003E-2</v>
      </c>
      <c r="H209">
        <v>2E+20</v>
      </c>
      <c r="I209">
        <v>0</v>
      </c>
      <c r="J209">
        <v>1.81293433665347</v>
      </c>
      <c r="K209">
        <v>98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0.16531240453574228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0.32926933820354465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1.7137205396961599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15.4369804087658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89.4</v>
      </c>
      <c r="W209" s="5">
        <f>IF((DiscreteStatsTable[[#This Row],[RepsRequested]]&gt;1),DiscreteStatsTable[[#This Row],[HalfWidth]],DiscreteStatsTable[[#This Row],[BatchMeansHalfWidth]])</f>
        <v>0.12295119153148186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0.15875270186518201</v>
      </c>
      <c r="H210">
        <v>2E+20</v>
      </c>
      <c r="I210">
        <v>0</v>
      </c>
      <c r="J210">
        <v>5.3229909550951504</v>
      </c>
      <c r="K210">
        <v>90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0.16531240453574228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0.32926933820354465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1.7137205396961599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15.4369804087658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89.4</v>
      </c>
      <c r="W210" s="5">
        <f>IF((DiscreteStatsTable[[#This Row],[RepsRequested]]&gt;1),DiscreteStatsTable[[#This Row],[HalfWidth]],DiscreteStatsTable[[#This Row],[BatchMeansHalfWidth]])</f>
        <v>0.12295119153148186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4.7271453379795998E-2</v>
      </c>
      <c r="H211">
        <v>2E+20</v>
      </c>
      <c r="I211">
        <v>0</v>
      </c>
      <c r="J211">
        <v>2.6277084140896099</v>
      </c>
      <c r="K211">
        <v>104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0.16531240453574228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0.32926933820354465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0.12295119153148186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1.7137205396961599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15.4369804087658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89.4</v>
      </c>
      <c r="W211" s="5">
        <f>IF((DiscreteStatsTable[[#This Row],[RepsRequested]]&gt;1),DiscreteStatsTable[[#This Row],[HalfWidth]],DiscreteStatsTable[[#This Row],[BatchMeansHalfWidth]])</f>
        <v>0.12295119153148186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1.39935679572243</v>
      </c>
      <c r="H2">
        <v>2E+20</v>
      </c>
      <c r="I2">
        <v>0</v>
      </c>
      <c r="J2">
        <v>5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0.99989438611061798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1.89300516389284</v>
      </c>
      <c r="U2">
        <f>IF((ContinuousStatsTable[[#This Row],[RepsRequested]]&gt;1),ContinuousStatsTable[[#This Row],[HalfWidth]],ContinuousStatsTable[[#This Row],[BatchMeansHalfWidth]])</f>
        <v>7.9682432249173069E-2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0.34810337586844797</v>
      </c>
      <c r="H3">
        <v>2E+20</v>
      </c>
      <c r="I3">
        <v>0</v>
      </c>
      <c r="J3">
        <v>1</v>
      </c>
      <c r="K3">
        <v>0.25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0.248757454721409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0.45327220218229702</v>
      </c>
      <c r="U3">
        <f>IF((ContinuousStatsTable[[#This Row],[RepsRequested]]&gt;1),ContinuousStatsTable[[#This Row],[HalfWidth]],ContinuousStatsTable[[#This Row],[BatchMeansHalfWidth]])</f>
        <v>1.8569024646233528E-2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1.3924135034737899</v>
      </c>
      <c r="H4">
        <v>2E+20</v>
      </c>
      <c r="I4">
        <v>0</v>
      </c>
      <c r="J4">
        <v>4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0.99502981888563502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1.8130888087291901</v>
      </c>
      <c r="U4">
        <f>IF((ContinuousStatsTable[[#This Row],[RepsRequested]]&gt;1),ContinuousStatsTable[[#This Row],[HalfWidth]],ContinuousStatsTable[[#This Row],[BatchMeansHalfWidth]])</f>
        <v>7.4276098584935724E-2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4</v>
      </c>
      <c r="H5">
        <v>2E+20</v>
      </c>
      <c r="I5">
        <v>4</v>
      </c>
      <c r="J5">
        <v>4</v>
      </c>
      <c r="K5">
        <v>4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4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4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4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6.94329224863534E-3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0.26023163750941702</v>
      </c>
      <c r="U6">
        <f>IF((ContinuousStatsTable[[#This Row],[RepsRequested]]&gt;1),ContinuousStatsTable[[#This Row],[HalfWidth]],ContinuousStatsTable[[#This Row],[BatchMeansHalfWidth]])</f>
        <v>1.9432677527783122E-2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1.5878241005079099</v>
      </c>
      <c r="H7">
        <v>2E+20</v>
      </c>
      <c r="I7">
        <v>0</v>
      </c>
      <c r="J7">
        <v>5</v>
      </c>
      <c r="K7">
        <v>2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0.99989438611061798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1.89300516389284</v>
      </c>
      <c r="U7">
        <f>IF((ContinuousStatsTable[[#This Row],[RepsRequested]]&gt;1),ContinuousStatsTable[[#This Row],[HalfWidth]],ContinuousStatsTable[[#This Row],[BatchMeansHalfWidth]])</f>
        <v>7.9682432249173069E-2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0.39439353533598198</v>
      </c>
      <c r="H8">
        <v>2E+20</v>
      </c>
      <c r="I8">
        <v>0</v>
      </c>
      <c r="J8">
        <v>1</v>
      </c>
      <c r="K8">
        <v>0.5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0.248757454721409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0.45327220218229702</v>
      </c>
      <c r="U8">
        <f>IF((ContinuousStatsTable[[#This Row],[RepsRequested]]&gt;1),ContinuousStatsTable[[#This Row],[HalfWidth]],ContinuousStatsTable[[#This Row],[BatchMeansHalfWidth]])</f>
        <v>1.8569024646233528E-2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1.5775741413439299</v>
      </c>
      <c r="H9">
        <v>2E+20</v>
      </c>
      <c r="I9">
        <v>0</v>
      </c>
      <c r="J9">
        <v>4</v>
      </c>
      <c r="K9">
        <v>2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0.99502981888563502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1.8130888087291901</v>
      </c>
      <c r="U9">
        <f>IF((ContinuousStatsTable[[#This Row],[RepsRequested]]&gt;1),ContinuousStatsTable[[#This Row],[HalfWidth]],ContinuousStatsTable[[#This Row],[BatchMeansHalfWidth]])</f>
        <v>7.4276098584935724E-2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4</v>
      </c>
      <c r="H10">
        <v>2E+20</v>
      </c>
      <c r="I10">
        <v>4</v>
      </c>
      <c r="J10">
        <v>4</v>
      </c>
      <c r="K10">
        <v>4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4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4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4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1.02499591639781E-2</v>
      </c>
      <c r="H11">
        <v>2E+20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0.26023163750941702</v>
      </c>
      <c r="U11">
        <f>IF((ContinuousStatsTable[[#This Row],[RepsRequested]]&gt;1),ContinuousStatsTable[[#This Row],[HalfWidth]],ContinuousStatsTable[[#This Row],[BatchMeansHalfWidth]])</f>
        <v>1.9432677527783122E-2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1.6957804808813199</v>
      </c>
      <c r="H12">
        <v>2E+20</v>
      </c>
      <c r="I12">
        <v>0</v>
      </c>
      <c r="J12">
        <v>6</v>
      </c>
      <c r="K12">
        <v>1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0.99989438611061798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1.89300516389284</v>
      </c>
      <c r="U12">
        <f>IF((ContinuousStatsTable[[#This Row],[RepsRequested]]&gt;1),ContinuousStatsTable[[#This Row],[HalfWidth]],ContinuousStatsTable[[#This Row],[BatchMeansHalfWidth]])</f>
        <v>7.9682432249173069E-2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0.42273473243562398</v>
      </c>
      <c r="H13">
        <v>2E+20</v>
      </c>
      <c r="I13">
        <v>0</v>
      </c>
      <c r="J13">
        <v>1</v>
      </c>
      <c r="K13">
        <v>0.25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0.248757454721409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0.45327220218229702</v>
      </c>
      <c r="U13">
        <f>IF((ContinuousStatsTable[[#This Row],[RepsRequested]]&gt;1),ContinuousStatsTable[[#This Row],[HalfWidth]],ContinuousStatsTable[[#This Row],[BatchMeansHalfWidth]])</f>
        <v>1.8569024646233528E-2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1.6909389297424999</v>
      </c>
      <c r="H14">
        <v>2E+20</v>
      </c>
      <c r="I14">
        <v>0</v>
      </c>
      <c r="J14">
        <v>4</v>
      </c>
      <c r="K14">
        <v>1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0.99502981888563502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1.8130888087291901</v>
      </c>
      <c r="U14">
        <f>IF((ContinuousStatsTable[[#This Row],[RepsRequested]]&gt;1),ContinuousStatsTable[[#This Row],[HalfWidth]],ContinuousStatsTable[[#This Row],[BatchMeansHalfWidth]])</f>
        <v>7.4276098584935724E-2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4</v>
      </c>
      <c r="H15">
        <v>2E+20</v>
      </c>
      <c r="I15">
        <v>4</v>
      </c>
      <c r="J15">
        <v>4</v>
      </c>
      <c r="K15">
        <v>4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4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4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4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4.8415511388177597E-3</v>
      </c>
      <c r="H16">
        <v>2E+20</v>
      </c>
      <c r="I16">
        <v>0</v>
      </c>
      <c r="J16">
        <v>2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0.26023163750941702</v>
      </c>
      <c r="U16">
        <f>IF((ContinuousStatsTable[[#This Row],[RepsRequested]]&gt;1),ContinuousStatsTable[[#This Row],[HalfWidth]],ContinuousStatsTable[[#This Row],[BatchMeansHalfWidth]])</f>
        <v>1.9432677527783122E-2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1.34497917101877</v>
      </c>
      <c r="H17">
        <v>2E+20</v>
      </c>
      <c r="I17">
        <v>0</v>
      </c>
      <c r="J17">
        <v>6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0.99989438611061798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1.89300516389284</v>
      </c>
      <c r="U17">
        <f>IF((ContinuousStatsTable[[#This Row],[RepsRequested]]&gt;1),ContinuousStatsTable[[#This Row],[HalfWidth]],ContinuousStatsTable[[#This Row],[BatchMeansHalfWidth]])</f>
        <v>7.9682432249173069E-2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0.33349361038490599</v>
      </c>
      <c r="H18">
        <v>2E+20</v>
      </c>
      <c r="I18">
        <v>0</v>
      </c>
      <c r="J18">
        <v>1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0.248757454721409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0.45327220218229702</v>
      </c>
      <c r="U18">
        <f>IF((ContinuousStatsTable[[#This Row],[RepsRequested]]&gt;1),ContinuousStatsTable[[#This Row],[HalfWidth]],ContinuousStatsTable[[#This Row],[BatchMeansHalfWidth]])</f>
        <v>1.8569024646233528E-2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1.33397444153962</v>
      </c>
      <c r="H19">
        <v>2E+20</v>
      </c>
      <c r="I19">
        <v>0</v>
      </c>
      <c r="J19">
        <v>4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0.99502981888563502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1.8130888087291901</v>
      </c>
      <c r="U19">
        <f>IF((ContinuousStatsTable[[#This Row],[RepsRequested]]&gt;1),ContinuousStatsTable[[#This Row],[HalfWidth]],ContinuousStatsTable[[#This Row],[BatchMeansHalfWidth]])</f>
        <v>7.4276098584935724E-2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4</v>
      </c>
      <c r="H20">
        <v>2E+20</v>
      </c>
      <c r="I20">
        <v>4</v>
      </c>
      <c r="J20">
        <v>4</v>
      </c>
      <c r="K20">
        <v>4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4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4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4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1.1004729479148E-2</v>
      </c>
      <c r="H21">
        <v>2E+20</v>
      </c>
      <c r="I21">
        <v>0</v>
      </c>
      <c r="J21">
        <v>2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0.26023163750941702</v>
      </c>
      <c r="U21">
        <f>IF((ContinuousStatsTable[[#This Row],[RepsRequested]]&gt;1),ContinuousStatsTable[[#This Row],[HalfWidth]],ContinuousStatsTable[[#This Row],[BatchMeansHalfWidth]])</f>
        <v>1.9432677527783122E-2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1.2318598736488899</v>
      </c>
      <c r="H22">
        <v>2E+20</v>
      </c>
      <c r="I22">
        <v>0</v>
      </c>
      <c r="J22">
        <v>4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0.99989438611061798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1.89300516389284</v>
      </c>
      <c r="U22">
        <f>IF((ContinuousStatsTable[[#This Row],[RepsRequested]]&gt;1),ContinuousStatsTable[[#This Row],[HalfWidth]],ContinuousStatsTable[[#This Row],[BatchMeansHalfWidth]])</f>
        <v>7.9682432249173069E-2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0.30796496841222198</v>
      </c>
      <c r="H23">
        <v>2E+20</v>
      </c>
      <c r="I23">
        <v>0</v>
      </c>
      <c r="J23">
        <v>1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0.248757454721409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0.45327220218229702</v>
      </c>
      <c r="U23">
        <f>IF((ContinuousStatsTable[[#This Row],[RepsRequested]]&gt;1),ContinuousStatsTable[[#This Row],[HalfWidth]],ContinuousStatsTable[[#This Row],[BatchMeansHalfWidth]])</f>
        <v>1.8569024646233528E-2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1.2318598736488899</v>
      </c>
      <c r="H24">
        <v>2E+20</v>
      </c>
      <c r="I24">
        <v>0</v>
      </c>
      <c r="J24">
        <v>4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0.99502981888563502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1.8130888087291901</v>
      </c>
      <c r="U24">
        <f>IF((ContinuousStatsTable[[#This Row],[RepsRequested]]&gt;1),ContinuousStatsTable[[#This Row],[HalfWidth]],ContinuousStatsTable[[#This Row],[BatchMeansHalfWidth]])</f>
        <v>7.4276098584935724E-2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4</v>
      </c>
      <c r="H25">
        <v>2E+20</v>
      </c>
      <c r="I25">
        <v>4</v>
      </c>
      <c r="J25">
        <v>4</v>
      </c>
      <c r="K25">
        <v>4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4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4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4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0</v>
      </c>
      <c r="H26">
        <v>2E+20</v>
      </c>
      <c r="I26">
        <v>0</v>
      </c>
      <c r="J26">
        <v>0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0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0.26023163750941702</v>
      </c>
      <c r="U26">
        <f>IF((ContinuousStatsTable[[#This Row],[RepsRequested]]&gt;1),ContinuousStatsTable[[#This Row],[HalfWidth]],ContinuousStatsTable[[#This Row],[BatchMeansHalfWidth]])</f>
        <v>1.9432677527783122E-2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1.61846837147817</v>
      </c>
      <c r="H27">
        <v>2E+20</v>
      </c>
      <c r="I27">
        <v>0</v>
      </c>
      <c r="J27">
        <v>9</v>
      </c>
      <c r="K27">
        <v>1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0.99989438611061798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1.89300516389284</v>
      </c>
      <c r="U27">
        <f>IF((ContinuousStatsTable[[#This Row],[RepsRequested]]&gt;1),ContinuousStatsTable[[#This Row],[HalfWidth]],ContinuousStatsTable[[#This Row],[BatchMeansHalfWidth]])</f>
        <v>7.9682432249173069E-2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0.38150515211918201</v>
      </c>
      <c r="H28">
        <v>2E+20</v>
      </c>
      <c r="I28">
        <v>0</v>
      </c>
      <c r="J28">
        <v>1</v>
      </c>
      <c r="K28">
        <v>0.25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0.248757454721409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0.45327220218229702</v>
      </c>
      <c r="U28">
        <f>IF((ContinuousStatsTable[[#This Row],[RepsRequested]]&gt;1),ContinuousStatsTable[[#This Row],[HalfWidth]],ContinuousStatsTable[[#This Row],[BatchMeansHalfWidth]])</f>
        <v>1.8569024646233528E-2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1.52602060847673</v>
      </c>
      <c r="H29">
        <v>2E+20</v>
      </c>
      <c r="I29">
        <v>0</v>
      </c>
      <c r="J29">
        <v>4</v>
      </c>
      <c r="K29">
        <v>1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0.99502981888563502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1.8130888087291901</v>
      </c>
      <c r="U29">
        <f>IF((ContinuousStatsTable[[#This Row],[RepsRequested]]&gt;1),ContinuousStatsTable[[#This Row],[HalfWidth]],ContinuousStatsTable[[#This Row],[BatchMeansHalfWidth]])</f>
        <v>7.4276098584935724E-2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4</v>
      </c>
      <c r="H30">
        <v>2E+20</v>
      </c>
      <c r="I30">
        <v>4</v>
      </c>
      <c r="J30">
        <v>4</v>
      </c>
      <c r="K30">
        <v>4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4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4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4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9.2447763001439698E-2</v>
      </c>
      <c r="H31">
        <v>2E+20</v>
      </c>
      <c r="I31">
        <v>0</v>
      </c>
      <c r="J31">
        <v>5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0.26023163750941702</v>
      </c>
      <c r="U31">
        <f>IF((ContinuousStatsTable[[#This Row],[RepsRequested]]&gt;1),ContinuousStatsTable[[#This Row],[HalfWidth]],ContinuousStatsTable[[#This Row],[BatchMeansHalfWidth]])</f>
        <v>1.9432677527783122E-2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1.5604115535300001</v>
      </c>
      <c r="H32">
        <v>2E+20</v>
      </c>
      <c r="I32">
        <v>0</v>
      </c>
      <c r="J32">
        <v>5</v>
      </c>
      <c r="K32">
        <v>1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0.99989438611061798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1.89300516389284</v>
      </c>
      <c r="U32">
        <f>IF((ContinuousStatsTable[[#This Row],[RepsRequested]]&gt;1),ContinuousStatsTable[[#This Row],[HalfWidth]],ContinuousStatsTable[[#This Row],[BatchMeansHalfWidth]])</f>
        <v>7.9682432249173069E-2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0.38259165535883299</v>
      </c>
      <c r="H33">
        <v>2E+20</v>
      </c>
      <c r="I33">
        <v>0</v>
      </c>
      <c r="J33">
        <v>1</v>
      </c>
      <c r="K33">
        <v>0.25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0.248757454721409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0.45327220218229702</v>
      </c>
      <c r="U33">
        <f>IF((ContinuousStatsTable[[#This Row],[RepsRequested]]&gt;1),ContinuousStatsTable[[#This Row],[HalfWidth]],ContinuousStatsTable[[#This Row],[BatchMeansHalfWidth]])</f>
        <v>1.8569024646233528E-2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1.53036662143533</v>
      </c>
      <c r="H34">
        <v>2E+20</v>
      </c>
      <c r="I34">
        <v>0</v>
      </c>
      <c r="J34">
        <v>4</v>
      </c>
      <c r="K34">
        <v>1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0.99502981888563502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1.8130888087291901</v>
      </c>
      <c r="U34">
        <f>IF((ContinuousStatsTable[[#This Row],[RepsRequested]]&gt;1),ContinuousStatsTable[[#This Row],[HalfWidth]],ContinuousStatsTable[[#This Row],[BatchMeansHalfWidth]])</f>
        <v>7.4276098584935724E-2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4</v>
      </c>
      <c r="H35">
        <v>2E+20</v>
      </c>
      <c r="I35">
        <v>4</v>
      </c>
      <c r="J35">
        <v>4</v>
      </c>
      <c r="K35">
        <v>4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4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4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4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3.0044932094670799E-2</v>
      </c>
      <c r="H36">
        <v>2E+20</v>
      </c>
      <c r="I36">
        <v>0</v>
      </c>
      <c r="J36">
        <v>1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0.26023163750941702</v>
      </c>
      <c r="U36">
        <f>IF((ContinuousStatsTable[[#This Row],[RepsRequested]]&gt;1),ContinuousStatsTable[[#This Row],[HalfWidth]],ContinuousStatsTable[[#This Row],[BatchMeansHalfWidth]])</f>
        <v>1.9432677527783122E-2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1.2468231723313099</v>
      </c>
      <c r="H37">
        <v>2E+20</v>
      </c>
      <c r="I37">
        <v>0</v>
      </c>
      <c r="J37">
        <v>4</v>
      </c>
      <c r="K37">
        <v>0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0.99989438611061798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1.89300516389284</v>
      </c>
      <c r="U37">
        <f>IF((ContinuousStatsTable[[#This Row],[RepsRequested]]&gt;1),ContinuousStatsTable[[#This Row],[HalfWidth]],ContinuousStatsTable[[#This Row],[BatchMeansHalfWidth]])</f>
        <v>7.9682432249173069E-2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0.31170579308282897</v>
      </c>
      <c r="H38">
        <v>2E+20</v>
      </c>
      <c r="I38">
        <v>0</v>
      </c>
      <c r="J38">
        <v>1</v>
      </c>
      <c r="K38">
        <v>0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0.248757454721409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0.45327220218229702</v>
      </c>
      <c r="U38">
        <f>IF((ContinuousStatsTable[[#This Row],[RepsRequested]]&gt;1),ContinuousStatsTable[[#This Row],[HalfWidth]],ContinuousStatsTable[[#This Row],[BatchMeansHalfWidth]])</f>
        <v>1.8569024646233528E-2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1.2468231723313099</v>
      </c>
      <c r="H39">
        <v>2E+20</v>
      </c>
      <c r="I39">
        <v>0</v>
      </c>
      <c r="J39">
        <v>4</v>
      </c>
      <c r="K39">
        <v>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0.99502981888563502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1.8130888087291901</v>
      </c>
      <c r="U39">
        <f>IF((ContinuousStatsTable[[#This Row],[RepsRequested]]&gt;1),ContinuousStatsTable[[#This Row],[HalfWidth]],ContinuousStatsTable[[#This Row],[BatchMeansHalfWidth]])</f>
        <v>7.4276098584935724E-2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4</v>
      </c>
      <c r="H40">
        <v>2E+20</v>
      </c>
      <c r="I40">
        <v>4</v>
      </c>
      <c r="J40">
        <v>4</v>
      </c>
      <c r="K40">
        <v>4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4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4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4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0</v>
      </c>
      <c r="H41">
        <v>2E+20</v>
      </c>
      <c r="I41">
        <v>0</v>
      </c>
      <c r="J41">
        <v>0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0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0.26023163750941702</v>
      </c>
      <c r="U41">
        <f>IF((ContinuousStatsTable[[#This Row],[RepsRequested]]&gt;1),ContinuousStatsTable[[#This Row],[HalfWidth]],ContinuousStatsTable[[#This Row],[BatchMeansHalfWidth]])</f>
        <v>1.9432677527783122E-2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1.1832276537786399</v>
      </c>
      <c r="H42">
        <v>2E+20</v>
      </c>
      <c r="I42">
        <v>0</v>
      </c>
      <c r="J42">
        <v>4</v>
      </c>
      <c r="K42">
        <v>2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0.99989438611061798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1.89300516389284</v>
      </c>
      <c r="U42">
        <f>IF((ContinuousStatsTable[[#This Row],[RepsRequested]]&gt;1),ContinuousStatsTable[[#This Row],[HalfWidth]],ContinuousStatsTable[[#This Row],[BatchMeansHalfWidth]])</f>
        <v>7.9682432249173069E-2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0.29580691344465998</v>
      </c>
      <c r="H43">
        <v>2E+20</v>
      </c>
      <c r="I43">
        <v>0</v>
      </c>
      <c r="J43">
        <v>1</v>
      </c>
      <c r="K43">
        <v>0.5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0.248757454721409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0.45327220218229702</v>
      </c>
      <c r="U43">
        <f>IF((ContinuousStatsTable[[#This Row],[RepsRequested]]&gt;1),ContinuousStatsTable[[#This Row],[HalfWidth]],ContinuousStatsTable[[#This Row],[BatchMeansHalfWidth]])</f>
        <v>1.8569024646233528E-2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1.1832276537786399</v>
      </c>
      <c r="H44">
        <v>2E+20</v>
      </c>
      <c r="I44">
        <v>0</v>
      </c>
      <c r="J44">
        <v>4</v>
      </c>
      <c r="K44">
        <v>2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0.99502981888563502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1.8130888087291901</v>
      </c>
      <c r="U44">
        <f>IF((ContinuousStatsTable[[#This Row],[RepsRequested]]&gt;1),ContinuousStatsTable[[#This Row],[HalfWidth]],ContinuousStatsTable[[#This Row],[BatchMeansHalfWidth]])</f>
        <v>7.4276098584935724E-2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4</v>
      </c>
      <c r="H45">
        <v>2E+20</v>
      </c>
      <c r="I45">
        <v>4</v>
      </c>
      <c r="J45">
        <v>4</v>
      </c>
      <c r="K45">
        <v>4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4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4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4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0</v>
      </c>
      <c r="H46">
        <v>2E+20</v>
      </c>
      <c r="I46">
        <v>0</v>
      </c>
      <c r="J46">
        <v>0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0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0.26023163750941702</v>
      </c>
      <c r="U46">
        <f>IF((ContinuousStatsTable[[#This Row],[RepsRequested]]&gt;1),ContinuousStatsTable[[#This Row],[HalfWidth]],ContinuousStatsTable[[#This Row],[BatchMeansHalfWidth]])</f>
        <v>1.9432677527783122E-2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1.04703253137499</v>
      </c>
      <c r="H47">
        <v>2E+20</v>
      </c>
      <c r="I47">
        <v>0</v>
      </c>
      <c r="J47">
        <v>6</v>
      </c>
      <c r="K47">
        <v>2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0.99989438611061798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1.89300516389284</v>
      </c>
      <c r="U47">
        <f>IF((ContinuousStatsTable[[#This Row],[RepsRequested]]&gt;1),ContinuousStatsTable[[#This Row],[HalfWidth]],ContinuousStatsTable[[#This Row],[BatchMeansHalfWidth]])</f>
        <v>7.9682432249173069E-2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0.25603561267972003</v>
      </c>
      <c r="H48">
        <v>2E+20</v>
      </c>
      <c r="I48">
        <v>0</v>
      </c>
      <c r="J48">
        <v>1</v>
      </c>
      <c r="K48">
        <v>0.5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0.248757454721409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0.45327220218229702</v>
      </c>
      <c r="U48">
        <f>IF((ContinuousStatsTable[[#This Row],[RepsRequested]]&gt;1),ContinuousStatsTable[[#This Row],[HalfWidth]],ContinuousStatsTable[[#This Row],[BatchMeansHalfWidth]])</f>
        <v>1.8569024646233528E-2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1.0241424507188801</v>
      </c>
      <c r="H49">
        <v>2E+20</v>
      </c>
      <c r="I49">
        <v>0</v>
      </c>
      <c r="J49">
        <v>4</v>
      </c>
      <c r="K49">
        <v>2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0.99502981888563502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1.8130888087291901</v>
      </c>
      <c r="U49">
        <f>IF((ContinuousStatsTable[[#This Row],[RepsRequested]]&gt;1),ContinuousStatsTable[[#This Row],[HalfWidth]],ContinuousStatsTable[[#This Row],[BatchMeansHalfWidth]])</f>
        <v>7.4276098584935724E-2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4</v>
      </c>
      <c r="H50">
        <v>2E+20</v>
      </c>
      <c r="I50">
        <v>4</v>
      </c>
      <c r="J50">
        <v>4</v>
      </c>
      <c r="K50">
        <v>4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4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4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4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2.2890080656105601E-2</v>
      </c>
      <c r="H51">
        <v>2E+20</v>
      </c>
      <c r="I51">
        <v>0</v>
      </c>
      <c r="J51">
        <v>2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0.26023163750941702</v>
      </c>
      <c r="U51">
        <f>IF((ContinuousStatsTable[[#This Row],[RepsRequested]]&gt;1),ContinuousStatsTable[[#This Row],[HalfWidth]],ContinuousStatsTable[[#This Row],[BatchMeansHalfWidth]])</f>
        <v>1.9432677527783122E-2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1.34471136926484</v>
      </c>
      <c r="H52">
        <v>2E+20</v>
      </c>
      <c r="I52">
        <v>0</v>
      </c>
      <c r="J52">
        <v>5</v>
      </c>
      <c r="K52">
        <v>0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0.99989438611061798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1.89300516389284</v>
      </c>
      <c r="U52">
        <f>IF((ContinuousStatsTable[[#This Row],[RepsRequested]]&gt;1),ContinuousStatsTable[[#This Row],[HalfWidth]],ContinuousStatsTable[[#This Row],[BatchMeansHalfWidth]])</f>
        <v>7.9682432249173069E-2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0.33362490082323798</v>
      </c>
      <c r="H53">
        <v>2E+20</v>
      </c>
      <c r="I53">
        <v>0</v>
      </c>
      <c r="J53">
        <v>1</v>
      </c>
      <c r="K53">
        <v>0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0.248757454721409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0.45327220218229702</v>
      </c>
      <c r="U53">
        <f>IF((ContinuousStatsTable[[#This Row],[RepsRequested]]&gt;1),ContinuousStatsTable[[#This Row],[HalfWidth]],ContinuousStatsTable[[#This Row],[BatchMeansHalfWidth]])</f>
        <v>1.8569024646233528E-2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1.3344996032929499</v>
      </c>
      <c r="H54">
        <v>2E+20</v>
      </c>
      <c r="I54">
        <v>0</v>
      </c>
      <c r="J54">
        <v>4</v>
      </c>
      <c r="K54">
        <v>0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0.99502981888563502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1.8130888087291901</v>
      </c>
      <c r="U54">
        <f>IF((ContinuousStatsTable[[#This Row],[RepsRequested]]&gt;1),ContinuousStatsTable[[#This Row],[HalfWidth]],ContinuousStatsTable[[#This Row],[BatchMeansHalfWidth]])</f>
        <v>7.4276098584935724E-2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4</v>
      </c>
      <c r="H55">
        <v>2E+20</v>
      </c>
      <c r="I55">
        <v>4</v>
      </c>
      <c r="J55">
        <v>4</v>
      </c>
      <c r="K55">
        <v>4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4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4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4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1.02117659718894E-2</v>
      </c>
      <c r="H56">
        <v>2E+20</v>
      </c>
      <c r="I56">
        <v>0</v>
      </c>
      <c r="J56">
        <v>1</v>
      </c>
      <c r="K56">
        <v>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0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0.26023163750941702</v>
      </c>
      <c r="U56">
        <f>IF((ContinuousStatsTable[[#This Row],[RepsRequested]]&gt;1),ContinuousStatsTable[[#This Row],[HalfWidth]],ContinuousStatsTable[[#This Row],[BatchMeansHalfWidth]])</f>
        <v>1.9432677527783122E-2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1.48429688331572</v>
      </c>
      <c r="H57">
        <v>2E+20</v>
      </c>
      <c r="I57">
        <v>0</v>
      </c>
      <c r="J57">
        <v>9</v>
      </c>
      <c r="K57">
        <v>2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0.99989438611061798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1.89300516389284</v>
      </c>
      <c r="U57">
        <f>IF((ContinuousStatsTable[[#This Row],[RepsRequested]]&gt;1),ContinuousStatsTable[[#This Row],[HalfWidth]],ContinuousStatsTable[[#This Row],[BatchMeansHalfWidth]])</f>
        <v>7.9682432249173069E-2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0.30601631145157698</v>
      </c>
      <c r="H58">
        <v>2E+20</v>
      </c>
      <c r="I58">
        <v>0</v>
      </c>
      <c r="J58">
        <v>1</v>
      </c>
      <c r="K58">
        <v>0.5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0.248757454721409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0.45327220218229702</v>
      </c>
      <c r="U58">
        <f>IF((ContinuousStatsTable[[#This Row],[RepsRequested]]&gt;1),ContinuousStatsTable[[#This Row],[HalfWidth]],ContinuousStatsTable[[#This Row],[BatchMeansHalfWidth]])</f>
        <v>1.8569024646233528E-2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1.2240652458063099</v>
      </c>
      <c r="H59">
        <v>2E+20</v>
      </c>
      <c r="I59">
        <v>0</v>
      </c>
      <c r="J59">
        <v>4</v>
      </c>
      <c r="K59">
        <v>2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0.99502981888563502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1.8130888087291901</v>
      </c>
      <c r="U59">
        <f>IF((ContinuousStatsTable[[#This Row],[RepsRequested]]&gt;1),ContinuousStatsTable[[#This Row],[HalfWidth]],ContinuousStatsTable[[#This Row],[BatchMeansHalfWidth]])</f>
        <v>7.4276098584935724E-2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4</v>
      </c>
      <c r="H60">
        <v>2E+20</v>
      </c>
      <c r="I60">
        <v>4</v>
      </c>
      <c r="J60">
        <v>4</v>
      </c>
      <c r="K60">
        <v>4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4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4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4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0.26023163750941702</v>
      </c>
      <c r="H61">
        <v>2E+20</v>
      </c>
      <c r="I61">
        <v>0</v>
      </c>
      <c r="J61">
        <v>5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0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0.26023163750941702</v>
      </c>
      <c r="U61">
        <f>IF((ContinuousStatsTable[[#This Row],[RepsRequested]]&gt;1),ContinuousStatsTable[[#This Row],[HalfWidth]],ContinuousStatsTable[[#This Row],[BatchMeansHalfWidth]])</f>
        <v>1.9432677527783122E-2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1.4648759665265301</v>
      </c>
      <c r="H62">
        <v>2E+20</v>
      </c>
      <c r="I62">
        <v>0</v>
      </c>
      <c r="J62">
        <v>5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0.99989438611061798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1.89300516389284</v>
      </c>
      <c r="U62">
        <f>IF((ContinuousStatsTable[[#This Row],[RepsRequested]]&gt;1),ContinuousStatsTable[[#This Row],[HalfWidth]],ContinuousStatsTable[[#This Row],[BatchMeansHalfWidth]])</f>
        <v>7.9682432249173069E-2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0.36239810733432298</v>
      </c>
      <c r="H63">
        <v>2E+20</v>
      </c>
      <c r="I63">
        <v>0</v>
      </c>
      <c r="J63">
        <v>1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0.248757454721409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0.45327220218229702</v>
      </c>
      <c r="U63">
        <f>IF((ContinuousStatsTable[[#This Row],[RepsRequested]]&gt;1),ContinuousStatsTable[[#This Row],[HalfWidth]],ContinuousStatsTable[[#This Row],[BatchMeansHalfWidth]])</f>
        <v>1.8569024646233528E-2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1.4495924293372899</v>
      </c>
      <c r="H64">
        <v>2E+20</v>
      </c>
      <c r="I64">
        <v>0</v>
      </c>
      <c r="J64">
        <v>4</v>
      </c>
      <c r="K64">
        <v>0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0.99502981888563502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1.8130888087291901</v>
      </c>
      <c r="U64">
        <f>IF((ContinuousStatsTable[[#This Row],[RepsRequested]]&gt;1),ContinuousStatsTable[[#This Row],[HalfWidth]],ContinuousStatsTable[[#This Row],[BatchMeansHalfWidth]])</f>
        <v>7.4276098584935724E-2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4</v>
      </c>
      <c r="H65">
        <v>2E+20</v>
      </c>
      <c r="I65">
        <v>4</v>
      </c>
      <c r="J65">
        <v>4</v>
      </c>
      <c r="K65">
        <v>4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4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4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4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1.5283537189237299E-2</v>
      </c>
      <c r="H66">
        <v>2E+20</v>
      </c>
      <c r="I66">
        <v>0</v>
      </c>
      <c r="J66">
        <v>1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0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0.26023163750941702</v>
      </c>
      <c r="U66">
        <f>IF((ContinuousStatsTable[[#This Row],[RepsRequested]]&gt;1),ContinuousStatsTable[[#This Row],[HalfWidth]],ContinuousStatsTable[[#This Row],[BatchMeansHalfWidth]])</f>
        <v>1.9432677527783122E-2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1.2314922128670001</v>
      </c>
      <c r="H67">
        <v>2E+20</v>
      </c>
      <c r="I67">
        <v>0</v>
      </c>
      <c r="J67">
        <v>6</v>
      </c>
      <c r="K67">
        <v>1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0.99989438611061798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1.89300516389284</v>
      </c>
      <c r="U67">
        <f>IF((ContinuousStatsTable[[#This Row],[RepsRequested]]&gt;1),ContinuousStatsTable[[#This Row],[HalfWidth]],ContinuousStatsTable[[#This Row],[BatchMeansHalfWidth]])</f>
        <v>7.9682432249173069E-2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0.30649868955866399</v>
      </c>
      <c r="H68">
        <v>2E+20</v>
      </c>
      <c r="I68">
        <v>0</v>
      </c>
      <c r="J68">
        <v>1</v>
      </c>
      <c r="K68">
        <v>0.25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0.248757454721409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0.45327220218229702</v>
      </c>
      <c r="U68">
        <f>IF((ContinuousStatsTable[[#This Row],[RepsRequested]]&gt;1),ContinuousStatsTable[[#This Row],[HalfWidth]],ContinuousStatsTable[[#This Row],[BatchMeansHalfWidth]])</f>
        <v>1.8569024646233528E-2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1.22599475823466</v>
      </c>
      <c r="H69">
        <v>2E+20</v>
      </c>
      <c r="I69">
        <v>0</v>
      </c>
      <c r="J69">
        <v>4</v>
      </c>
      <c r="K69">
        <v>1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0.99502981888563502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1.8130888087291901</v>
      </c>
      <c r="U69">
        <f>IF((ContinuousStatsTable[[#This Row],[RepsRequested]]&gt;1),ContinuousStatsTable[[#This Row],[HalfWidth]],ContinuousStatsTable[[#This Row],[BatchMeansHalfWidth]])</f>
        <v>7.4276098584935724E-2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4</v>
      </c>
      <c r="H70">
        <v>2E+20</v>
      </c>
      <c r="I70">
        <v>4</v>
      </c>
      <c r="J70">
        <v>4</v>
      </c>
      <c r="K70">
        <v>4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4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4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4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5.4974546323421202E-3</v>
      </c>
      <c r="H71">
        <v>2E+20</v>
      </c>
      <c r="I71">
        <v>0</v>
      </c>
      <c r="J71">
        <v>2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0.26023163750941702</v>
      </c>
      <c r="U71">
        <f>IF((ContinuousStatsTable[[#This Row],[RepsRequested]]&gt;1),ContinuousStatsTable[[#This Row],[HalfWidth]],ContinuousStatsTable[[#This Row],[BatchMeansHalfWidth]])</f>
        <v>1.9432677527783122E-2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1.31353925616125</v>
      </c>
      <c r="H72">
        <v>2E+20</v>
      </c>
      <c r="I72">
        <v>0</v>
      </c>
      <c r="J72">
        <v>6</v>
      </c>
      <c r="K72">
        <v>0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0.99989438611061798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1.89300516389284</v>
      </c>
      <c r="U72">
        <f>IF((ContinuousStatsTable[[#This Row],[RepsRequested]]&gt;1),ContinuousStatsTable[[#This Row],[HalfWidth]],ContinuousStatsTable[[#This Row],[BatchMeansHalfWidth]])</f>
        <v>7.9682432249173069E-2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0.325302881042216</v>
      </c>
      <c r="H73">
        <v>2E+20</v>
      </c>
      <c r="I73">
        <v>0</v>
      </c>
      <c r="J73">
        <v>1</v>
      </c>
      <c r="K73">
        <v>0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0.248757454721409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0.45327220218229702</v>
      </c>
      <c r="U73">
        <f>IF((ContinuousStatsTable[[#This Row],[RepsRequested]]&gt;1),ContinuousStatsTable[[#This Row],[HalfWidth]],ContinuousStatsTable[[#This Row],[BatchMeansHalfWidth]])</f>
        <v>1.8569024646233528E-2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1.30121152416886</v>
      </c>
      <c r="H74">
        <v>2E+20</v>
      </c>
      <c r="I74">
        <v>0</v>
      </c>
      <c r="J74">
        <v>4</v>
      </c>
      <c r="K74">
        <v>0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0.99502981888563502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1.8130888087291901</v>
      </c>
      <c r="U74">
        <f>IF((ContinuousStatsTable[[#This Row],[RepsRequested]]&gt;1),ContinuousStatsTable[[#This Row],[HalfWidth]],ContinuousStatsTable[[#This Row],[BatchMeansHalfWidth]])</f>
        <v>7.4276098584935724E-2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4</v>
      </c>
      <c r="H75">
        <v>2E+20</v>
      </c>
      <c r="I75">
        <v>4</v>
      </c>
      <c r="J75">
        <v>4</v>
      </c>
      <c r="K75">
        <v>4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4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4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4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1.23277319923877E-2</v>
      </c>
      <c r="H76">
        <v>2E+20</v>
      </c>
      <c r="I76">
        <v>0</v>
      </c>
      <c r="J76">
        <v>2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0.26023163750941702</v>
      </c>
      <c r="U76">
        <f>IF((ContinuousStatsTable[[#This Row],[RepsRequested]]&gt;1),ContinuousStatsTable[[#This Row],[HalfWidth]],ContinuousStatsTable[[#This Row],[BatchMeansHalfWidth]])</f>
        <v>1.9432677527783122E-2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1.84287128004053</v>
      </c>
      <c r="H77">
        <v>2E+20</v>
      </c>
      <c r="I77">
        <v>0</v>
      </c>
      <c r="J77">
        <v>6</v>
      </c>
      <c r="K77">
        <v>0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0.99989438611061798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1.89300516389284</v>
      </c>
      <c r="U77">
        <f>IF((ContinuousStatsTable[[#This Row],[RepsRequested]]&gt;1),ContinuousStatsTable[[#This Row],[HalfWidth]],ContinuousStatsTable[[#This Row],[BatchMeansHalfWidth]])</f>
        <v>7.9682432249173069E-2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0.45327220218229702</v>
      </c>
      <c r="H78">
        <v>2E+20</v>
      </c>
      <c r="I78">
        <v>0</v>
      </c>
      <c r="J78">
        <v>1</v>
      </c>
      <c r="K78">
        <v>0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0.248757454721409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0.45327220218229702</v>
      </c>
      <c r="U78">
        <f>IF((ContinuousStatsTable[[#This Row],[RepsRequested]]&gt;1),ContinuousStatsTable[[#This Row],[HalfWidth]],ContinuousStatsTable[[#This Row],[BatchMeansHalfWidth]])</f>
        <v>1.8569024646233528E-2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1.8130888087291901</v>
      </c>
      <c r="H79">
        <v>2E+20</v>
      </c>
      <c r="I79">
        <v>0</v>
      </c>
      <c r="J79">
        <v>4</v>
      </c>
      <c r="K79">
        <v>0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0.99502981888563502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1.8130888087291901</v>
      </c>
      <c r="U79">
        <f>IF((ContinuousStatsTable[[#This Row],[RepsRequested]]&gt;1),ContinuousStatsTable[[#This Row],[HalfWidth]],ContinuousStatsTable[[#This Row],[BatchMeansHalfWidth]])</f>
        <v>7.4276098584935724E-2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4</v>
      </c>
      <c r="H80">
        <v>2E+20</v>
      </c>
      <c r="I80">
        <v>4</v>
      </c>
      <c r="J80">
        <v>4</v>
      </c>
      <c r="K80">
        <v>4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4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4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4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2.9782471311345499E-2</v>
      </c>
      <c r="H81">
        <v>2E+20</v>
      </c>
      <c r="I81">
        <v>0</v>
      </c>
      <c r="J81">
        <v>2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0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0.26023163750941702</v>
      </c>
      <c r="U81">
        <f>IF((ContinuousStatsTable[[#This Row],[RepsRequested]]&gt;1),ContinuousStatsTable[[#This Row],[HalfWidth]],ContinuousStatsTable[[#This Row],[BatchMeansHalfWidth]])</f>
        <v>1.9432677527783122E-2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0.99989438611061798</v>
      </c>
      <c r="H82">
        <v>2E+20</v>
      </c>
      <c r="I82">
        <v>0</v>
      </c>
      <c r="J82">
        <v>6</v>
      </c>
      <c r="K82">
        <v>3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0.99989438611061798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1.89300516389284</v>
      </c>
      <c r="U82">
        <f>IF((ContinuousStatsTable[[#This Row],[RepsRequested]]&gt;1),ContinuousStatsTable[[#This Row],[HalfWidth]],ContinuousStatsTable[[#This Row],[BatchMeansHalfWidth]])</f>
        <v>7.9682432249173069E-2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0.248757454721409</v>
      </c>
      <c r="H83">
        <v>2E+20</v>
      </c>
      <c r="I83">
        <v>0</v>
      </c>
      <c r="J83">
        <v>1</v>
      </c>
      <c r="K83">
        <v>0.75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0.248757454721409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0.45327220218229702</v>
      </c>
      <c r="U83">
        <f>IF((ContinuousStatsTable[[#This Row],[RepsRequested]]&gt;1),ContinuousStatsTable[[#This Row],[HalfWidth]],ContinuousStatsTable[[#This Row],[BatchMeansHalfWidth]])</f>
        <v>1.8569024646233528E-2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0.99502981888563502</v>
      </c>
      <c r="H84">
        <v>2E+20</v>
      </c>
      <c r="I84">
        <v>0</v>
      </c>
      <c r="J84">
        <v>4</v>
      </c>
      <c r="K84">
        <v>3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0.99502981888563502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1.8130888087291901</v>
      </c>
      <c r="U84">
        <f>IF((ContinuousStatsTable[[#This Row],[RepsRequested]]&gt;1),ContinuousStatsTable[[#This Row],[HalfWidth]],ContinuousStatsTable[[#This Row],[BatchMeansHalfWidth]])</f>
        <v>7.4276098584935724E-2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4</v>
      </c>
      <c r="H85">
        <v>2E+20</v>
      </c>
      <c r="I85">
        <v>4</v>
      </c>
      <c r="J85">
        <v>4</v>
      </c>
      <c r="K85">
        <v>4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4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4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4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4.8645672249838998E-3</v>
      </c>
      <c r="H86">
        <v>2E+20</v>
      </c>
      <c r="I86">
        <v>0</v>
      </c>
      <c r="J86">
        <v>2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0.26023163750941702</v>
      </c>
      <c r="U86">
        <f>IF((ContinuousStatsTable[[#This Row],[RepsRequested]]&gt;1),ContinuousStatsTable[[#This Row],[HalfWidth]],ContinuousStatsTable[[#This Row],[BatchMeansHalfWidth]])</f>
        <v>1.9432677527783122E-2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1.89300516389284</v>
      </c>
      <c r="H87">
        <v>2E+20</v>
      </c>
      <c r="I87">
        <v>0</v>
      </c>
      <c r="J87">
        <v>8</v>
      </c>
      <c r="K87">
        <v>1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0.99989438611061798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1.89300516389284</v>
      </c>
      <c r="U87">
        <f>IF((ContinuousStatsTable[[#This Row],[RepsRequested]]&gt;1),ContinuousStatsTable[[#This Row],[HalfWidth]],ContinuousStatsTable[[#This Row],[BatchMeansHalfWidth]])</f>
        <v>7.9682432249173069E-2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0.44098218611840101</v>
      </c>
      <c r="H88">
        <v>2E+20</v>
      </c>
      <c r="I88">
        <v>0</v>
      </c>
      <c r="J88">
        <v>1</v>
      </c>
      <c r="K88">
        <v>0.25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0.248757454721409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0.45327220218229702</v>
      </c>
      <c r="U88">
        <f>IF((ContinuousStatsTable[[#This Row],[RepsRequested]]&gt;1),ContinuousStatsTable[[#This Row],[HalfWidth]],ContinuousStatsTable[[#This Row],[BatchMeansHalfWidth]])</f>
        <v>1.8569024646233528E-2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1.7639287444736</v>
      </c>
      <c r="H89">
        <v>2E+20</v>
      </c>
      <c r="I89">
        <v>0</v>
      </c>
      <c r="J89">
        <v>4</v>
      </c>
      <c r="K89">
        <v>1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0.99502981888563502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1.8130888087291901</v>
      </c>
      <c r="U89">
        <f>IF((ContinuousStatsTable[[#This Row],[RepsRequested]]&gt;1),ContinuousStatsTable[[#This Row],[HalfWidth]],ContinuousStatsTable[[#This Row],[BatchMeansHalfWidth]])</f>
        <v>7.4276098584935724E-2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4</v>
      </c>
      <c r="H90">
        <v>2E+20</v>
      </c>
      <c r="I90">
        <v>4</v>
      </c>
      <c r="J90">
        <v>4</v>
      </c>
      <c r="K90">
        <v>4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4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4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4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0.129076419419244</v>
      </c>
      <c r="H91">
        <v>2E+20</v>
      </c>
      <c r="I91">
        <v>0</v>
      </c>
      <c r="J91">
        <v>4</v>
      </c>
      <c r="K91">
        <v>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0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0.26023163750941702</v>
      </c>
      <c r="U91">
        <f>IF((ContinuousStatsTable[[#This Row],[RepsRequested]]&gt;1),ContinuousStatsTable[[#This Row],[HalfWidth]],ContinuousStatsTable[[#This Row],[BatchMeansHalfWidth]])</f>
        <v>1.9432677527783122E-2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1.3602183385361699</v>
      </c>
      <c r="H92">
        <v>2E+20</v>
      </c>
      <c r="I92">
        <v>0</v>
      </c>
      <c r="J92">
        <v>6</v>
      </c>
      <c r="K92">
        <v>0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0.99989438611061798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1.89300516389284</v>
      </c>
      <c r="U92">
        <f>IF((ContinuousStatsTable[[#This Row],[RepsRequested]]&gt;1),ContinuousStatsTable[[#This Row],[HalfWidth]],ContinuousStatsTable[[#This Row],[BatchMeansHalfWidth]])</f>
        <v>7.9682432249173069E-2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0.33397899359866601</v>
      </c>
      <c r="H93">
        <v>2E+20</v>
      </c>
      <c r="I93">
        <v>0</v>
      </c>
      <c r="J93">
        <v>1</v>
      </c>
      <c r="K93">
        <v>0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0.248757454721409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0.45327220218229702</v>
      </c>
      <c r="U93">
        <f>IF((ContinuousStatsTable[[#This Row],[RepsRequested]]&gt;1),ContinuousStatsTable[[#This Row],[HalfWidth]],ContinuousStatsTable[[#This Row],[BatchMeansHalfWidth]])</f>
        <v>1.8569024646233528E-2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1.33591597439466</v>
      </c>
      <c r="H94">
        <v>2E+20</v>
      </c>
      <c r="I94">
        <v>0</v>
      </c>
      <c r="J94">
        <v>4</v>
      </c>
      <c r="K94">
        <v>0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0.99502981888563502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1.8130888087291901</v>
      </c>
      <c r="U94">
        <f>IF((ContinuousStatsTable[[#This Row],[RepsRequested]]&gt;1),ContinuousStatsTable[[#This Row],[HalfWidth]],ContinuousStatsTable[[#This Row],[BatchMeansHalfWidth]])</f>
        <v>7.4276098584935724E-2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4</v>
      </c>
      <c r="H95">
        <v>2E+20</v>
      </c>
      <c r="I95">
        <v>4</v>
      </c>
      <c r="J95">
        <v>4</v>
      </c>
      <c r="K95">
        <v>4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4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4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4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2.4302364141505699E-2</v>
      </c>
      <c r="H96">
        <v>2E+20</v>
      </c>
      <c r="I96">
        <v>0</v>
      </c>
      <c r="J96">
        <v>2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0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0.26023163750941702</v>
      </c>
      <c r="U96">
        <f>IF((ContinuousStatsTable[[#This Row],[RepsRequested]]&gt;1),ContinuousStatsTable[[#This Row],[HalfWidth]],ContinuousStatsTable[[#This Row],[BatchMeansHalfWidth]])</f>
        <v>1.9432677527783122E-2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1.1845659675049001</v>
      </c>
      <c r="H97">
        <v>2E+20</v>
      </c>
      <c r="I97">
        <v>0</v>
      </c>
      <c r="J97">
        <v>6</v>
      </c>
      <c r="K97">
        <v>1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0.99989438611061798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1.89300516389284</v>
      </c>
      <c r="U97">
        <f>IF((ContinuousStatsTable[[#This Row],[RepsRequested]]&gt;1),ContinuousStatsTable[[#This Row],[HalfWidth]],ContinuousStatsTable[[#This Row],[BatchMeansHalfWidth]])</f>
        <v>7.9682432249173069E-2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0.29500961506884299</v>
      </c>
      <c r="H98">
        <v>2E+20</v>
      </c>
      <c r="I98">
        <v>0</v>
      </c>
      <c r="J98">
        <v>1</v>
      </c>
      <c r="K98">
        <v>0.25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0.248757454721409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0.45327220218229702</v>
      </c>
      <c r="U98">
        <f>IF((ContinuousStatsTable[[#This Row],[RepsRequested]]&gt;1),ContinuousStatsTable[[#This Row],[HalfWidth]],ContinuousStatsTable[[#This Row],[BatchMeansHalfWidth]])</f>
        <v>1.8569024646233528E-2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1.18003846027537</v>
      </c>
      <c r="H99">
        <v>2E+20</v>
      </c>
      <c r="I99">
        <v>0</v>
      </c>
      <c r="J99">
        <v>4</v>
      </c>
      <c r="K99">
        <v>1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0.99502981888563502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1.8130888087291901</v>
      </c>
      <c r="U99">
        <f>IF((ContinuousStatsTable[[#This Row],[RepsRequested]]&gt;1),ContinuousStatsTable[[#This Row],[HalfWidth]],ContinuousStatsTable[[#This Row],[BatchMeansHalfWidth]])</f>
        <v>7.4276098584935724E-2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4</v>
      </c>
      <c r="H100">
        <v>2E+20</v>
      </c>
      <c r="I100">
        <v>4</v>
      </c>
      <c r="J100">
        <v>4</v>
      </c>
      <c r="K100">
        <v>4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4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4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4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4.5275072295252296E-3</v>
      </c>
      <c r="H101">
        <v>2E+20</v>
      </c>
      <c r="I101">
        <v>0</v>
      </c>
      <c r="J101">
        <v>2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0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0.26023163750941702</v>
      </c>
      <c r="U101">
        <f>IF((ContinuousStatsTable[[#This Row],[RepsRequested]]&gt;1),ContinuousStatsTable[[#This Row],[HalfWidth]],ContinuousStatsTable[[#This Row],[BatchMeansHalfWidth]])</f>
        <v>1.9432677527783122E-2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1.1733613712836799</v>
      </c>
      <c r="H102">
        <v>2E+20</v>
      </c>
      <c r="I102">
        <v>0</v>
      </c>
      <c r="J102">
        <v>4</v>
      </c>
      <c r="K102">
        <v>0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0.99989438611061798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1.89300516389284</v>
      </c>
      <c r="U102">
        <f>IF((ContinuousStatsTable[[#This Row],[RepsRequested]]&gt;1),ContinuousStatsTable[[#This Row],[HalfWidth]],ContinuousStatsTable[[#This Row],[BatchMeansHalfWidth]])</f>
        <v>7.9682432249173069E-2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0.29334034282091898</v>
      </c>
      <c r="H103">
        <v>2E+20</v>
      </c>
      <c r="I103">
        <v>0</v>
      </c>
      <c r="J103">
        <v>1</v>
      </c>
      <c r="K103">
        <v>0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0.248757454721409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0.45327220218229702</v>
      </c>
      <c r="U103">
        <f>IF((ContinuousStatsTable[[#This Row],[RepsRequested]]&gt;1),ContinuousStatsTable[[#This Row],[HalfWidth]],ContinuousStatsTable[[#This Row],[BatchMeansHalfWidth]])</f>
        <v>1.8569024646233528E-2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1.1733613712836799</v>
      </c>
      <c r="H104">
        <v>2E+20</v>
      </c>
      <c r="I104">
        <v>0</v>
      </c>
      <c r="J104">
        <v>4</v>
      </c>
      <c r="K104">
        <v>0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0.99502981888563502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1.8130888087291901</v>
      </c>
      <c r="U104">
        <f>IF((ContinuousStatsTable[[#This Row],[RepsRequested]]&gt;1),ContinuousStatsTable[[#This Row],[HalfWidth]],ContinuousStatsTable[[#This Row],[BatchMeansHalfWidth]])</f>
        <v>7.4276098584935724E-2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4</v>
      </c>
      <c r="H105">
        <v>2E+20</v>
      </c>
      <c r="I105">
        <v>4</v>
      </c>
      <c r="J105">
        <v>4</v>
      </c>
      <c r="K105">
        <v>4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4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4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4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0</v>
      </c>
      <c r="H106">
        <v>2E+20</v>
      </c>
      <c r="I106">
        <v>0</v>
      </c>
      <c r="J106">
        <v>0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0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0.26023163750941702</v>
      </c>
      <c r="U106">
        <f>IF((ContinuousStatsTable[[#This Row],[RepsRequested]]&gt;1),ContinuousStatsTable[[#This Row],[HalfWidth]],ContinuousStatsTable[[#This Row],[BatchMeansHalfWidth]])</f>
        <v>1.9432677527783122E-2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1.41579985784079</v>
      </c>
      <c r="H107">
        <v>2E+20</v>
      </c>
      <c r="I107">
        <v>0</v>
      </c>
      <c r="J107">
        <v>5</v>
      </c>
      <c r="K107">
        <v>2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0.99989438611061798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1.89300516389284</v>
      </c>
      <c r="U107">
        <f>IF((ContinuousStatsTable[[#This Row],[RepsRequested]]&gt;1),ContinuousStatsTable[[#This Row],[HalfWidth]],ContinuousStatsTable[[#This Row],[BatchMeansHalfWidth]])</f>
        <v>7.9682432249173069E-2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0.35308943499485601</v>
      </c>
      <c r="H108">
        <v>2E+20</v>
      </c>
      <c r="I108">
        <v>0</v>
      </c>
      <c r="J108">
        <v>1</v>
      </c>
      <c r="K108">
        <v>0.5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0.248757454721409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0.45327220218229702</v>
      </c>
      <c r="U108">
        <f>IF((ContinuousStatsTable[[#This Row],[RepsRequested]]&gt;1),ContinuousStatsTable[[#This Row],[HalfWidth]],ContinuousStatsTable[[#This Row],[BatchMeansHalfWidth]])</f>
        <v>1.8569024646233528E-2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1.41235773997943</v>
      </c>
      <c r="H109">
        <v>2E+20</v>
      </c>
      <c r="I109">
        <v>0</v>
      </c>
      <c r="J109">
        <v>4</v>
      </c>
      <c r="K109">
        <v>2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0.99502981888563502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1.8130888087291901</v>
      </c>
      <c r="U109">
        <f>IF((ContinuousStatsTable[[#This Row],[RepsRequested]]&gt;1),ContinuousStatsTable[[#This Row],[HalfWidth]],ContinuousStatsTable[[#This Row],[BatchMeansHalfWidth]])</f>
        <v>7.4276098584935724E-2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4</v>
      </c>
      <c r="H110">
        <v>2E+20</v>
      </c>
      <c r="I110">
        <v>4</v>
      </c>
      <c r="J110">
        <v>4</v>
      </c>
      <c r="K110">
        <v>4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4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4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4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3.4421178613662602E-3</v>
      </c>
      <c r="H111">
        <v>2E+20</v>
      </c>
      <c r="I111">
        <v>0</v>
      </c>
      <c r="J111">
        <v>1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0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0.26023163750941702</v>
      </c>
      <c r="U111">
        <f>IF((ContinuousStatsTable[[#This Row],[RepsRequested]]&gt;1),ContinuousStatsTable[[#This Row],[HalfWidth]],ContinuousStatsTable[[#This Row],[BatchMeansHalfWidth]])</f>
        <v>1.9432677527783122E-2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1.3870221239556799</v>
      </c>
      <c r="H112">
        <v>2E+20</v>
      </c>
      <c r="I112">
        <v>0</v>
      </c>
      <c r="J112">
        <v>6</v>
      </c>
      <c r="K112">
        <v>1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0.99989438611061798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1.89300516389284</v>
      </c>
      <c r="U112">
        <f>IF((ContinuousStatsTable[[#This Row],[RepsRequested]]&gt;1),ContinuousStatsTable[[#This Row],[HalfWidth]],ContinuousStatsTable[[#This Row],[BatchMeansHalfWidth]])</f>
        <v>7.9682432249173069E-2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0.335349754770705</v>
      </c>
      <c r="H113">
        <v>2E+20</v>
      </c>
      <c r="I113">
        <v>0</v>
      </c>
      <c r="J113">
        <v>1</v>
      </c>
      <c r="K113">
        <v>0.25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0.248757454721409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0.45327220218229702</v>
      </c>
      <c r="U113">
        <f>IF((ContinuousStatsTable[[#This Row],[RepsRequested]]&gt;1),ContinuousStatsTable[[#This Row],[HalfWidth]],ContinuousStatsTable[[#This Row],[BatchMeansHalfWidth]])</f>
        <v>1.8569024646233528E-2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1.34139901908282</v>
      </c>
      <c r="H114">
        <v>2E+20</v>
      </c>
      <c r="I114">
        <v>0</v>
      </c>
      <c r="J114">
        <v>4</v>
      </c>
      <c r="K114">
        <v>1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0.99502981888563502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1.8130888087291901</v>
      </c>
      <c r="U114">
        <f>IF((ContinuousStatsTable[[#This Row],[RepsRequested]]&gt;1),ContinuousStatsTable[[#This Row],[HalfWidth]],ContinuousStatsTable[[#This Row],[BatchMeansHalfWidth]])</f>
        <v>7.4276098584935724E-2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4</v>
      </c>
      <c r="H115">
        <v>2E+20</v>
      </c>
      <c r="I115">
        <v>4</v>
      </c>
      <c r="J115">
        <v>4</v>
      </c>
      <c r="K115">
        <v>4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4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4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4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4.5623104872860698E-2</v>
      </c>
      <c r="H116">
        <v>2E+20</v>
      </c>
      <c r="I116">
        <v>0</v>
      </c>
      <c r="J116">
        <v>2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0.26023163750941702</v>
      </c>
      <c r="U116">
        <f>IF((ContinuousStatsTable[[#This Row],[RepsRequested]]&gt;1),ContinuousStatsTable[[#This Row],[HalfWidth]],ContinuousStatsTable[[#This Row],[BatchMeansHalfWidth]])</f>
        <v>1.9432677527783122E-2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1.15809915055308</v>
      </c>
      <c r="H117">
        <v>2E+20</v>
      </c>
      <c r="I117">
        <v>0</v>
      </c>
      <c r="J117">
        <v>5</v>
      </c>
      <c r="K117">
        <v>1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0.99989438611061798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1.89300516389284</v>
      </c>
      <c r="U117">
        <f>IF((ContinuousStatsTable[[#This Row],[RepsRequested]]&gt;1),ContinuousStatsTable[[#This Row],[HalfWidth]],ContinuousStatsTable[[#This Row],[BatchMeansHalfWidth]])</f>
        <v>7.9682432249173069E-2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0.289041984118456</v>
      </c>
      <c r="H118">
        <v>2E+20</v>
      </c>
      <c r="I118">
        <v>0</v>
      </c>
      <c r="J118">
        <v>1</v>
      </c>
      <c r="K118">
        <v>0.25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0.248757454721409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0.45327220218229702</v>
      </c>
      <c r="U118">
        <f>IF((ContinuousStatsTable[[#This Row],[RepsRequested]]&gt;1),ContinuousStatsTable[[#This Row],[HalfWidth]],ContinuousStatsTable[[#This Row],[BatchMeansHalfWidth]])</f>
        <v>1.8569024646233528E-2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1.15616793647383</v>
      </c>
      <c r="H119">
        <v>2E+20</v>
      </c>
      <c r="I119">
        <v>0</v>
      </c>
      <c r="J119">
        <v>4</v>
      </c>
      <c r="K119">
        <v>1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0.99502981888563502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1.8130888087291901</v>
      </c>
      <c r="U119">
        <f>IF((ContinuousStatsTable[[#This Row],[RepsRequested]]&gt;1),ContinuousStatsTable[[#This Row],[HalfWidth]],ContinuousStatsTable[[#This Row],[BatchMeansHalfWidth]])</f>
        <v>7.4276098584935724E-2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4</v>
      </c>
      <c r="H120">
        <v>2E+20</v>
      </c>
      <c r="I120">
        <v>4</v>
      </c>
      <c r="J120">
        <v>4</v>
      </c>
      <c r="K120">
        <v>4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4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4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4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1.9312140792551299E-3</v>
      </c>
      <c r="H121">
        <v>2E+20</v>
      </c>
      <c r="I121">
        <v>0</v>
      </c>
      <c r="J121">
        <v>1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0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0.26023163750941702</v>
      </c>
      <c r="U121">
        <f>IF((ContinuousStatsTable[[#This Row],[RepsRequested]]&gt;1),ContinuousStatsTable[[#This Row],[HalfWidth]],ContinuousStatsTable[[#This Row],[BatchMeansHalfWidth]])</f>
        <v>1.9432677527783122E-2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1.25285297444765</v>
      </c>
      <c r="H122">
        <v>2E+20</v>
      </c>
      <c r="I122">
        <v>0</v>
      </c>
      <c r="J122">
        <v>6</v>
      </c>
      <c r="K122">
        <v>0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0.99989438611061798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1.89300516389284</v>
      </c>
      <c r="U122">
        <f>IF((ContinuousStatsTable[[#This Row],[RepsRequested]]&gt;1),ContinuousStatsTable[[#This Row],[HalfWidth]],ContinuousStatsTable[[#This Row],[BatchMeansHalfWidth]])</f>
        <v>7.9682432249173069E-2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0.31257468305705199</v>
      </c>
      <c r="H123">
        <v>2E+20</v>
      </c>
      <c r="I123">
        <v>0</v>
      </c>
      <c r="J123">
        <v>1</v>
      </c>
      <c r="K123">
        <v>0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0.248757454721409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0.45327220218229702</v>
      </c>
      <c r="U123">
        <f>IF((ContinuousStatsTable[[#This Row],[RepsRequested]]&gt;1),ContinuousStatsTable[[#This Row],[HalfWidth]],ContinuousStatsTable[[#This Row],[BatchMeansHalfWidth]])</f>
        <v>1.8569024646233528E-2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1.25029873222821</v>
      </c>
      <c r="H124">
        <v>2E+20</v>
      </c>
      <c r="I124">
        <v>0</v>
      </c>
      <c r="J124">
        <v>4</v>
      </c>
      <c r="K124">
        <v>0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0.99502981888563502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1.8130888087291901</v>
      </c>
      <c r="U124">
        <f>IF((ContinuousStatsTable[[#This Row],[RepsRequested]]&gt;1),ContinuousStatsTable[[#This Row],[HalfWidth]],ContinuousStatsTable[[#This Row],[BatchMeansHalfWidth]])</f>
        <v>7.4276098584935724E-2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4</v>
      </c>
      <c r="H125">
        <v>2E+20</v>
      </c>
      <c r="I125">
        <v>4</v>
      </c>
      <c r="J125">
        <v>4</v>
      </c>
      <c r="K125">
        <v>4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4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4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4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2.5542422194423302E-3</v>
      </c>
      <c r="H126">
        <v>2E+20</v>
      </c>
      <c r="I126">
        <v>0</v>
      </c>
      <c r="J126">
        <v>2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0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0.26023163750941702</v>
      </c>
      <c r="U126">
        <f>IF((ContinuousStatsTable[[#This Row],[RepsRequested]]&gt;1),ContinuousStatsTable[[#This Row],[HalfWidth]],ContinuousStatsTable[[#This Row],[BatchMeansHalfWidth]])</f>
        <v>1.9432677527783122E-2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1.20933106182467</v>
      </c>
      <c r="H127">
        <v>2E+20</v>
      </c>
      <c r="I127">
        <v>0</v>
      </c>
      <c r="J127">
        <v>6</v>
      </c>
      <c r="K127">
        <v>1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0.99989438611061798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1.89300516389284</v>
      </c>
      <c r="U127">
        <f>IF((ContinuousStatsTable[[#This Row],[RepsRequested]]&gt;1),ContinuousStatsTable[[#This Row],[HalfWidth]],ContinuousStatsTable[[#This Row],[BatchMeansHalfWidth]])</f>
        <v>7.9682432249173069E-2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0.298492523166975</v>
      </c>
      <c r="H128">
        <v>2E+20</v>
      </c>
      <c r="I128">
        <v>0</v>
      </c>
      <c r="J128">
        <v>1</v>
      </c>
      <c r="K128">
        <v>0.25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0.248757454721409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0.45327220218229702</v>
      </c>
      <c r="U128">
        <f>IF((ContinuousStatsTable[[#This Row],[RepsRequested]]&gt;1),ContinuousStatsTable[[#This Row],[HalfWidth]],ContinuousStatsTable[[#This Row],[BatchMeansHalfWidth]])</f>
        <v>1.8569024646233528E-2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1.1939700926679</v>
      </c>
      <c r="H129">
        <v>2E+20</v>
      </c>
      <c r="I129">
        <v>0</v>
      </c>
      <c r="J129">
        <v>4</v>
      </c>
      <c r="K129">
        <v>1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0.99502981888563502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1.8130888087291901</v>
      </c>
      <c r="U129">
        <f>IF((ContinuousStatsTable[[#This Row],[RepsRequested]]&gt;1),ContinuousStatsTable[[#This Row],[HalfWidth]],ContinuousStatsTable[[#This Row],[BatchMeansHalfWidth]])</f>
        <v>7.4276098584935724E-2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4</v>
      </c>
      <c r="H130">
        <v>2E+20</v>
      </c>
      <c r="I130">
        <v>4</v>
      </c>
      <c r="J130">
        <v>4</v>
      </c>
      <c r="K130">
        <v>4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4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4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4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1.53609691567666E-2</v>
      </c>
      <c r="H131">
        <v>2E+20</v>
      </c>
      <c r="I131">
        <v>0</v>
      </c>
      <c r="J131">
        <v>2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0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0.26023163750941702</v>
      </c>
      <c r="U131">
        <f>IF((ContinuousStatsTable[[#This Row],[RepsRequested]]&gt;1),ContinuousStatsTable[[#This Row],[HalfWidth]],ContinuousStatsTable[[#This Row],[BatchMeansHalfWidth]])</f>
        <v>1.9432677527783122E-2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1.48023801293431</v>
      </c>
      <c r="H132">
        <v>2E+20</v>
      </c>
      <c r="I132">
        <v>0</v>
      </c>
      <c r="J132">
        <v>7</v>
      </c>
      <c r="K132">
        <v>2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0.99989438611061798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1.89300516389284</v>
      </c>
      <c r="U132">
        <f>IF((ContinuousStatsTable[[#This Row],[RepsRequested]]&gt;1),ContinuousStatsTable[[#This Row],[HalfWidth]],ContinuousStatsTable[[#This Row],[BatchMeansHalfWidth]])</f>
        <v>7.9682432249173069E-2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0.36166266889385801</v>
      </c>
      <c r="H133">
        <v>2E+20</v>
      </c>
      <c r="I133">
        <v>0</v>
      </c>
      <c r="J133">
        <v>1</v>
      </c>
      <c r="K133">
        <v>0.5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0.248757454721409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0.45327220218229702</v>
      </c>
      <c r="U133">
        <f>IF((ContinuousStatsTable[[#This Row],[RepsRequested]]&gt;1),ContinuousStatsTable[[#This Row],[HalfWidth]],ContinuousStatsTable[[#This Row],[BatchMeansHalfWidth]])</f>
        <v>1.8569024646233528E-2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1.44665067557543</v>
      </c>
      <c r="H134">
        <v>2E+20</v>
      </c>
      <c r="I134">
        <v>0</v>
      </c>
      <c r="J134">
        <v>4</v>
      </c>
      <c r="K134">
        <v>2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0.99502981888563502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1.8130888087291901</v>
      </c>
      <c r="U134">
        <f>IF((ContinuousStatsTable[[#This Row],[RepsRequested]]&gt;1),ContinuousStatsTable[[#This Row],[HalfWidth]],ContinuousStatsTable[[#This Row],[BatchMeansHalfWidth]])</f>
        <v>7.4276098584935724E-2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4</v>
      </c>
      <c r="H135">
        <v>2E+20</v>
      </c>
      <c r="I135">
        <v>4</v>
      </c>
      <c r="J135">
        <v>4</v>
      </c>
      <c r="K135">
        <v>4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4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4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4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3.3587337358879303E-2</v>
      </c>
      <c r="H136">
        <v>2E+20</v>
      </c>
      <c r="I136">
        <v>0</v>
      </c>
      <c r="J136">
        <v>3</v>
      </c>
      <c r="K136">
        <v>0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0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0.26023163750941702</v>
      </c>
      <c r="U136">
        <f>IF((ContinuousStatsTable[[#This Row],[RepsRequested]]&gt;1),ContinuousStatsTable[[#This Row],[HalfWidth]],ContinuousStatsTable[[#This Row],[BatchMeansHalfWidth]])</f>
        <v>1.9432677527783122E-2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1.48771991874209</v>
      </c>
      <c r="H137">
        <v>2E+20</v>
      </c>
      <c r="I137">
        <v>0</v>
      </c>
      <c r="J137">
        <v>5</v>
      </c>
      <c r="K137">
        <v>0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0.99989438611061798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1.89300516389284</v>
      </c>
      <c r="U137">
        <f>IF((ContinuousStatsTable[[#This Row],[RepsRequested]]&gt;1),ContinuousStatsTable[[#This Row],[HalfWidth]],ContinuousStatsTable[[#This Row],[BatchMeansHalfWidth]])</f>
        <v>7.9682432249173069E-2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0.36978976128260699</v>
      </c>
      <c r="H138">
        <v>2E+20</v>
      </c>
      <c r="I138">
        <v>0</v>
      </c>
      <c r="J138">
        <v>1</v>
      </c>
      <c r="K138">
        <v>0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0.248757454721409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0.45327220218229702</v>
      </c>
      <c r="U138">
        <f>IF((ContinuousStatsTable[[#This Row],[RepsRequested]]&gt;1),ContinuousStatsTable[[#This Row],[HalfWidth]],ContinuousStatsTable[[#This Row],[BatchMeansHalfWidth]])</f>
        <v>1.8569024646233528E-2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1.47915904513043</v>
      </c>
      <c r="H139">
        <v>2E+20</v>
      </c>
      <c r="I139">
        <v>0</v>
      </c>
      <c r="J139">
        <v>4</v>
      </c>
      <c r="K139">
        <v>0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0.99502981888563502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1.8130888087291901</v>
      </c>
      <c r="U139">
        <f>IF((ContinuousStatsTable[[#This Row],[RepsRequested]]&gt;1),ContinuousStatsTable[[#This Row],[HalfWidth]],ContinuousStatsTable[[#This Row],[BatchMeansHalfWidth]])</f>
        <v>7.4276098584935724E-2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4</v>
      </c>
      <c r="H140">
        <v>2E+20</v>
      </c>
      <c r="I140">
        <v>4</v>
      </c>
      <c r="J140">
        <v>4</v>
      </c>
      <c r="K140">
        <v>4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4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4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4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8.5608736116626807E-3</v>
      </c>
      <c r="H141">
        <v>2E+20</v>
      </c>
      <c r="I141">
        <v>0</v>
      </c>
      <c r="J141">
        <v>1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0.26023163750941702</v>
      </c>
      <c r="U141">
        <f>IF((ContinuousStatsTable[[#This Row],[RepsRequested]]&gt;1),ContinuousStatsTable[[#This Row],[HalfWidth]],ContinuousStatsTable[[#This Row],[BatchMeansHalfWidth]])</f>
        <v>1.9432677527783122E-2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1.44393130877541</v>
      </c>
      <c r="H142">
        <v>2E+20</v>
      </c>
      <c r="I142">
        <v>0</v>
      </c>
      <c r="J142">
        <v>5</v>
      </c>
      <c r="K142">
        <v>1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0.99989438611061798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1.89300516389284</v>
      </c>
      <c r="U142">
        <f>IF((ContinuousStatsTable[[#This Row],[RepsRequested]]&gt;1),ContinuousStatsTable[[#This Row],[HalfWidth]],ContinuousStatsTable[[#This Row],[BatchMeansHalfWidth]])</f>
        <v>7.9682432249173069E-2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0.35436813128280398</v>
      </c>
      <c r="H143">
        <v>2E+20</v>
      </c>
      <c r="I143">
        <v>0</v>
      </c>
      <c r="J143">
        <v>1</v>
      </c>
      <c r="K143">
        <v>0.25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0.248757454721409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0.45327220218229702</v>
      </c>
      <c r="U143">
        <f>IF((ContinuousStatsTable[[#This Row],[RepsRequested]]&gt;1),ContinuousStatsTable[[#This Row],[HalfWidth]],ContinuousStatsTable[[#This Row],[BatchMeansHalfWidth]])</f>
        <v>1.8569024646233528E-2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1.4174725251312199</v>
      </c>
      <c r="H144">
        <v>2E+20</v>
      </c>
      <c r="I144">
        <v>0</v>
      </c>
      <c r="J144">
        <v>4</v>
      </c>
      <c r="K144">
        <v>1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0.99502981888563502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1.8130888087291901</v>
      </c>
      <c r="U144">
        <f>IF((ContinuousStatsTable[[#This Row],[RepsRequested]]&gt;1),ContinuousStatsTable[[#This Row],[HalfWidth]],ContinuousStatsTable[[#This Row],[BatchMeansHalfWidth]])</f>
        <v>7.4276098584935724E-2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4</v>
      </c>
      <c r="H145">
        <v>2E+20</v>
      </c>
      <c r="I145">
        <v>4</v>
      </c>
      <c r="J145">
        <v>4</v>
      </c>
      <c r="K145">
        <v>4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4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4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4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2.6458783644197102E-2</v>
      </c>
      <c r="H146">
        <v>2E+20</v>
      </c>
      <c r="I146">
        <v>0</v>
      </c>
      <c r="J146">
        <v>1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0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0.26023163750941702</v>
      </c>
      <c r="U146">
        <f>IF((ContinuousStatsTable[[#This Row],[RepsRequested]]&gt;1),ContinuousStatsTable[[#This Row],[HalfWidth]],ContinuousStatsTable[[#This Row],[BatchMeansHalfWidth]])</f>
        <v>1.9432677527783122E-2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1.54732099692492</v>
      </c>
      <c r="H147">
        <v>2E+20</v>
      </c>
      <c r="I147">
        <v>0</v>
      </c>
      <c r="J147">
        <v>5</v>
      </c>
      <c r="K147">
        <v>2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1.386363710192503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0.21339347269697648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7.9682432249173069E-2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0.99989438611061798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1.89300516389284</v>
      </c>
      <c r="U147">
        <f>IF((ContinuousStatsTable[[#This Row],[RepsRequested]]&gt;1),ContinuousStatsTable[[#This Row],[HalfWidth]],ContinuousStatsTable[[#This Row],[BatchMeansHalfWidth]])</f>
        <v>7.9682432249173069E-2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0.38455421629072101</v>
      </c>
      <c r="H148">
        <v>2E+20</v>
      </c>
      <c r="I148">
        <v>0</v>
      </c>
      <c r="J148">
        <v>1</v>
      </c>
      <c r="K148">
        <v>0.5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0.33974800639003316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4.9728761309198614E-2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1.8569024646233528E-2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0.248757454721409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0.45327220218229702</v>
      </c>
      <c r="U148">
        <f>IF((ContinuousStatsTable[[#This Row],[RepsRequested]]&gt;1),ContinuousStatsTable[[#This Row],[HalfWidth]],ContinuousStatsTable[[#This Row],[BatchMeansHalfWidth]])</f>
        <v>1.8569024646233528E-2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1.53821686516288</v>
      </c>
      <c r="H149">
        <v>2E+20</v>
      </c>
      <c r="I149">
        <v>0</v>
      </c>
      <c r="J149">
        <v>4</v>
      </c>
      <c r="K149">
        <v>2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1.358992025560132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0.19891504523679876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7.4276098584935724E-2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0.99502981888563502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1.8130888087291901</v>
      </c>
      <c r="U149">
        <f>IF((ContinuousStatsTable[[#This Row],[RepsRequested]]&gt;1),ContinuousStatsTable[[#This Row],[HalfWidth]],ContinuousStatsTable[[#This Row],[BatchMeansHalfWidth]])</f>
        <v>7.4276098584935724E-2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4</v>
      </c>
      <c r="H150">
        <v>2E+20</v>
      </c>
      <c r="I150">
        <v>4</v>
      </c>
      <c r="J150">
        <v>4</v>
      </c>
      <c r="K150">
        <v>4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4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4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4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9.10413176203477E-3</v>
      </c>
      <c r="H151">
        <v>2E+20</v>
      </c>
      <c r="I151">
        <v>0</v>
      </c>
      <c r="J151">
        <v>1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2.737168463237126E-2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5.2041666204248813E-2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1.9432677527783122E-2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0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0.26023163750941702</v>
      </c>
      <c r="U151">
        <f>IF((ContinuousStatsTable[[#This Row],[RepsRequested]]&gt;1),ContinuousStatsTable[[#This Row],[HalfWidth]],ContinuousStatsTable[[#This Row],[BatchMeansHalfWidth]])</f>
        <v>1.9432677527783122E-2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2.33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81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88.466666666666669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9.1490844966279035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2" cm="1">
        <f t="array" ref="N2">MIN(IF((CountersTable[GroupByKey]=CountersTable[[#This Row],[GroupByKey]]),(CountersTable[GroupByKey]=CountersTable[[#This Row],[GroupByKey]])*CountersTable[RecordedValue]))</f>
        <v>68</v>
      </c>
      <c r="O2" cm="1">
        <f t="array" ref="O2">MAX(IF((CountersTable[GroupByKey]=CountersTable[[#This Row],[GroupByKey]]),(CountersTable[GroupByKey]=CountersTable[[#This Row],[GroupByKey]])*CountersTable[RecordedValue]))</f>
        <v>107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0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0.7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2.0367316617730884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3" cm="1">
        <f t="array" ref="N3">MIN(IF((CountersTable[GroupByKey]=CountersTable[[#This Row],[GroupByKey]]),(CountersTable[GroupByKey]=CountersTable[[#This Row],[GroupByKey]])*CountersTable[RecordedValue]))</f>
        <v>0</v>
      </c>
      <c r="O3" cm="1">
        <f t="array" ref="O3">MAX(IF((CountersTable[GroupByKey]=CountersTable[[#This Row],[GroupByKey]]),(CountersTable[GroupByKey]=CountersTable[[#This Row],[GroupByKey]])*CountersTable[RecordedValue]))</f>
        <v>9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98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88.466666666666669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9.1490844966279035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4" cm="1">
        <f t="array" ref="N4">MIN(IF((CountersTable[GroupByKey]=CountersTable[[#This Row],[GroupByKey]]),(CountersTable[GroupByKey]=CountersTable[[#This Row],[GroupByKey]])*CountersTable[RecordedValue]))</f>
        <v>68</v>
      </c>
      <c r="O4" cm="1">
        <f t="array" ref="O4">MAX(IF((CountersTable[GroupByKey]=CountersTable[[#This Row],[GroupByKey]]),(CountersTable[GroupByKey]=CountersTable[[#This Row],[GroupByKey]])*CountersTable[RecordedValue]))</f>
        <v>107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0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0.7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2.0367316617730884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5" cm="1">
        <f t="array" ref="N5">MIN(IF((CountersTable[GroupByKey]=CountersTable[[#This Row],[GroupByKey]]),(CountersTable[GroupByKey]=CountersTable[[#This Row],[GroupByKey]])*CountersTable[RecordedValue]))</f>
        <v>0</v>
      </c>
      <c r="O5" cm="1">
        <f t="array" ref="O5">MAX(IF((CountersTable[GroupByKey]=CountersTable[[#This Row],[GroupByKey]]),(CountersTable[GroupByKey]=CountersTable[[#This Row],[GroupByKey]])*CountersTable[RecordedValue]))</f>
        <v>9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107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88.466666666666669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9.1490844966279035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6" cm="1">
        <f t="array" ref="N6">MIN(IF((CountersTable[GroupByKey]=CountersTable[[#This Row],[GroupByKey]]),(CountersTable[GroupByKey]=CountersTable[[#This Row],[GroupByKey]])*CountersTable[RecordedValue]))</f>
        <v>68</v>
      </c>
      <c r="O6" cm="1">
        <f t="array" ref="O6">MAX(IF((CountersTable[GroupByKey]=CountersTable[[#This Row],[GroupByKey]]),(CountersTable[GroupByKey]=CountersTable[[#This Row],[GroupByKey]])*CountersTable[RecordedValue]))</f>
        <v>107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0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0.7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2.0367316617730884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7" cm="1">
        <f t="array" ref="N7">MIN(IF((CountersTable[GroupByKey]=CountersTable[[#This Row],[GroupByKey]]),(CountersTable[GroupByKey]=CountersTable[[#This Row],[GroupByKey]])*CountersTable[RecordedValue]))</f>
        <v>0</v>
      </c>
      <c r="O7" cm="1">
        <f t="array" ref="O7">MAX(IF((CountersTable[GroupByKey]=CountersTable[[#This Row],[GroupByKey]]),(CountersTable[GroupByKey]=CountersTable[[#This Row],[GroupByKey]])*CountersTable[RecordedValue]))</f>
        <v>9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89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88.466666666666669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9.1490844966279035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8" cm="1">
        <f t="array" ref="N8">MIN(IF((CountersTable[GroupByKey]=CountersTable[[#This Row],[GroupByKey]]),(CountersTable[GroupByKey]=CountersTable[[#This Row],[GroupByKey]])*CountersTable[RecordedValue]))</f>
        <v>68</v>
      </c>
      <c r="O8" cm="1">
        <f t="array" ref="O8">MAX(IF((CountersTable[GroupByKey]=CountersTable[[#This Row],[GroupByKey]]),(CountersTable[GroupByKey]=CountersTable[[#This Row],[GroupByKey]])*CountersTable[RecordedValue]))</f>
        <v>107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0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0.7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2.0367316617730884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9" cm="1">
        <f t="array" ref="N9">MIN(IF((CountersTable[GroupByKey]=CountersTable[[#This Row],[GroupByKey]]),(CountersTable[GroupByKey]=CountersTable[[#This Row],[GroupByKey]])*CountersTable[RecordedValue]))</f>
        <v>0</v>
      </c>
      <c r="O9" cm="1">
        <f t="array" ref="O9">MAX(IF((CountersTable[GroupByKey]=CountersTable[[#This Row],[GroupByKey]]),(CountersTable[GroupByKey]=CountersTable[[#This Row],[GroupByKey]])*CountersTable[RecordedValue]))</f>
        <v>9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96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88.466666666666669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9.1490844966279035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10" cm="1">
        <f t="array" ref="N10">MIN(IF((CountersTable[GroupByKey]=CountersTable[[#This Row],[GroupByKey]]),(CountersTable[GroupByKey]=CountersTable[[#This Row],[GroupByKey]])*CountersTable[RecordedValue]))</f>
        <v>68</v>
      </c>
      <c r="O10" cm="1">
        <f t="array" ref="O10">MAX(IF((CountersTable[GroupByKey]=CountersTable[[#This Row],[GroupByKey]]),(CountersTable[GroupByKey]=CountersTable[[#This Row],[GroupByKey]])*CountersTable[RecordedValue]))</f>
        <v>107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0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0.7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2.0367316617730884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11" cm="1">
        <f t="array" ref="N11">MIN(IF((CountersTable[GroupByKey]=CountersTable[[#This Row],[GroupByKey]]),(CountersTable[GroupByKey]=CountersTable[[#This Row],[GroupByKey]])*CountersTable[RecordedValue]))</f>
        <v>0</v>
      </c>
      <c r="O11" cm="1">
        <f t="array" ref="O11">MAX(IF((CountersTable[GroupByKey]=CountersTable[[#This Row],[GroupByKey]]),(CountersTable[GroupByKey]=CountersTable[[#This Row],[GroupByKey]])*CountersTable[RecordedValue]))</f>
        <v>9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95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88.466666666666669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9.1490844966279035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12" s="5" cm="1">
        <f t="array" ref="N12">MIN(IF((CountersTable[GroupByKey]=CountersTable[[#This Row],[GroupByKey]]),(CountersTable[GroupByKey]=CountersTable[[#This Row],[GroupByKey]])*CountersTable[RecordedValue]))</f>
        <v>68</v>
      </c>
      <c r="O12" s="5" cm="1">
        <f t="array" ref="O12">MAX(IF((CountersTable[GroupByKey]=CountersTable[[#This Row],[GroupByKey]]),(CountersTable[GroupByKey]=CountersTable[[#This Row],[GroupByKey]])*CountersTable[RecordedValue]))</f>
        <v>107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4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0.7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2.0367316617730884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13" s="5" cm="1">
        <f t="array" ref="N13">MIN(IF((CountersTable[GroupByKey]=CountersTable[[#This Row],[GroupByKey]]),(CountersTable[GroupByKey]=CountersTable[[#This Row],[GroupByKey]])*CountersTable[RecordedValue]))</f>
        <v>0</v>
      </c>
      <c r="O13" s="5" cm="1">
        <f t="array" ref="O13">MAX(IF((CountersTable[GroupByKey]=CountersTable[[#This Row],[GroupByKey]]),(CountersTable[GroupByKey]=CountersTable[[#This Row],[GroupByKey]])*CountersTable[RecordedValue]))</f>
        <v>9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90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88.466666666666669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9.1490844966279035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14" s="5" cm="1">
        <f t="array" ref="N14">MIN(IF((CountersTable[GroupByKey]=CountersTable[[#This Row],[GroupByKey]]),(CountersTable[GroupByKey]=CountersTable[[#This Row],[GroupByKey]])*CountersTable[RecordedValue]))</f>
        <v>68</v>
      </c>
      <c r="O14" s="5" cm="1">
        <f t="array" ref="O14">MAX(IF((CountersTable[GroupByKey]=CountersTable[[#This Row],[GroupByKey]]),(CountersTable[GroupByKey]=CountersTable[[#This Row],[GroupByKey]])*CountersTable[RecordedValue]))</f>
        <v>107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0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0.7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2.0367316617730884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15" s="5" cm="1">
        <f t="array" ref="N15">MIN(IF((CountersTable[GroupByKey]=CountersTable[[#This Row],[GroupByKey]]),(CountersTable[GroupByKey]=CountersTable[[#This Row],[GroupByKey]])*CountersTable[RecordedValue]))</f>
        <v>0</v>
      </c>
      <c r="O15" s="5" cm="1">
        <f t="array" ref="O15">MAX(IF((CountersTable[GroupByKey]=CountersTable[[#This Row],[GroupByKey]]),(CountersTable[GroupByKey]=CountersTable[[#This Row],[GroupByKey]])*CountersTable[RecordedValue]))</f>
        <v>9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72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88.466666666666669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9.1490844966279035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16" s="5" cm="1">
        <f t="array" ref="N16">MIN(IF((CountersTable[GroupByKey]=CountersTable[[#This Row],[GroupByKey]]),(CountersTable[GroupByKey]=CountersTable[[#This Row],[GroupByKey]])*CountersTable[RecordedValue]))</f>
        <v>68</v>
      </c>
      <c r="O16" s="5" cm="1">
        <f t="array" ref="O16">MAX(IF((CountersTable[GroupByKey]=CountersTable[[#This Row],[GroupByKey]]),(CountersTable[GroupByKey]=CountersTable[[#This Row],[GroupByKey]])*CountersTable[RecordedValue]))</f>
        <v>107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0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0.7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2.0367316617730884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17" s="5" cm="1">
        <f t="array" ref="N17">MIN(IF((CountersTable[GroupByKey]=CountersTable[[#This Row],[GroupByKey]]),(CountersTable[GroupByKey]=CountersTable[[#This Row],[GroupByKey]])*CountersTable[RecordedValue]))</f>
        <v>0</v>
      </c>
      <c r="O17" s="5" cm="1">
        <f t="array" ref="O17">MAX(IF((CountersTable[GroupByKey]=CountersTable[[#This Row],[GroupByKey]]),(CountersTable[GroupByKey]=CountersTable[[#This Row],[GroupByKey]])*CountersTable[RecordedValue]))</f>
        <v>9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85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88.466666666666669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9.1490844966279035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18" s="5" cm="1">
        <f t="array" ref="N18">MIN(IF((CountersTable[GroupByKey]=CountersTable[[#This Row],[GroupByKey]]),(CountersTable[GroupByKey]=CountersTable[[#This Row],[GroupByKey]])*CountersTable[RecordedValue]))</f>
        <v>68</v>
      </c>
      <c r="O18" s="5" cm="1">
        <f t="array" ref="O18">MAX(IF((CountersTable[GroupByKey]=CountersTable[[#This Row],[GroupByKey]]),(CountersTable[GroupByKey]=CountersTable[[#This Row],[GroupByKey]])*CountersTable[RecordedValue]))</f>
        <v>107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0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0.7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2.0367316617730884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19" s="5" cm="1">
        <f t="array" ref="N19">MIN(IF((CountersTable[GroupByKey]=CountersTable[[#This Row],[GroupByKey]]),(CountersTable[GroupByKey]=CountersTable[[#This Row],[GroupByKey]])*CountersTable[RecordedValue]))</f>
        <v>0</v>
      </c>
      <c r="O19" s="5" cm="1">
        <f t="array" ref="O19">MAX(IF((CountersTable[GroupByKey]=CountersTable[[#This Row],[GroupByKey]]),(CountersTable[GroupByKey]=CountersTable[[#This Row],[GroupByKey]])*CountersTable[RecordedValue]))</f>
        <v>9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81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88.466666666666669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9.1490844966279035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20" s="5" cm="1">
        <f t="array" ref="N20">MIN(IF((CountersTable[GroupByKey]=CountersTable[[#This Row],[GroupByKey]]),(CountersTable[GroupByKey]=CountersTable[[#This Row],[GroupByKey]])*CountersTable[RecordedValue]))</f>
        <v>68</v>
      </c>
      <c r="O20" s="5" cm="1">
        <f t="array" ref="O20">MAX(IF((CountersTable[GroupByKey]=CountersTable[[#This Row],[GroupByKey]]),(CountersTable[GroupByKey]=CountersTable[[#This Row],[GroupByKey]])*CountersTable[RecordedValue]))</f>
        <v>107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1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0.7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2.0367316617730884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21" s="5" cm="1">
        <f t="array" ref="N21">MIN(IF((CountersTable[GroupByKey]=CountersTable[[#This Row],[GroupByKey]]),(CountersTable[GroupByKey]=CountersTable[[#This Row],[GroupByKey]])*CountersTable[RecordedValue]))</f>
        <v>0</v>
      </c>
      <c r="O21" s="5" cm="1">
        <f t="array" ref="O21">MAX(IF((CountersTable[GroupByKey]=CountersTable[[#This Row],[GroupByKey]]),(CountersTable[GroupByKey]=CountersTable[[#This Row],[GroupByKey]])*CountersTable[RecordedValue]))</f>
        <v>9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95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88.466666666666669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9.1490844966279035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22" s="5" cm="1">
        <f t="array" ref="N22">MIN(IF((CountersTable[GroupByKey]=CountersTable[[#This Row],[GroupByKey]]),(CountersTable[GroupByKey]=CountersTable[[#This Row],[GroupByKey]])*CountersTable[RecordedValue]))</f>
        <v>68</v>
      </c>
      <c r="O22" s="5" cm="1">
        <f t="array" ref="O22">MAX(IF((CountersTable[GroupByKey]=CountersTable[[#This Row],[GroupByKey]]),(CountersTable[GroupByKey]=CountersTable[[#This Row],[GroupByKey]])*CountersTable[RecordedValue]))</f>
        <v>107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0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0.7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2.0367316617730884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23" s="5" cm="1">
        <f t="array" ref="N23">MIN(IF((CountersTable[GroupByKey]=CountersTable[[#This Row],[GroupByKey]]),(CountersTable[GroupByKey]=CountersTable[[#This Row],[GroupByKey]])*CountersTable[RecordedValue]))</f>
        <v>0</v>
      </c>
      <c r="O23" s="5" cm="1">
        <f t="array" ref="O23">MAX(IF((CountersTable[GroupByKey]=CountersTable[[#This Row],[GroupByKey]]),(CountersTable[GroupByKey]=CountersTable[[#This Row],[GroupByKey]])*CountersTable[RecordedValue]))</f>
        <v>9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80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88.466666666666669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9.1490844966279035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24" s="5" cm="1">
        <f t="array" ref="N24">MIN(IF((CountersTable[GroupByKey]=CountersTable[[#This Row],[GroupByKey]]),(CountersTable[GroupByKey]=CountersTable[[#This Row],[GroupByKey]])*CountersTable[RecordedValue]))</f>
        <v>68</v>
      </c>
      <c r="O24" s="5" cm="1">
        <f t="array" ref="O24">MAX(IF((CountersTable[GroupByKey]=CountersTable[[#This Row],[GroupByKey]]),(CountersTable[GroupByKey]=CountersTable[[#This Row],[GroupByKey]])*CountersTable[RecordedValue]))</f>
        <v>107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9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0.7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2.0367316617730884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25" s="5" cm="1">
        <f t="array" ref="N25">MIN(IF((CountersTable[GroupByKey]=CountersTable[[#This Row],[GroupByKey]]),(CountersTable[GroupByKey]=CountersTable[[#This Row],[GroupByKey]])*CountersTable[RecordedValue]))</f>
        <v>0</v>
      </c>
      <c r="O25" s="5" cm="1">
        <f t="array" ref="O25">MAX(IF((CountersTable[GroupByKey]=CountersTable[[#This Row],[GroupByKey]]),(CountersTable[GroupByKey]=CountersTable[[#This Row],[GroupByKey]])*CountersTable[RecordedValue]))</f>
        <v>9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92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88.466666666666669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9.1490844966279035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26" s="5" cm="1">
        <f t="array" ref="N26">MIN(IF((CountersTable[GroupByKey]=CountersTable[[#This Row],[GroupByKey]]),(CountersTable[GroupByKey]=CountersTable[[#This Row],[GroupByKey]])*CountersTable[RecordedValue]))</f>
        <v>68</v>
      </c>
      <c r="O26" s="5" cm="1">
        <f t="array" ref="O26">MAX(IF((CountersTable[GroupByKey]=CountersTable[[#This Row],[GroupByKey]]),(CountersTable[GroupByKey]=CountersTable[[#This Row],[GroupByKey]])*CountersTable[RecordedValue]))</f>
        <v>107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0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0.7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2.0367316617730884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27" s="5" cm="1">
        <f t="array" ref="N27">MIN(IF((CountersTable[GroupByKey]=CountersTable[[#This Row],[GroupByKey]]),(CountersTable[GroupByKey]=CountersTable[[#This Row],[GroupByKey]])*CountersTable[RecordedValue]))</f>
        <v>0</v>
      </c>
      <c r="O27" s="5" cm="1">
        <f t="array" ref="O27">MAX(IF((CountersTable[GroupByKey]=CountersTable[[#This Row],[GroupByKey]]),(CountersTable[GroupByKey]=CountersTable[[#This Row],[GroupByKey]])*CountersTable[RecordedValue]))</f>
        <v>9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91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88.466666666666669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9.1490844966279035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28" s="5" cm="1">
        <f t="array" ref="N28">MIN(IF((CountersTable[GroupByKey]=CountersTable[[#This Row],[GroupByKey]]),(CountersTable[GroupByKey]=CountersTable[[#This Row],[GroupByKey]])*CountersTable[RecordedValue]))</f>
        <v>68</v>
      </c>
      <c r="O28" s="5" cm="1">
        <f t="array" ref="O28">MAX(IF((CountersTable[GroupByKey]=CountersTable[[#This Row],[GroupByKey]]),(CountersTable[GroupByKey]=CountersTable[[#This Row],[GroupByKey]])*CountersTable[RecordedValue]))</f>
        <v>107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0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0.7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2.0367316617730884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29" s="5" cm="1">
        <f t="array" ref="N29">MIN(IF((CountersTable[GroupByKey]=CountersTable[[#This Row],[GroupByKey]]),(CountersTable[GroupByKey]=CountersTable[[#This Row],[GroupByKey]])*CountersTable[RecordedValue]))</f>
        <v>0</v>
      </c>
      <c r="O29" s="5" cm="1">
        <f t="array" ref="O29">MAX(IF((CountersTable[GroupByKey]=CountersTable[[#This Row],[GroupByKey]]),(CountersTable[GroupByKey]=CountersTable[[#This Row],[GroupByKey]])*CountersTable[RecordedValue]))</f>
        <v>9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86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88.466666666666669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9.1490844966279035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30" s="5" cm="1">
        <f t="array" ref="N30">MIN(IF((CountersTable[GroupByKey]=CountersTable[[#This Row],[GroupByKey]]),(CountersTable[GroupByKey]=CountersTable[[#This Row],[GroupByKey]])*CountersTable[RecordedValue]))</f>
        <v>68</v>
      </c>
      <c r="O30" s="5" cm="1">
        <f t="array" ref="O30">MAX(IF((CountersTable[GroupByKey]=CountersTable[[#This Row],[GroupByKey]]),(CountersTable[GroupByKey]=CountersTable[[#This Row],[GroupByKey]])*CountersTable[RecordedValue]))</f>
        <v>107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0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0.7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2.0367316617730884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31" s="5" cm="1">
        <f t="array" ref="N31">MIN(IF((CountersTable[GroupByKey]=CountersTable[[#This Row],[GroupByKey]]),(CountersTable[GroupByKey]=CountersTable[[#This Row],[GroupByKey]])*CountersTable[RecordedValue]))</f>
        <v>0</v>
      </c>
      <c r="O31" s="5" cm="1">
        <f t="array" ref="O31">MAX(IF((CountersTable[GroupByKey]=CountersTable[[#This Row],[GroupByKey]]),(CountersTable[GroupByKey]=CountersTable[[#This Row],[GroupByKey]])*CountersTable[RecordedValue]))</f>
        <v>9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96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88.466666666666669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9.1490844966279035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32" s="5" cm="1">
        <f t="array" ref="N32">MIN(IF((CountersTable[GroupByKey]=CountersTable[[#This Row],[GroupByKey]]),(CountersTable[GroupByKey]=CountersTable[[#This Row],[GroupByKey]])*CountersTable[RecordedValue]))</f>
        <v>68</v>
      </c>
      <c r="O32" s="5" cm="1">
        <f t="array" ref="O32">MAX(IF((CountersTable[GroupByKey]=CountersTable[[#This Row],[GroupByKey]]),(CountersTable[GroupByKey]=CountersTable[[#This Row],[GroupByKey]])*CountersTable[RecordedValue]))</f>
        <v>107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0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0.7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2.0367316617730884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33" s="5" cm="1">
        <f t="array" ref="N33">MIN(IF((CountersTable[GroupByKey]=CountersTable[[#This Row],[GroupByKey]]),(CountersTable[GroupByKey]=CountersTable[[#This Row],[GroupByKey]])*CountersTable[RecordedValue]))</f>
        <v>0</v>
      </c>
      <c r="O33" s="5" cm="1">
        <f t="array" ref="O33">MAX(IF((CountersTable[GroupByKey]=CountersTable[[#This Row],[GroupByKey]]),(CountersTable[GroupByKey]=CountersTable[[#This Row],[GroupByKey]])*CountersTable[RecordedValue]))</f>
        <v>9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68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88.466666666666669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9.1490844966279035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34" s="5" cm="1">
        <f t="array" ref="N34">MIN(IF((CountersTable[GroupByKey]=CountersTable[[#This Row],[GroupByKey]]),(CountersTable[GroupByKey]=CountersTable[[#This Row],[GroupByKey]])*CountersTable[RecordedValue]))</f>
        <v>68</v>
      </c>
      <c r="O34" s="5" cm="1">
        <f t="array" ref="O34">MAX(IF((CountersTable[GroupByKey]=CountersTable[[#This Row],[GroupByKey]]),(CountersTable[GroupByKey]=CountersTable[[#This Row],[GroupByKey]])*CountersTable[RecordedValue]))</f>
        <v>107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0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0.7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2.0367316617730884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35" s="5" cm="1">
        <f t="array" ref="N35">MIN(IF((CountersTable[GroupByKey]=CountersTable[[#This Row],[GroupByKey]]),(CountersTable[GroupByKey]=CountersTable[[#This Row],[GroupByKey]])*CountersTable[RecordedValue]))</f>
        <v>0</v>
      </c>
      <c r="O35" s="5" cm="1">
        <f t="array" ref="O35">MAX(IF((CountersTable[GroupByKey]=CountersTable[[#This Row],[GroupByKey]]),(CountersTable[GroupByKey]=CountersTable[[#This Row],[GroupByKey]])*CountersTable[RecordedValue]))</f>
        <v>9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101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88.466666666666669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9.1490844966279035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36" s="5" cm="1">
        <f t="array" ref="N36">MIN(IF((CountersTable[GroupByKey]=CountersTable[[#This Row],[GroupByKey]]),(CountersTable[GroupByKey]=CountersTable[[#This Row],[GroupByKey]])*CountersTable[RecordedValue]))</f>
        <v>68</v>
      </c>
      <c r="O36" s="5" cm="1">
        <f t="array" ref="O36">MAX(IF((CountersTable[GroupByKey]=CountersTable[[#This Row],[GroupByKey]]),(CountersTable[GroupByKey]=CountersTable[[#This Row],[GroupByKey]])*CountersTable[RecordedValue]))</f>
        <v>107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6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0.7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2.0367316617730884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37" s="5" cm="1">
        <f t="array" ref="N37">MIN(IF((CountersTable[GroupByKey]=CountersTable[[#This Row],[GroupByKey]]),(CountersTable[GroupByKey]=CountersTable[[#This Row],[GroupByKey]])*CountersTable[RecordedValue]))</f>
        <v>0</v>
      </c>
      <c r="O37" s="5" cm="1">
        <f t="array" ref="O37">MAX(IF((CountersTable[GroupByKey]=CountersTable[[#This Row],[GroupByKey]]),(CountersTable[GroupByKey]=CountersTable[[#This Row],[GroupByKey]])*CountersTable[RecordedValue]))</f>
        <v>9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83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88.466666666666669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9.1490844966279035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38" s="5" cm="1">
        <f t="array" ref="N38">MIN(IF((CountersTable[GroupByKey]=CountersTable[[#This Row],[GroupByKey]]),(CountersTable[GroupByKey]=CountersTable[[#This Row],[GroupByKey]])*CountersTable[RecordedValue]))</f>
        <v>68</v>
      </c>
      <c r="O38" s="5" cm="1">
        <f t="array" ref="O38">MAX(IF((CountersTable[GroupByKey]=CountersTable[[#This Row],[GroupByKey]]),(CountersTable[GroupByKey]=CountersTable[[#This Row],[GroupByKey]])*CountersTable[RecordedValue]))</f>
        <v>107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0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0.7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2.0367316617730884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39" s="5" cm="1">
        <f t="array" ref="N39">MIN(IF((CountersTable[GroupByKey]=CountersTable[[#This Row],[GroupByKey]]),(CountersTable[GroupByKey]=CountersTable[[#This Row],[GroupByKey]])*CountersTable[RecordedValue]))</f>
        <v>0</v>
      </c>
      <c r="O39" s="5" cm="1">
        <f t="array" ref="O39">MAX(IF((CountersTable[GroupByKey]=CountersTable[[#This Row],[GroupByKey]]),(CountersTable[GroupByKey]=CountersTable[[#This Row],[GroupByKey]])*CountersTable[RecordedValue]))</f>
        <v>9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84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88.466666666666669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9.1490844966279035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40" s="5" cm="1">
        <f t="array" ref="N40">MIN(IF((CountersTable[GroupByKey]=CountersTable[[#This Row],[GroupByKey]]),(CountersTable[GroupByKey]=CountersTable[[#This Row],[GroupByKey]])*CountersTable[RecordedValue]))</f>
        <v>68</v>
      </c>
      <c r="O40" s="5" cm="1">
        <f t="array" ref="O40">MAX(IF((CountersTable[GroupByKey]=CountersTable[[#This Row],[GroupByKey]]),(CountersTable[GroupByKey]=CountersTable[[#This Row],[GroupByKey]])*CountersTable[RecordedValue]))</f>
        <v>107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0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0.7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2.0367316617730884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41" s="5" cm="1">
        <f t="array" ref="N41">MIN(IF((CountersTable[GroupByKey]=CountersTable[[#This Row],[GroupByKey]]),(CountersTable[GroupByKey]=CountersTable[[#This Row],[GroupByKey]])*CountersTable[RecordedValue]))</f>
        <v>0</v>
      </c>
      <c r="O41" s="5" cm="1">
        <f t="array" ref="O41">MAX(IF((CountersTable[GroupByKey]=CountersTable[[#This Row],[GroupByKey]]),(CountersTable[GroupByKey]=CountersTable[[#This Row],[GroupByKey]])*CountersTable[RecordedValue]))</f>
        <v>9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93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88.466666666666669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9.1490844966279035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42" s="5" cm="1">
        <f t="array" ref="N42">MIN(IF((CountersTable[GroupByKey]=CountersTable[[#This Row],[GroupByKey]]),(CountersTable[GroupByKey]=CountersTable[[#This Row],[GroupByKey]])*CountersTable[RecordedValue]))</f>
        <v>68</v>
      </c>
      <c r="O42" s="5" cm="1">
        <f t="array" ref="O42">MAX(IF((CountersTable[GroupByKey]=CountersTable[[#This Row],[GroupByKey]]),(CountersTable[GroupByKey]=CountersTable[[#This Row],[GroupByKey]])*CountersTable[RecordedValue]))</f>
        <v>107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0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0.7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2.0367316617730884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43" s="5" cm="1">
        <f t="array" ref="N43">MIN(IF((CountersTable[GroupByKey]=CountersTable[[#This Row],[GroupByKey]]),(CountersTable[GroupByKey]=CountersTable[[#This Row],[GroupByKey]])*CountersTable[RecordedValue]))</f>
        <v>0</v>
      </c>
      <c r="O43" s="5" cm="1">
        <f t="array" ref="O43">MAX(IF((CountersTable[GroupByKey]=CountersTable[[#This Row],[GroupByKey]]),(CountersTable[GroupByKey]=CountersTable[[#This Row],[GroupByKey]])*CountersTable[RecordedValue]))</f>
        <v>9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81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88.466666666666669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9.1490844966279035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44" s="5" cm="1">
        <f t="array" ref="N44">MIN(IF((CountersTable[GroupByKey]=CountersTable[[#This Row],[GroupByKey]]),(CountersTable[GroupByKey]=CountersTable[[#This Row],[GroupByKey]])*CountersTable[RecordedValue]))</f>
        <v>68</v>
      </c>
      <c r="O44" s="5" cm="1">
        <f t="array" ref="O44">MAX(IF((CountersTable[GroupByKey]=CountersTable[[#This Row],[GroupByKey]]),(CountersTable[GroupByKey]=CountersTable[[#This Row],[GroupByKey]])*CountersTable[RecordedValue]))</f>
        <v>107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0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0.7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2.0367316617730884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45" s="5" cm="1">
        <f t="array" ref="N45">MIN(IF((CountersTable[GroupByKey]=CountersTable[[#This Row],[GroupByKey]]),(CountersTable[GroupByKey]=CountersTable[[#This Row],[GroupByKey]])*CountersTable[RecordedValue]))</f>
        <v>0</v>
      </c>
      <c r="O45" s="5" cm="1">
        <f t="array" ref="O45">MAX(IF((CountersTable[GroupByKey]=CountersTable[[#This Row],[GroupByKey]]),(CountersTable[GroupByKey]=CountersTable[[#This Row],[GroupByKey]])*CountersTable[RecordedValue]))</f>
        <v>9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92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88.466666666666669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9.1490844966279035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46" s="5" cm="1">
        <f t="array" ref="N46">MIN(IF((CountersTable[GroupByKey]=CountersTable[[#This Row],[GroupByKey]]),(CountersTable[GroupByKey]=CountersTable[[#This Row],[GroupByKey]])*CountersTable[RecordedValue]))</f>
        <v>68</v>
      </c>
      <c r="O46" s="5" cm="1">
        <f t="array" ref="O46">MAX(IF((CountersTable[GroupByKey]=CountersTable[[#This Row],[GroupByKey]]),(CountersTable[GroupByKey]=CountersTable[[#This Row],[GroupByKey]])*CountersTable[RecordedValue]))</f>
        <v>107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1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0.7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2.0367316617730884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47" s="5" cm="1">
        <f t="array" ref="N47">MIN(IF((CountersTable[GroupByKey]=CountersTable[[#This Row],[GroupByKey]]),(CountersTable[GroupByKey]=CountersTable[[#This Row],[GroupByKey]])*CountersTable[RecordedValue]))</f>
        <v>0</v>
      </c>
      <c r="O47" s="5" cm="1">
        <f t="array" ref="O47">MAX(IF((CountersTable[GroupByKey]=CountersTable[[#This Row],[GroupByKey]]),(CountersTable[GroupByKey]=CountersTable[[#This Row],[GroupByKey]])*CountersTable[RecordedValue]))</f>
        <v>9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73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88.466666666666669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9.1490844966279035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48" s="5" cm="1">
        <f t="array" ref="N48">MIN(IF((CountersTable[GroupByKey]=CountersTable[[#This Row],[GroupByKey]]),(CountersTable[GroupByKey]=CountersTable[[#This Row],[GroupByKey]])*CountersTable[RecordedValue]))</f>
        <v>68</v>
      </c>
      <c r="O48" s="5" cm="1">
        <f t="array" ref="O48">MAX(IF((CountersTable[GroupByKey]=CountersTable[[#This Row],[GroupByKey]]),(CountersTable[GroupByKey]=CountersTable[[#This Row],[GroupByKey]])*CountersTable[RecordedValue]))</f>
        <v>107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0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0.7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2.0367316617730884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49" s="5" cm="1">
        <f t="array" ref="N49">MIN(IF((CountersTable[GroupByKey]=CountersTable[[#This Row],[GroupByKey]]),(CountersTable[GroupByKey]=CountersTable[[#This Row],[GroupByKey]])*CountersTable[RecordedValue]))</f>
        <v>0</v>
      </c>
      <c r="O49" s="5" cm="1">
        <f t="array" ref="O49">MAX(IF((CountersTable[GroupByKey]=CountersTable[[#This Row],[GroupByKey]]),(CountersTable[GroupByKey]=CountersTable[[#This Row],[GroupByKey]])*CountersTable[RecordedValue]))</f>
        <v>9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88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88.466666666666669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9.1490844966279035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50" s="5" cm="1">
        <f t="array" ref="N50">MIN(IF((CountersTable[GroupByKey]=CountersTable[[#This Row],[GroupByKey]]),(CountersTable[GroupByKey]=CountersTable[[#This Row],[GroupByKey]])*CountersTable[RecordedValue]))</f>
        <v>68</v>
      </c>
      <c r="O50" s="5" cm="1">
        <f t="array" ref="O50">MAX(IF((CountersTable[GroupByKey]=CountersTable[[#This Row],[GroupByKey]]),(CountersTable[GroupByKey]=CountersTable[[#This Row],[GroupByKey]])*CountersTable[RecordedValue]))</f>
        <v>107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0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0.7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2.0367316617730884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51" s="5" cm="1">
        <f t="array" ref="N51">MIN(IF((CountersTable[GroupByKey]=CountersTable[[#This Row],[GroupByKey]]),(CountersTable[GroupByKey]=CountersTable[[#This Row],[GroupByKey]])*CountersTable[RecordedValue]))</f>
        <v>0</v>
      </c>
      <c r="O51" s="5" cm="1">
        <f t="array" ref="O51">MAX(IF((CountersTable[GroupByKey]=CountersTable[[#This Row],[GroupByKey]]),(CountersTable[GroupByKey]=CountersTable[[#This Row],[GroupByKey]])*CountersTable[RecordedValue]))</f>
        <v>9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80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88.466666666666669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9.1490844966279035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52" s="5" cm="1">
        <f t="array" ref="N52">MIN(IF((CountersTable[GroupByKey]=CountersTable[[#This Row],[GroupByKey]]),(CountersTable[GroupByKey]=CountersTable[[#This Row],[GroupByKey]])*CountersTable[RecordedValue]))</f>
        <v>68</v>
      </c>
      <c r="O52" s="5" cm="1">
        <f t="array" ref="O52">MAX(IF((CountersTable[GroupByKey]=CountersTable[[#This Row],[GroupByKey]]),(CountersTable[GroupByKey]=CountersTable[[#This Row],[GroupByKey]])*CountersTable[RecordedValue]))</f>
        <v>107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0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0.7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2.0367316617730884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53" s="5" cm="1">
        <f t="array" ref="N53">MIN(IF((CountersTable[GroupByKey]=CountersTable[[#This Row],[GroupByKey]]),(CountersTable[GroupByKey]=CountersTable[[#This Row],[GroupByKey]])*CountersTable[RecordedValue]))</f>
        <v>0</v>
      </c>
      <c r="O53" s="5" cm="1">
        <f t="array" ref="O53">MAX(IF((CountersTable[GroupByKey]=CountersTable[[#This Row],[GroupByKey]]),(CountersTable[GroupByKey]=CountersTable[[#This Row],[GroupByKey]])*CountersTable[RecordedValue]))</f>
        <v>9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88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88.466666666666669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9.1490844966279035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54" s="5" cm="1">
        <f t="array" ref="N54">MIN(IF((CountersTable[GroupByKey]=CountersTable[[#This Row],[GroupByKey]]),(CountersTable[GroupByKey]=CountersTable[[#This Row],[GroupByKey]])*CountersTable[RecordedValue]))</f>
        <v>68</v>
      </c>
      <c r="O54" s="5" cm="1">
        <f t="array" ref="O54">MAX(IF((CountersTable[GroupByKey]=CountersTable[[#This Row],[GroupByKey]]),(CountersTable[GroupByKey]=CountersTable[[#This Row],[GroupByKey]])*CountersTable[RecordedValue]))</f>
        <v>107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0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0.7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2.0367316617730884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55" s="5" cm="1">
        <f t="array" ref="N55">MIN(IF((CountersTable[GroupByKey]=CountersTable[[#This Row],[GroupByKey]]),(CountersTable[GroupByKey]=CountersTable[[#This Row],[GroupByKey]])*CountersTable[RecordedValue]))</f>
        <v>0</v>
      </c>
      <c r="O55" s="5" cm="1">
        <f t="array" ref="O55">MAX(IF((CountersTable[GroupByKey]=CountersTable[[#This Row],[GroupByKey]]),(CountersTable[GroupByKey]=CountersTable[[#This Row],[GroupByKey]])*CountersTable[RecordedValue]))</f>
        <v>9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98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88.466666666666669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9.1490844966279035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56" s="5" cm="1">
        <f t="array" ref="N56">MIN(IF((CountersTable[GroupByKey]=CountersTable[[#This Row],[GroupByKey]]),(CountersTable[GroupByKey]=CountersTable[[#This Row],[GroupByKey]])*CountersTable[RecordedValue]))</f>
        <v>68</v>
      </c>
      <c r="O56" s="5" cm="1">
        <f t="array" ref="O56">MAX(IF((CountersTable[GroupByKey]=CountersTable[[#This Row],[GroupByKey]]),(CountersTable[GroupByKey]=CountersTable[[#This Row],[GroupByKey]])*CountersTable[RecordedValue]))</f>
        <v>107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0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0.7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2.0367316617730884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57" s="5" cm="1">
        <f t="array" ref="N57">MIN(IF((CountersTable[GroupByKey]=CountersTable[[#This Row],[GroupByKey]]),(CountersTable[GroupByKey]=CountersTable[[#This Row],[GroupByKey]])*CountersTable[RecordedValue]))</f>
        <v>0</v>
      </c>
      <c r="O57" s="5" cm="1">
        <f t="array" ref="O57">MAX(IF((CountersTable[GroupByKey]=CountersTable[[#This Row],[GroupByKey]]),(CountersTable[GroupByKey]=CountersTable[[#This Row],[GroupByKey]])*CountersTable[RecordedValue]))</f>
        <v>9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89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88.466666666666669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9.1490844966279035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58" s="5" cm="1">
        <f t="array" ref="N58">MIN(IF((CountersTable[GroupByKey]=CountersTable[[#This Row],[GroupByKey]]),(CountersTable[GroupByKey]=CountersTable[[#This Row],[GroupByKey]])*CountersTable[RecordedValue]))</f>
        <v>68</v>
      </c>
      <c r="O58" s="5" cm="1">
        <f t="array" ref="O58">MAX(IF((CountersTable[GroupByKey]=CountersTable[[#This Row],[GroupByKey]]),(CountersTable[GroupByKey]=CountersTable[[#This Row],[GroupByKey]])*CountersTable[RecordedValue]))</f>
        <v>107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0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0.7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2.0367316617730884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59" s="5" cm="1">
        <f t="array" ref="N59">MIN(IF((CountersTable[GroupByKey]=CountersTable[[#This Row],[GroupByKey]]),(CountersTable[GroupByKey]=CountersTable[[#This Row],[GroupByKey]])*CountersTable[RecordedValue]))</f>
        <v>0</v>
      </c>
      <c r="O59" s="5" cm="1">
        <f t="array" ref="O59">MAX(IF((CountersTable[GroupByKey]=CountersTable[[#This Row],[GroupByKey]]),(CountersTable[GroupByKey]=CountersTable[[#This Row],[GroupByKey]])*CountersTable[RecordedValue]))</f>
        <v>9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102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88.466666666666669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9.1490844966279035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3.4163242967592509</v>
      </c>
      <c r="N60" s="5" cm="1">
        <f t="array" ref="N60">MIN(IF((CountersTable[GroupByKey]=CountersTable[[#This Row],[GroupByKey]]),(CountersTable[GroupByKey]=CountersTable[[#This Row],[GroupByKey]])*CountersTable[RecordedValue]))</f>
        <v>68</v>
      </c>
      <c r="O60" s="5" cm="1">
        <f t="array" ref="O60">MAX(IF((CountersTable[GroupByKey]=CountersTable[[#This Row],[GroupByKey]]),(CountersTable[GroupByKey]=CountersTable[[#This Row],[GroupByKey]])*CountersTable[RecordedValue]))</f>
        <v>107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0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0.7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2.0367316617730884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0.76052810143559413</v>
      </c>
      <c r="N61" s="5" cm="1">
        <f t="array" ref="N61">MIN(IF((CountersTable[GroupByKey]=CountersTable[[#This Row],[GroupByKey]]),(CountersTable[GroupByKey]=CountersTable[[#This Row],[GroupByKey]])*CountersTable[RecordedValue]))</f>
        <v>0</v>
      </c>
      <c r="O61" s="5" cm="1">
        <f t="array" ref="O61">MAX(IF((CountersTable[GroupByKey]=CountersTable[[#This Row],[GroupByKey]]),(CountersTable[GroupByKey]=CountersTable[[#This Row],[GroupByKey]])*CountersTable[RecordedValue]))</f>
        <v>9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82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89.4</v>
      </c>
      <c r="L2" cm="1">
        <f t="array" ref="L2">IFERROR(_xlfn.STDEV.S(IF((OutputTable[GroupByKey]=OutputTable[[#This Row],[GroupByKey]]),(OutputTable[GroupByKey]=OutputTable[[#This Row],[GroupByKey]])*OutputTable[RecordedValue])),0)</f>
        <v>8.9619886955580537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2" cm="1">
        <f t="array" ref="O2">MIN(IF((OutputTable[GroupByKey]=OutputTable[[#This Row],[GroupByKey]]),(OutputTable[GroupByKey]=OutputTable[[#This Row],[GroupByKey]])*OutputTable[RecordedValue]))</f>
        <v>71</v>
      </c>
      <c r="P2" cm="1">
        <f t="array" ref="P2">MAX(IF((OutputTable[GroupByKey]=OutputTable[[#This Row],[GroupByKey]]),(OutputTable[GroupByKey]=OutputTable[[#This Row],[GroupByKey]])*OutputTable[RecordedValue]))</f>
        <v>108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81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88.466666666666669</v>
      </c>
      <c r="L3" cm="1">
        <f t="array" ref="L3">IFERROR(_xlfn.STDEV.S(IF((OutputTable[GroupByKey]=OutputTable[[#This Row],[GroupByKey]]),(OutputTable[GroupByKey]=OutputTable[[#This Row],[GroupByKey]])*OutputTable[RecordedValue])),0)</f>
        <v>9.1490844966279035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3" cm="1">
        <f t="array" ref="O3">MIN(IF((OutputTable[GroupByKey]=OutputTable[[#This Row],[GroupByKey]]),(OutputTable[GroupByKey]=OutputTable[[#This Row],[GroupByKey]])*OutputTable[RecordedValue]))</f>
        <v>68</v>
      </c>
      <c r="P3" cm="1">
        <f t="array" ref="P3">MAX(IF((OutputTable[GroupByKey]=OutputTable[[#This Row],[GroupByKey]]),(OutputTable[GroupByKey]=OutputTable[[#This Row],[GroupByKey]])*OutputTable[RecordedValue]))</f>
        <v>107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82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89.4</v>
      </c>
      <c r="L4" cm="1">
        <f t="array" ref="L4">IFERROR(_xlfn.STDEV.S(IF((OutputTable[GroupByKey]=OutputTable[[#This Row],[GroupByKey]]),(OutputTable[GroupByKey]=OutputTable[[#This Row],[GroupByKey]])*OutputTable[RecordedValue])),0)</f>
        <v>8.9619886955580537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4" cm="1">
        <f t="array" ref="O4">MIN(IF((OutputTable[GroupByKey]=OutputTable[[#This Row],[GroupByKey]]),(OutputTable[GroupByKey]=OutputTable[[#This Row],[GroupByKey]])*OutputTable[RecordedValue]))</f>
        <v>71</v>
      </c>
      <c r="P4" cm="1">
        <f t="array" ref="P4">MAX(IF((OutputTable[GroupByKey]=OutputTable[[#This Row],[GroupByKey]]),(OutputTable[GroupByKey]=OutputTable[[#This Row],[GroupByKey]])*OutputTable[RecordedValue]))</f>
        <v>108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0.34810337586844797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0.33974800639003316</v>
      </c>
      <c r="L5" cm="1">
        <f t="array" ref="L5">IFERROR(_xlfn.STDEV.S(IF((OutputTable[GroupByKey]=OutputTable[[#This Row],[GroupByKey]]),(OutputTable[GroupByKey]=OutputTable[[#This Row],[GroupByKey]])*OutputTable[RecordedValue])),0)</f>
        <v>4.9728761309198614E-2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5" cm="1">
        <f t="array" ref="O5">MIN(IF((OutputTable[GroupByKey]=OutputTable[[#This Row],[GroupByKey]]),(OutputTable[GroupByKey]=OutputTable[[#This Row],[GroupByKey]])*OutputTable[RecordedValue]))</f>
        <v>0.248757454721409</v>
      </c>
      <c r="P5" cm="1">
        <f t="array" ref="P5">MAX(IF((OutputTable[GroupByKey]=OutputTable[[#This Row],[GroupByKey]]),(OutputTable[GroupByKey]=OutputTable[[#This Row],[GroupByKey]])*OutputTable[RecordedValue]))</f>
        <v>0.45327220218229702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81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88.466666666666669</v>
      </c>
      <c r="L6" cm="1">
        <f t="array" ref="L6">IFERROR(_xlfn.STDEV.S(IF((OutputTable[GroupByKey]=OutputTable[[#This Row],[GroupByKey]]),(OutputTable[GroupByKey]=OutputTable[[#This Row],[GroupByKey]])*OutputTable[RecordedValue])),0)</f>
        <v>9.1490844966279035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6" cm="1">
        <f t="array" ref="O6">MIN(IF((OutputTable[GroupByKey]=OutputTable[[#This Row],[GroupByKey]]),(OutputTable[GroupByKey]=OutputTable[[#This Row],[GroupByKey]])*OutputTable[RecordedValue]))</f>
        <v>68</v>
      </c>
      <c r="P6" cm="1">
        <f t="array" ref="P6">MAX(IF((OutputTable[GroupByKey]=OutputTable[[#This Row],[GroupByKey]]),(OutputTable[GroupByKey]=OutputTable[[#This Row],[GroupByKey]])*OutputTable[RecordedValue]))</f>
        <v>107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100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89.4</v>
      </c>
      <c r="L7" cm="1">
        <f t="array" ref="L7">IFERROR(_xlfn.STDEV.S(IF((OutputTable[GroupByKey]=OutputTable[[#This Row],[GroupByKey]]),(OutputTable[GroupByKey]=OutputTable[[#This Row],[GroupByKey]])*OutputTable[RecordedValue])),0)</f>
        <v>8.9619886955580537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7" cm="1">
        <f t="array" ref="O7">MIN(IF((OutputTable[GroupByKey]=OutputTable[[#This Row],[GroupByKey]]),(OutputTable[GroupByKey]=OutputTable[[#This Row],[GroupByKey]])*OutputTable[RecordedValue]))</f>
        <v>71</v>
      </c>
      <c r="P7" cm="1">
        <f t="array" ref="P7">MAX(IF((OutputTable[GroupByKey]=OutputTable[[#This Row],[GroupByKey]]),(OutputTable[GroupByKey]=OutputTable[[#This Row],[GroupByKey]])*OutputTable[RecordedValue]))</f>
        <v>108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98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88.466666666666669</v>
      </c>
      <c r="L8" cm="1">
        <f t="array" ref="L8">IFERROR(_xlfn.STDEV.S(IF((OutputTable[GroupByKey]=OutputTable[[#This Row],[GroupByKey]]),(OutputTable[GroupByKey]=OutputTable[[#This Row],[GroupByKey]])*OutputTable[RecordedValue])),0)</f>
        <v>9.1490844966279035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8" cm="1">
        <f t="array" ref="O8">MIN(IF((OutputTable[GroupByKey]=OutputTable[[#This Row],[GroupByKey]]),(OutputTable[GroupByKey]=OutputTable[[#This Row],[GroupByKey]])*OutputTable[RecordedValue]))</f>
        <v>68</v>
      </c>
      <c r="P8" cm="1">
        <f t="array" ref="P8">MAX(IF((OutputTable[GroupByKey]=OutputTable[[#This Row],[GroupByKey]]),(OutputTable[GroupByKey]=OutputTable[[#This Row],[GroupByKey]])*OutputTable[RecordedValue]))</f>
        <v>107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100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89.4</v>
      </c>
      <c r="L9" cm="1">
        <f t="array" ref="L9">IFERROR(_xlfn.STDEV.S(IF((OutputTable[GroupByKey]=OutputTable[[#This Row],[GroupByKey]]),(OutputTable[GroupByKey]=OutputTable[[#This Row],[GroupByKey]])*OutputTable[RecordedValue])),0)</f>
        <v>8.9619886955580537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9" cm="1">
        <f t="array" ref="O9">MIN(IF((OutputTable[GroupByKey]=OutputTable[[#This Row],[GroupByKey]]),(OutputTable[GroupByKey]=OutputTable[[#This Row],[GroupByKey]])*OutputTable[RecordedValue]))</f>
        <v>71</v>
      </c>
      <c r="P9" cm="1">
        <f t="array" ref="P9">MAX(IF((OutputTable[GroupByKey]=OutputTable[[#This Row],[GroupByKey]]),(OutputTable[GroupByKey]=OutputTable[[#This Row],[GroupByKey]])*OutputTable[RecordedValue]))</f>
        <v>108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0.39439353533598198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0.33974800639003316</v>
      </c>
      <c r="L10" cm="1">
        <f t="array" ref="L10">IFERROR(_xlfn.STDEV.S(IF((OutputTable[GroupByKey]=OutputTable[[#This Row],[GroupByKey]]),(OutputTable[GroupByKey]=OutputTable[[#This Row],[GroupByKey]])*OutputTable[RecordedValue])),0)</f>
        <v>4.9728761309198614E-2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10" cm="1">
        <f t="array" ref="O10">MIN(IF((OutputTable[GroupByKey]=OutputTable[[#This Row],[GroupByKey]]),(OutputTable[GroupByKey]=OutputTable[[#This Row],[GroupByKey]])*OutputTable[RecordedValue]))</f>
        <v>0.248757454721409</v>
      </c>
      <c r="P10" cm="1">
        <f t="array" ref="P10">MAX(IF((OutputTable[GroupByKey]=OutputTable[[#This Row],[GroupByKey]]),(OutputTable[GroupByKey]=OutputTable[[#This Row],[GroupByKey]])*OutputTable[RecordedValue]))</f>
        <v>0.45327220218229702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98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88.466666666666669</v>
      </c>
      <c r="L11" cm="1">
        <f t="array" ref="L11">IFERROR(_xlfn.STDEV.S(IF((OutputTable[GroupByKey]=OutputTable[[#This Row],[GroupByKey]]),(OutputTable[GroupByKey]=OutputTable[[#This Row],[GroupByKey]])*OutputTable[RecordedValue])),0)</f>
        <v>9.1490844966279035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1" cm="1">
        <f t="array" ref="O11">MIN(IF((OutputTable[GroupByKey]=OutputTable[[#This Row],[GroupByKey]]),(OutputTable[GroupByKey]=OutputTable[[#This Row],[GroupByKey]])*OutputTable[RecordedValue]))</f>
        <v>68</v>
      </c>
      <c r="P11" cm="1">
        <f t="array" ref="P11">MAX(IF((OutputTable[GroupByKey]=OutputTable[[#This Row],[GroupByKey]]),(OutputTable[GroupByKey]=OutputTable[[#This Row],[GroupByKey]])*OutputTable[RecordedValue]))</f>
        <v>107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108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89.4</v>
      </c>
      <c r="L12" cm="1">
        <f t="array" ref="L12">IFERROR(_xlfn.STDEV.S(IF((OutputTable[GroupByKey]=OutputTable[[#This Row],[GroupByKey]]),(OutputTable[GroupByKey]=OutputTable[[#This Row],[GroupByKey]])*OutputTable[RecordedValue])),0)</f>
        <v>8.9619886955580537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2" cm="1">
        <f t="array" ref="O12">MIN(IF((OutputTable[GroupByKey]=OutputTable[[#This Row],[GroupByKey]]),(OutputTable[GroupByKey]=OutputTable[[#This Row],[GroupByKey]])*OutputTable[RecordedValue]))</f>
        <v>71</v>
      </c>
      <c r="P12" cm="1">
        <f t="array" ref="P12">MAX(IF((OutputTable[GroupByKey]=OutputTable[[#This Row],[GroupByKey]]),(OutputTable[GroupByKey]=OutputTable[[#This Row],[GroupByKey]])*OutputTable[RecordedValue]))</f>
        <v>108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107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88.466666666666669</v>
      </c>
      <c r="L13" cm="1">
        <f t="array" ref="L13">IFERROR(_xlfn.STDEV.S(IF((OutputTable[GroupByKey]=OutputTable[[#This Row],[GroupByKey]]),(OutputTable[GroupByKey]=OutputTable[[#This Row],[GroupByKey]])*OutputTable[RecordedValue])),0)</f>
        <v>9.1490844966279035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3" cm="1">
        <f t="array" ref="O13">MIN(IF((OutputTable[GroupByKey]=OutputTable[[#This Row],[GroupByKey]]),(OutputTable[GroupByKey]=OutputTable[[#This Row],[GroupByKey]])*OutputTable[RecordedValue]))</f>
        <v>68</v>
      </c>
      <c r="P13" cm="1">
        <f t="array" ref="P13">MAX(IF((OutputTable[GroupByKey]=OutputTable[[#This Row],[GroupByKey]]),(OutputTable[GroupByKey]=OutputTable[[#This Row],[GroupByKey]])*OutputTable[RecordedValue]))</f>
        <v>107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108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89.4</v>
      </c>
      <c r="L14" cm="1">
        <f t="array" ref="L14">IFERROR(_xlfn.STDEV.S(IF((OutputTable[GroupByKey]=OutputTable[[#This Row],[GroupByKey]]),(OutputTable[GroupByKey]=OutputTable[[#This Row],[GroupByKey]])*OutputTable[RecordedValue])),0)</f>
        <v>8.9619886955580537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4" cm="1">
        <f t="array" ref="O14">MIN(IF((OutputTable[GroupByKey]=OutputTable[[#This Row],[GroupByKey]]),(OutputTable[GroupByKey]=OutputTable[[#This Row],[GroupByKey]])*OutputTable[RecordedValue]))</f>
        <v>71</v>
      </c>
      <c r="P14" cm="1">
        <f t="array" ref="P14">MAX(IF((OutputTable[GroupByKey]=OutputTable[[#This Row],[GroupByKey]]),(OutputTable[GroupByKey]=OutputTable[[#This Row],[GroupByKey]])*OutputTable[RecordedValue]))</f>
        <v>108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0.42273473243562398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0.33974800639003316</v>
      </c>
      <c r="L15" cm="1">
        <f t="array" ref="L15">IFERROR(_xlfn.STDEV.S(IF((OutputTable[GroupByKey]=OutputTable[[#This Row],[GroupByKey]]),(OutputTable[GroupByKey]=OutputTable[[#This Row],[GroupByKey]])*OutputTable[RecordedValue])),0)</f>
        <v>4.9728761309198614E-2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15" cm="1">
        <f t="array" ref="O15">MIN(IF((OutputTable[GroupByKey]=OutputTable[[#This Row],[GroupByKey]]),(OutputTable[GroupByKey]=OutputTable[[#This Row],[GroupByKey]])*OutputTable[RecordedValue]))</f>
        <v>0.248757454721409</v>
      </c>
      <c r="P15" cm="1">
        <f t="array" ref="P15">MAX(IF((OutputTable[GroupByKey]=OutputTable[[#This Row],[GroupByKey]]),(OutputTable[GroupByKey]=OutputTable[[#This Row],[GroupByKey]])*OutputTable[RecordedValue]))</f>
        <v>0.45327220218229702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107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88.466666666666669</v>
      </c>
      <c r="L16" cm="1">
        <f t="array" ref="L16">IFERROR(_xlfn.STDEV.S(IF((OutputTable[GroupByKey]=OutputTable[[#This Row],[GroupByKey]]),(OutputTable[GroupByKey]=OutputTable[[#This Row],[GroupByKey]])*OutputTable[RecordedValue])),0)</f>
        <v>9.1490844966279035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6" cm="1">
        <f t="array" ref="O16">MIN(IF((OutputTable[GroupByKey]=OutputTable[[#This Row],[GroupByKey]]),(OutputTable[GroupByKey]=OutputTable[[#This Row],[GroupByKey]])*OutputTable[RecordedValue]))</f>
        <v>68</v>
      </c>
      <c r="P16" cm="1">
        <f t="array" ref="P16">MAX(IF((OutputTable[GroupByKey]=OutputTable[[#This Row],[GroupByKey]]),(OutputTable[GroupByKey]=OutputTable[[#This Row],[GroupByKey]])*OutputTable[RecordedValue]))</f>
        <v>107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89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89.4</v>
      </c>
      <c r="L17" cm="1">
        <f t="array" ref="L17">IFERROR(_xlfn.STDEV.S(IF((OutputTable[GroupByKey]=OutputTable[[#This Row],[GroupByKey]]),(OutputTable[GroupByKey]=OutputTable[[#This Row],[GroupByKey]])*OutputTable[RecordedValue])),0)</f>
        <v>8.9619886955580537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7" cm="1">
        <f t="array" ref="O17">MIN(IF((OutputTable[GroupByKey]=OutputTable[[#This Row],[GroupByKey]]),(OutputTable[GroupByKey]=OutputTable[[#This Row],[GroupByKey]])*OutputTable[RecordedValue]))</f>
        <v>71</v>
      </c>
      <c r="P17" cm="1">
        <f t="array" ref="P17">MAX(IF((OutputTable[GroupByKey]=OutputTable[[#This Row],[GroupByKey]]),(OutputTable[GroupByKey]=OutputTable[[#This Row],[GroupByKey]])*OutputTable[RecordedValue]))</f>
        <v>108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89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88.466666666666669</v>
      </c>
      <c r="L18" cm="1">
        <f t="array" ref="L18">IFERROR(_xlfn.STDEV.S(IF((OutputTable[GroupByKey]=OutputTable[[#This Row],[GroupByKey]]),(OutputTable[GroupByKey]=OutputTable[[#This Row],[GroupByKey]])*OutputTable[RecordedValue])),0)</f>
        <v>9.1490844966279035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8" cm="1">
        <f t="array" ref="O18">MIN(IF((OutputTable[GroupByKey]=OutputTable[[#This Row],[GroupByKey]]),(OutputTable[GroupByKey]=OutputTable[[#This Row],[GroupByKey]])*OutputTable[RecordedValue]))</f>
        <v>68</v>
      </c>
      <c r="P18" cm="1">
        <f t="array" ref="P18">MAX(IF((OutputTable[GroupByKey]=OutputTable[[#This Row],[GroupByKey]]),(OutputTable[GroupByKey]=OutputTable[[#This Row],[GroupByKey]])*OutputTable[RecordedValue]))</f>
        <v>107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89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89.4</v>
      </c>
      <c r="L19" cm="1">
        <f t="array" ref="L19">IFERROR(_xlfn.STDEV.S(IF((OutputTable[GroupByKey]=OutputTable[[#This Row],[GroupByKey]]),(OutputTable[GroupByKey]=OutputTable[[#This Row],[GroupByKey]])*OutputTable[RecordedValue])),0)</f>
        <v>8.9619886955580537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9" cm="1">
        <f t="array" ref="O19">MIN(IF((OutputTable[GroupByKey]=OutputTable[[#This Row],[GroupByKey]]),(OutputTable[GroupByKey]=OutputTable[[#This Row],[GroupByKey]])*OutputTable[RecordedValue]))</f>
        <v>71</v>
      </c>
      <c r="P19" cm="1">
        <f t="array" ref="P19">MAX(IF((OutputTable[GroupByKey]=OutputTable[[#This Row],[GroupByKey]]),(OutputTable[GroupByKey]=OutputTable[[#This Row],[GroupByKey]])*OutputTable[RecordedValue]))</f>
        <v>108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0.33349361038490599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0.33974800639003316</v>
      </c>
      <c r="L20" cm="1">
        <f t="array" ref="L20">IFERROR(_xlfn.STDEV.S(IF((OutputTable[GroupByKey]=OutputTable[[#This Row],[GroupByKey]]),(OutputTable[GroupByKey]=OutputTable[[#This Row],[GroupByKey]])*OutputTable[RecordedValue])),0)</f>
        <v>4.9728761309198614E-2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20" cm="1">
        <f t="array" ref="O20">MIN(IF((OutputTable[GroupByKey]=OutputTable[[#This Row],[GroupByKey]]),(OutputTable[GroupByKey]=OutputTable[[#This Row],[GroupByKey]])*OutputTable[RecordedValue]))</f>
        <v>0.248757454721409</v>
      </c>
      <c r="P20" cm="1">
        <f t="array" ref="P20">MAX(IF((OutputTable[GroupByKey]=OutputTable[[#This Row],[GroupByKey]]),(OutputTable[GroupByKey]=OutputTable[[#This Row],[GroupByKey]])*OutputTable[RecordedValue]))</f>
        <v>0.45327220218229702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89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88.466666666666669</v>
      </c>
      <c r="L21" cm="1">
        <f t="array" ref="L21">IFERROR(_xlfn.STDEV.S(IF((OutputTable[GroupByKey]=OutputTable[[#This Row],[GroupByKey]]),(OutputTable[GroupByKey]=OutputTable[[#This Row],[GroupByKey]])*OutputTable[RecordedValue])),0)</f>
        <v>9.1490844966279035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21" cm="1">
        <f t="array" ref="O21">MIN(IF((OutputTable[GroupByKey]=OutputTable[[#This Row],[GroupByKey]]),(OutputTable[GroupByKey]=OutputTable[[#This Row],[GroupByKey]])*OutputTable[RecordedValue]))</f>
        <v>68</v>
      </c>
      <c r="P21" cm="1">
        <f t="array" ref="P21">MAX(IF((OutputTable[GroupByKey]=OutputTable[[#This Row],[GroupByKey]]),(OutputTable[GroupByKey]=OutputTable[[#This Row],[GroupByKey]])*OutputTable[RecordedValue]))</f>
        <v>107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96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89.4</v>
      </c>
      <c r="L22" cm="1">
        <f t="array" ref="L22">IFERROR(_xlfn.STDEV.S(IF((OutputTable[GroupByKey]=OutputTable[[#This Row],[GroupByKey]]),(OutputTable[GroupByKey]=OutputTable[[#This Row],[GroupByKey]])*OutputTable[RecordedValue])),0)</f>
        <v>8.9619886955580537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22" cm="1">
        <f t="array" ref="O22">MIN(IF((OutputTable[GroupByKey]=OutputTable[[#This Row],[GroupByKey]]),(OutputTable[GroupByKey]=OutputTable[[#This Row],[GroupByKey]])*OutputTable[RecordedValue]))</f>
        <v>71</v>
      </c>
      <c r="P22" cm="1">
        <f t="array" ref="P22">MAX(IF((OutputTable[GroupByKey]=OutputTable[[#This Row],[GroupByKey]]),(OutputTable[GroupByKey]=OutputTable[[#This Row],[GroupByKey]])*OutputTable[RecordedValue]))</f>
        <v>108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96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88.466666666666669</v>
      </c>
      <c r="L23" cm="1">
        <f t="array" ref="L23">IFERROR(_xlfn.STDEV.S(IF((OutputTable[GroupByKey]=OutputTable[[#This Row],[GroupByKey]]),(OutputTable[GroupByKey]=OutputTable[[#This Row],[GroupByKey]])*OutputTable[RecordedValue])),0)</f>
        <v>9.1490844966279035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23" cm="1">
        <f t="array" ref="O23">MIN(IF((OutputTable[GroupByKey]=OutputTable[[#This Row],[GroupByKey]]),(OutputTable[GroupByKey]=OutputTable[[#This Row],[GroupByKey]])*OutputTable[RecordedValue]))</f>
        <v>68</v>
      </c>
      <c r="P23" cm="1">
        <f t="array" ref="P23">MAX(IF((OutputTable[GroupByKey]=OutputTable[[#This Row],[GroupByKey]]),(OutputTable[GroupByKey]=OutputTable[[#This Row],[GroupByKey]])*OutputTable[RecordedValue]))</f>
        <v>107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96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89.4</v>
      </c>
      <c r="L24" cm="1">
        <f t="array" ref="L24">IFERROR(_xlfn.STDEV.S(IF((OutputTable[GroupByKey]=OutputTable[[#This Row],[GroupByKey]]),(OutputTable[GroupByKey]=OutputTable[[#This Row],[GroupByKey]])*OutputTable[RecordedValue])),0)</f>
        <v>8.9619886955580537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24" cm="1">
        <f t="array" ref="O24">MIN(IF((OutputTable[GroupByKey]=OutputTable[[#This Row],[GroupByKey]]),(OutputTable[GroupByKey]=OutputTable[[#This Row],[GroupByKey]])*OutputTable[RecordedValue]))</f>
        <v>71</v>
      </c>
      <c r="P24" cm="1">
        <f t="array" ref="P24">MAX(IF((OutputTable[GroupByKey]=OutputTable[[#This Row],[GroupByKey]]),(OutputTable[GroupByKey]=OutputTable[[#This Row],[GroupByKey]])*OutputTable[RecordedValue]))</f>
        <v>108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0.30796496841222198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0.33974800639003316</v>
      </c>
      <c r="L25" cm="1">
        <f t="array" ref="L25">IFERROR(_xlfn.STDEV.S(IF((OutputTable[GroupByKey]=OutputTable[[#This Row],[GroupByKey]]),(OutputTable[GroupByKey]=OutputTable[[#This Row],[GroupByKey]])*OutputTable[RecordedValue])),0)</f>
        <v>4.9728761309198614E-2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25" cm="1">
        <f t="array" ref="O25">MIN(IF((OutputTable[GroupByKey]=OutputTable[[#This Row],[GroupByKey]]),(OutputTable[GroupByKey]=OutputTable[[#This Row],[GroupByKey]])*OutputTable[RecordedValue]))</f>
        <v>0.248757454721409</v>
      </c>
      <c r="P25" cm="1">
        <f t="array" ref="P25">MAX(IF((OutputTable[GroupByKey]=OutputTable[[#This Row],[GroupByKey]]),(OutputTable[GroupByKey]=OutputTable[[#This Row],[GroupByKey]])*OutputTable[RecordedValue]))</f>
        <v>0.45327220218229702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96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88.466666666666669</v>
      </c>
      <c r="L26" cm="1">
        <f t="array" ref="L26">IFERROR(_xlfn.STDEV.S(IF((OutputTable[GroupByKey]=OutputTable[[#This Row],[GroupByKey]]),(OutputTable[GroupByKey]=OutputTable[[#This Row],[GroupByKey]])*OutputTable[RecordedValue])),0)</f>
        <v>9.1490844966279035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26" cm="1">
        <f t="array" ref="O26">MIN(IF((OutputTable[GroupByKey]=OutputTable[[#This Row],[GroupByKey]]),(OutputTable[GroupByKey]=OutputTable[[#This Row],[GroupByKey]])*OutputTable[RecordedValue]))</f>
        <v>68</v>
      </c>
      <c r="P26" cm="1">
        <f t="array" ref="P26">MAX(IF((OutputTable[GroupByKey]=OutputTable[[#This Row],[GroupByKey]]),(OutputTable[GroupByKey]=OutputTable[[#This Row],[GroupByKey]])*OutputTable[RecordedValue]))</f>
        <v>107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96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89.4</v>
      </c>
      <c r="L27" cm="1">
        <f t="array" ref="L27">IFERROR(_xlfn.STDEV.S(IF((OutputTable[GroupByKey]=OutputTable[[#This Row],[GroupByKey]]),(OutputTable[GroupByKey]=OutputTable[[#This Row],[GroupByKey]])*OutputTable[RecordedValue])),0)</f>
        <v>8.9619886955580537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27" cm="1">
        <f t="array" ref="O27">MIN(IF((OutputTable[GroupByKey]=OutputTable[[#This Row],[GroupByKey]]),(OutputTable[GroupByKey]=OutputTable[[#This Row],[GroupByKey]])*OutputTable[RecordedValue]))</f>
        <v>71</v>
      </c>
      <c r="P27" cm="1">
        <f t="array" ref="P27">MAX(IF((OutputTable[GroupByKey]=OutputTable[[#This Row],[GroupByKey]]),(OutputTable[GroupByKey]=OutputTable[[#This Row],[GroupByKey]])*OutputTable[RecordedValue]))</f>
        <v>108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95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88.466666666666669</v>
      </c>
      <c r="L28" cm="1">
        <f t="array" ref="L28">IFERROR(_xlfn.STDEV.S(IF((OutputTable[GroupByKey]=OutputTable[[#This Row],[GroupByKey]]),(OutputTable[GroupByKey]=OutputTable[[#This Row],[GroupByKey]])*OutputTable[RecordedValue])),0)</f>
        <v>9.1490844966279035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28" cm="1">
        <f t="array" ref="O28">MIN(IF((OutputTable[GroupByKey]=OutputTable[[#This Row],[GroupByKey]]),(OutputTable[GroupByKey]=OutputTable[[#This Row],[GroupByKey]])*OutputTable[RecordedValue]))</f>
        <v>68</v>
      </c>
      <c r="P28" cm="1">
        <f t="array" ref="P28">MAX(IF((OutputTable[GroupByKey]=OutputTable[[#This Row],[GroupByKey]]),(OutputTable[GroupByKey]=OutputTable[[#This Row],[GroupByKey]])*OutputTable[RecordedValue]))</f>
        <v>107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96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89.4</v>
      </c>
      <c r="L29" cm="1">
        <f t="array" ref="L29">IFERROR(_xlfn.STDEV.S(IF((OutputTable[GroupByKey]=OutputTable[[#This Row],[GroupByKey]]),(OutputTable[GroupByKey]=OutputTable[[#This Row],[GroupByKey]])*OutputTable[RecordedValue])),0)</f>
        <v>8.9619886955580537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29" cm="1">
        <f t="array" ref="O29">MIN(IF((OutputTable[GroupByKey]=OutputTable[[#This Row],[GroupByKey]]),(OutputTable[GroupByKey]=OutputTable[[#This Row],[GroupByKey]])*OutputTable[RecordedValue]))</f>
        <v>71</v>
      </c>
      <c r="P29" cm="1">
        <f t="array" ref="P29">MAX(IF((OutputTable[GroupByKey]=OutputTable[[#This Row],[GroupByKey]]),(OutputTable[GroupByKey]=OutputTable[[#This Row],[GroupByKey]])*OutputTable[RecordedValue]))</f>
        <v>108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0.38150515211918201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0.33974800639003316</v>
      </c>
      <c r="L30" cm="1">
        <f t="array" ref="L30">IFERROR(_xlfn.STDEV.S(IF((OutputTable[GroupByKey]=OutputTable[[#This Row],[GroupByKey]]),(OutputTable[GroupByKey]=OutputTable[[#This Row],[GroupByKey]])*OutputTable[RecordedValue])),0)</f>
        <v>4.9728761309198614E-2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30" cm="1">
        <f t="array" ref="O30">MIN(IF((OutputTable[GroupByKey]=OutputTable[[#This Row],[GroupByKey]]),(OutputTable[GroupByKey]=OutputTable[[#This Row],[GroupByKey]])*OutputTable[RecordedValue]))</f>
        <v>0.248757454721409</v>
      </c>
      <c r="P30" cm="1">
        <f t="array" ref="P30">MAX(IF((OutputTable[GroupByKey]=OutputTable[[#This Row],[GroupByKey]]),(OutputTable[GroupByKey]=OutputTable[[#This Row],[GroupByKey]])*OutputTable[RecordedValue]))</f>
        <v>0.45327220218229702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95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88.466666666666669</v>
      </c>
      <c r="L31" cm="1">
        <f t="array" ref="L31">IFERROR(_xlfn.STDEV.S(IF((OutputTable[GroupByKey]=OutputTable[[#This Row],[GroupByKey]]),(OutputTable[GroupByKey]=OutputTable[[#This Row],[GroupByKey]])*OutputTable[RecordedValue])),0)</f>
        <v>9.1490844966279035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31" cm="1">
        <f t="array" ref="O31">MIN(IF((OutputTable[GroupByKey]=OutputTable[[#This Row],[GroupByKey]]),(OutputTable[GroupByKey]=OutputTable[[#This Row],[GroupByKey]])*OutputTable[RecordedValue]))</f>
        <v>68</v>
      </c>
      <c r="P31" cm="1">
        <f t="array" ref="P31">MAX(IF((OutputTable[GroupByKey]=OutputTable[[#This Row],[GroupByKey]]),(OutputTable[GroupByKey]=OutputTable[[#This Row],[GroupByKey]])*OutputTable[RecordedValue]))</f>
        <v>107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91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89.4</v>
      </c>
      <c r="L32" cm="1">
        <f t="array" ref="L32">IFERROR(_xlfn.STDEV.S(IF((OutputTable[GroupByKey]=OutputTable[[#This Row],[GroupByKey]]),(OutputTable[GroupByKey]=OutputTable[[#This Row],[GroupByKey]])*OutputTable[RecordedValue])),0)</f>
        <v>8.9619886955580537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32" cm="1">
        <f t="array" ref="O32">MIN(IF((OutputTable[GroupByKey]=OutputTable[[#This Row],[GroupByKey]]),(OutputTable[GroupByKey]=OutputTable[[#This Row],[GroupByKey]])*OutputTable[RecordedValue]))</f>
        <v>71</v>
      </c>
      <c r="P32" cm="1">
        <f t="array" ref="P32">MAX(IF((OutputTable[GroupByKey]=OutputTable[[#This Row],[GroupByKey]]),(OutputTable[GroupByKey]=OutputTable[[#This Row],[GroupByKey]])*OutputTable[RecordedValue]))</f>
        <v>108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90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88.466666666666669</v>
      </c>
      <c r="L33" cm="1">
        <f t="array" ref="L33">IFERROR(_xlfn.STDEV.S(IF((OutputTable[GroupByKey]=OutputTable[[#This Row],[GroupByKey]]),(OutputTable[GroupByKey]=OutputTable[[#This Row],[GroupByKey]])*OutputTable[RecordedValue])),0)</f>
        <v>9.1490844966279035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33" cm="1">
        <f t="array" ref="O33">MIN(IF((OutputTable[GroupByKey]=OutputTable[[#This Row],[GroupByKey]]),(OutputTable[GroupByKey]=OutputTable[[#This Row],[GroupByKey]])*OutputTable[RecordedValue]))</f>
        <v>68</v>
      </c>
      <c r="P33" cm="1">
        <f t="array" ref="P33">MAX(IF((OutputTable[GroupByKey]=OutputTable[[#This Row],[GroupByKey]]),(OutputTable[GroupByKey]=OutputTable[[#This Row],[GroupByKey]])*OutputTable[RecordedValue]))</f>
        <v>107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91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89.4</v>
      </c>
      <c r="L34" cm="1">
        <f t="array" ref="L34">IFERROR(_xlfn.STDEV.S(IF((OutputTable[GroupByKey]=OutputTable[[#This Row],[GroupByKey]]),(OutputTable[GroupByKey]=OutputTable[[#This Row],[GroupByKey]])*OutputTable[RecordedValue])),0)</f>
        <v>8.9619886955580537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34" cm="1">
        <f t="array" ref="O34">MIN(IF((OutputTable[GroupByKey]=OutputTable[[#This Row],[GroupByKey]]),(OutputTable[GroupByKey]=OutputTable[[#This Row],[GroupByKey]])*OutputTable[RecordedValue]))</f>
        <v>71</v>
      </c>
      <c r="P34" cm="1">
        <f t="array" ref="P34">MAX(IF((OutputTable[GroupByKey]=OutputTable[[#This Row],[GroupByKey]]),(OutputTable[GroupByKey]=OutputTable[[#This Row],[GroupByKey]])*OutputTable[RecordedValue]))</f>
        <v>108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0.38259165535883299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0.33974800639003316</v>
      </c>
      <c r="L35" cm="1">
        <f t="array" ref="L35">IFERROR(_xlfn.STDEV.S(IF((OutputTable[GroupByKey]=OutputTable[[#This Row],[GroupByKey]]),(OutputTable[GroupByKey]=OutputTable[[#This Row],[GroupByKey]])*OutputTable[RecordedValue])),0)</f>
        <v>4.9728761309198614E-2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35" cm="1">
        <f t="array" ref="O35">MIN(IF((OutputTable[GroupByKey]=OutputTable[[#This Row],[GroupByKey]]),(OutputTable[GroupByKey]=OutputTable[[#This Row],[GroupByKey]])*OutputTable[RecordedValue]))</f>
        <v>0.248757454721409</v>
      </c>
      <c r="P35" cm="1">
        <f t="array" ref="P35">MAX(IF((OutputTable[GroupByKey]=OutputTable[[#This Row],[GroupByKey]]),(OutputTable[GroupByKey]=OutputTable[[#This Row],[GroupByKey]])*OutputTable[RecordedValue]))</f>
        <v>0.45327220218229702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90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88.466666666666669</v>
      </c>
      <c r="L36" cm="1">
        <f t="array" ref="L36">IFERROR(_xlfn.STDEV.S(IF((OutputTable[GroupByKey]=OutputTable[[#This Row],[GroupByKey]]),(OutputTable[GroupByKey]=OutputTable[[#This Row],[GroupByKey]])*OutputTable[RecordedValue])),0)</f>
        <v>9.1490844966279035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36" cm="1">
        <f t="array" ref="O36">MIN(IF((OutputTable[GroupByKey]=OutputTable[[#This Row],[GroupByKey]]),(OutputTable[GroupByKey]=OutputTable[[#This Row],[GroupByKey]])*OutputTable[RecordedValue]))</f>
        <v>68</v>
      </c>
      <c r="P36" cm="1">
        <f t="array" ref="P36">MAX(IF((OutputTable[GroupByKey]=OutputTable[[#This Row],[GroupByKey]]),(OutputTable[GroupByKey]=OutputTable[[#This Row],[GroupByKey]])*OutputTable[RecordedValue]))</f>
        <v>107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72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89.4</v>
      </c>
      <c r="L37" cm="1">
        <f t="array" ref="L37">IFERROR(_xlfn.STDEV.S(IF((OutputTable[GroupByKey]=OutputTable[[#This Row],[GroupByKey]]),(OutputTable[GroupByKey]=OutputTable[[#This Row],[GroupByKey]])*OutputTable[RecordedValue])),0)</f>
        <v>8.9619886955580537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37" cm="1">
        <f t="array" ref="O37">MIN(IF((OutputTable[GroupByKey]=OutputTable[[#This Row],[GroupByKey]]),(OutputTable[GroupByKey]=OutputTable[[#This Row],[GroupByKey]])*OutputTable[RecordedValue]))</f>
        <v>71</v>
      </c>
      <c r="P37" cm="1">
        <f t="array" ref="P37">MAX(IF((OutputTable[GroupByKey]=OutputTable[[#This Row],[GroupByKey]]),(OutputTable[GroupByKey]=OutputTable[[#This Row],[GroupByKey]])*OutputTable[RecordedValue]))</f>
        <v>108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72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88.466666666666669</v>
      </c>
      <c r="L38" cm="1">
        <f t="array" ref="L38">IFERROR(_xlfn.STDEV.S(IF((OutputTable[GroupByKey]=OutputTable[[#This Row],[GroupByKey]]),(OutputTable[GroupByKey]=OutputTable[[#This Row],[GroupByKey]])*OutputTable[RecordedValue])),0)</f>
        <v>9.1490844966279035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38" cm="1">
        <f t="array" ref="O38">MIN(IF((OutputTable[GroupByKey]=OutputTable[[#This Row],[GroupByKey]]),(OutputTable[GroupByKey]=OutputTable[[#This Row],[GroupByKey]])*OutputTable[RecordedValue]))</f>
        <v>68</v>
      </c>
      <c r="P38" cm="1">
        <f t="array" ref="P38">MAX(IF((OutputTable[GroupByKey]=OutputTable[[#This Row],[GroupByKey]]),(OutputTable[GroupByKey]=OutputTable[[#This Row],[GroupByKey]])*OutputTable[RecordedValue]))</f>
        <v>107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72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89.4</v>
      </c>
      <c r="L39" cm="1">
        <f t="array" ref="L39">IFERROR(_xlfn.STDEV.S(IF((OutputTable[GroupByKey]=OutputTable[[#This Row],[GroupByKey]]),(OutputTable[GroupByKey]=OutputTable[[#This Row],[GroupByKey]])*OutputTable[RecordedValue])),0)</f>
        <v>8.9619886955580537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39" cm="1">
        <f t="array" ref="O39">MIN(IF((OutputTable[GroupByKey]=OutputTable[[#This Row],[GroupByKey]]),(OutputTable[GroupByKey]=OutputTable[[#This Row],[GroupByKey]])*OutputTable[RecordedValue]))</f>
        <v>71</v>
      </c>
      <c r="P39" cm="1">
        <f t="array" ref="P39">MAX(IF((OutputTable[GroupByKey]=OutputTable[[#This Row],[GroupByKey]]),(OutputTable[GroupByKey]=OutputTable[[#This Row],[GroupByKey]])*OutputTable[RecordedValue]))</f>
        <v>108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0.31170579308282897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0.33974800639003316</v>
      </c>
      <c r="L40" cm="1">
        <f t="array" ref="L40">IFERROR(_xlfn.STDEV.S(IF((OutputTable[GroupByKey]=OutputTable[[#This Row],[GroupByKey]]),(OutputTable[GroupByKey]=OutputTable[[#This Row],[GroupByKey]])*OutputTable[RecordedValue])),0)</f>
        <v>4.9728761309198614E-2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40" cm="1">
        <f t="array" ref="O40">MIN(IF((OutputTable[GroupByKey]=OutputTable[[#This Row],[GroupByKey]]),(OutputTable[GroupByKey]=OutputTable[[#This Row],[GroupByKey]])*OutputTable[RecordedValue]))</f>
        <v>0.248757454721409</v>
      </c>
      <c r="P40" cm="1">
        <f t="array" ref="P40">MAX(IF((OutputTable[GroupByKey]=OutputTable[[#This Row],[GroupByKey]]),(OutputTable[GroupByKey]=OutputTable[[#This Row],[GroupByKey]])*OutputTable[RecordedValue]))</f>
        <v>0.45327220218229702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72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88.466666666666669</v>
      </c>
      <c r="L41" cm="1">
        <f t="array" ref="L41">IFERROR(_xlfn.STDEV.S(IF((OutputTable[GroupByKey]=OutputTable[[#This Row],[GroupByKey]]),(OutputTable[GroupByKey]=OutputTable[[#This Row],[GroupByKey]])*OutputTable[RecordedValue])),0)</f>
        <v>9.1490844966279035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41" cm="1">
        <f t="array" ref="O41">MIN(IF((OutputTable[GroupByKey]=OutputTable[[#This Row],[GroupByKey]]),(OutputTable[GroupByKey]=OutputTable[[#This Row],[GroupByKey]])*OutputTable[RecordedValue]))</f>
        <v>68</v>
      </c>
      <c r="P41" cm="1">
        <f t="array" ref="P41">MAX(IF((OutputTable[GroupByKey]=OutputTable[[#This Row],[GroupByKey]]),(OutputTable[GroupByKey]=OutputTable[[#This Row],[GroupByKey]])*OutputTable[RecordedValue]))</f>
        <v>107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87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89.4</v>
      </c>
      <c r="L42" cm="1">
        <f t="array" ref="L42">IFERROR(_xlfn.STDEV.S(IF((OutputTable[GroupByKey]=OutputTable[[#This Row],[GroupByKey]]),(OutputTable[GroupByKey]=OutputTable[[#This Row],[GroupByKey]])*OutputTable[RecordedValue])),0)</f>
        <v>8.9619886955580537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42" cm="1">
        <f t="array" ref="O42">MIN(IF((OutputTable[GroupByKey]=OutputTable[[#This Row],[GroupByKey]]),(OutputTable[GroupByKey]=OutputTable[[#This Row],[GroupByKey]])*OutputTable[RecordedValue]))</f>
        <v>71</v>
      </c>
      <c r="P42" cm="1">
        <f t="array" ref="P42">MAX(IF((OutputTable[GroupByKey]=OutputTable[[#This Row],[GroupByKey]]),(OutputTable[GroupByKey]=OutputTable[[#This Row],[GroupByKey]])*OutputTable[RecordedValue]))</f>
        <v>108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85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88.466666666666669</v>
      </c>
      <c r="L43" cm="1">
        <f t="array" ref="L43">IFERROR(_xlfn.STDEV.S(IF((OutputTable[GroupByKey]=OutputTable[[#This Row],[GroupByKey]]),(OutputTable[GroupByKey]=OutputTable[[#This Row],[GroupByKey]])*OutputTable[RecordedValue])),0)</f>
        <v>9.1490844966279035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43" cm="1">
        <f t="array" ref="O43">MIN(IF((OutputTable[GroupByKey]=OutputTable[[#This Row],[GroupByKey]]),(OutputTable[GroupByKey]=OutputTable[[#This Row],[GroupByKey]])*OutputTable[RecordedValue]))</f>
        <v>68</v>
      </c>
      <c r="P43" cm="1">
        <f t="array" ref="P43">MAX(IF((OutputTable[GroupByKey]=OutputTable[[#This Row],[GroupByKey]]),(OutputTable[GroupByKey]=OutputTable[[#This Row],[GroupByKey]])*OutputTable[RecordedValue]))</f>
        <v>107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87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89.4</v>
      </c>
      <c r="L44" cm="1">
        <f t="array" ref="L44">IFERROR(_xlfn.STDEV.S(IF((OutputTable[GroupByKey]=OutputTable[[#This Row],[GroupByKey]]),(OutputTable[GroupByKey]=OutputTable[[#This Row],[GroupByKey]])*OutputTable[RecordedValue])),0)</f>
        <v>8.9619886955580537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44" cm="1">
        <f t="array" ref="O44">MIN(IF((OutputTable[GroupByKey]=OutputTable[[#This Row],[GroupByKey]]),(OutputTable[GroupByKey]=OutputTable[[#This Row],[GroupByKey]])*OutputTable[RecordedValue]))</f>
        <v>71</v>
      </c>
      <c r="P44" cm="1">
        <f t="array" ref="P44">MAX(IF((OutputTable[GroupByKey]=OutputTable[[#This Row],[GroupByKey]]),(OutputTable[GroupByKey]=OutputTable[[#This Row],[GroupByKey]])*OutputTable[RecordedValue]))</f>
        <v>108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0.29580691344465998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0.33974800639003316</v>
      </c>
      <c r="L45" cm="1">
        <f t="array" ref="L45">IFERROR(_xlfn.STDEV.S(IF((OutputTable[GroupByKey]=OutputTable[[#This Row],[GroupByKey]]),(OutputTable[GroupByKey]=OutputTable[[#This Row],[GroupByKey]])*OutputTable[RecordedValue])),0)</f>
        <v>4.9728761309198614E-2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45" cm="1">
        <f t="array" ref="O45">MIN(IF((OutputTable[GroupByKey]=OutputTable[[#This Row],[GroupByKey]]),(OutputTable[GroupByKey]=OutputTable[[#This Row],[GroupByKey]])*OutputTable[RecordedValue]))</f>
        <v>0.248757454721409</v>
      </c>
      <c r="P45" cm="1">
        <f t="array" ref="P45">MAX(IF((OutputTable[GroupByKey]=OutputTable[[#This Row],[GroupByKey]]),(OutputTable[GroupByKey]=OutputTable[[#This Row],[GroupByKey]])*OutputTable[RecordedValue]))</f>
        <v>0.45327220218229702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85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88.466666666666669</v>
      </c>
      <c r="L46" cm="1">
        <f t="array" ref="L46">IFERROR(_xlfn.STDEV.S(IF((OutputTable[GroupByKey]=OutputTable[[#This Row],[GroupByKey]]),(OutputTable[GroupByKey]=OutputTable[[#This Row],[GroupByKey]])*OutputTable[RecordedValue])),0)</f>
        <v>9.1490844966279035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46" cm="1">
        <f t="array" ref="O46">MIN(IF((OutputTable[GroupByKey]=OutputTable[[#This Row],[GroupByKey]]),(OutputTable[GroupByKey]=OutputTable[[#This Row],[GroupByKey]])*OutputTable[RecordedValue]))</f>
        <v>68</v>
      </c>
      <c r="P46" cm="1">
        <f t="array" ref="P46">MAX(IF((OutputTable[GroupByKey]=OutputTable[[#This Row],[GroupByKey]]),(OutputTable[GroupByKey]=OutputTable[[#This Row],[GroupByKey]])*OutputTable[RecordedValue]))</f>
        <v>107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83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89.4</v>
      </c>
      <c r="L47" cm="1">
        <f t="array" ref="L47">IFERROR(_xlfn.STDEV.S(IF((OutputTable[GroupByKey]=OutputTable[[#This Row],[GroupByKey]]),(OutputTable[GroupByKey]=OutputTable[[#This Row],[GroupByKey]])*OutputTable[RecordedValue])),0)</f>
        <v>8.9619886955580537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47" cm="1">
        <f t="array" ref="O47">MIN(IF((OutputTable[GroupByKey]=OutputTable[[#This Row],[GroupByKey]]),(OutputTable[GroupByKey]=OutputTable[[#This Row],[GroupByKey]])*OutputTable[RecordedValue]))</f>
        <v>71</v>
      </c>
      <c r="P47" cm="1">
        <f t="array" ref="P47">MAX(IF((OutputTable[GroupByKey]=OutputTable[[#This Row],[GroupByKey]]),(OutputTable[GroupByKey]=OutputTable[[#This Row],[GroupByKey]])*OutputTable[RecordedValue]))</f>
        <v>108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81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88.466666666666669</v>
      </c>
      <c r="L48" cm="1">
        <f t="array" ref="L48">IFERROR(_xlfn.STDEV.S(IF((OutputTable[GroupByKey]=OutputTable[[#This Row],[GroupByKey]]),(OutputTable[GroupByKey]=OutputTable[[#This Row],[GroupByKey]])*OutputTable[RecordedValue])),0)</f>
        <v>9.1490844966279035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48" cm="1">
        <f t="array" ref="O48">MIN(IF((OutputTable[GroupByKey]=OutputTable[[#This Row],[GroupByKey]]),(OutputTable[GroupByKey]=OutputTable[[#This Row],[GroupByKey]])*OutputTable[RecordedValue]))</f>
        <v>68</v>
      </c>
      <c r="P48" cm="1">
        <f t="array" ref="P48">MAX(IF((OutputTable[GroupByKey]=OutputTable[[#This Row],[GroupByKey]]),(OutputTable[GroupByKey]=OutputTable[[#This Row],[GroupByKey]])*OutputTable[RecordedValue]))</f>
        <v>107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83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89.4</v>
      </c>
      <c r="L49" cm="1">
        <f t="array" ref="L49">IFERROR(_xlfn.STDEV.S(IF((OutputTable[GroupByKey]=OutputTable[[#This Row],[GroupByKey]]),(OutputTable[GroupByKey]=OutputTable[[#This Row],[GroupByKey]])*OutputTable[RecordedValue])),0)</f>
        <v>8.9619886955580537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49" cm="1">
        <f t="array" ref="O49">MIN(IF((OutputTable[GroupByKey]=OutputTable[[#This Row],[GroupByKey]]),(OutputTable[GroupByKey]=OutputTable[[#This Row],[GroupByKey]])*OutputTable[RecordedValue]))</f>
        <v>71</v>
      </c>
      <c r="P49" cm="1">
        <f t="array" ref="P49">MAX(IF((OutputTable[GroupByKey]=OutputTable[[#This Row],[GroupByKey]]),(OutputTable[GroupByKey]=OutputTable[[#This Row],[GroupByKey]])*OutputTable[RecordedValue]))</f>
        <v>108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0.25603561267972003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0.33974800639003316</v>
      </c>
      <c r="L50" cm="1">
        <f t="array" ref="L50">IFERROR(_xlfn.STDEV.S(IF((OutputTable[GroupByKey]=OutputTable[[#This Row],[GroupByKey]]),(OutputTable[GroupByKey]=OutputTable[[#This Row],[GroupByKey]])*OutputTable[RecordedValue])),0)</f>
        <v>4.9728761309198614E-2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50" cm="1">
        <f t="array" ref="O50">MIN(IF((OutputTable[GroupByKey]=OutputTable[[#This Row],[GroupByKey]]),(OutputTable[GroupByKey]=OutputTable[[#This Row],[GroupByKey]])*OutputTable[RecordedValue]))</f>
        <v>0.248757454721409</v>
      </c>
      <c r="P50" cm="1">
        <f t="array" ref="P50">MAX(IF((OutputTable[GroupByKey]=OutputTable[[#This Row],[GroupByKey]]),(OutputTable[GroupByKey]=OutputTable[[#This Row],[GroupByKey]])*OutputTable[RecordedValue]))</f>
        <v>0.45327220218229702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81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88.466666666666669</v>
      </c>
      <c r="L51" cm="1">
        <f t="array" ref="L51">IFERROR(_xlfn.STDEV.S(IF((OutputTable[GroupByKey]=OutputTable[[#This Row],[GroupByKey]]),(OutputTable[GroupByKey]=OutputTable[[#This Row],[GroupByKey]])*OutputTable[RecordedValue])),0)</f>
        <v>9.1490844966279035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51" cm="1">
        <f t="array" ref="O51">MIN(IF((OutputTable[GroupByKey]=OutputTable[[#This Row],[GroupByKey]]),(OutputTable[GroupByKey]=OutputTable[[#This Row],[GroupByKey]])*OutputTable[RecordedValue]))</f>
        <v>68</v>
      </c>
      <c r="P51" cm="1">
        <f t="array" ref="P51">MAX(IF((OutputTable[GroupByKey]=OutputTable[[#This Row],[GroupByKey]]),(OutputTable[GroupByKey]=OutputTable[[#This Row],[GroupByKey]])*OutputTable[RecordedValue]))</f>
        <v>107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95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89.4</v>
      </c>
      <c r="L52" cm="1">
        <f t="array" ref="L52">IFERROR(_xlfn.STDEV.S(IF((OutputTable[GroupByKey]=OutputTable[[#This Row],[GroupByKey]]),(OutputTable[GroupByKey]=OutputTable[[#This Row],[GroupByKey]])*OutputTable[RecordedValue])),0)</f>
        <v>8.9619886955580537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52" cm="1">
        <f t="array" ref="O52">MIN(IF((OutputTable[GroupByKey]=OutputTable[[#This Row],[GroupByKey]]),(OutputTable[GroupByKey]=OutputTable[[#This Row],[GroupByKey]])*OutputTable[RecordedValue]))</f>
        <v>71</v>
      </c>
      <c r="P52" cm="1">
        <f t="array" ref="P52">MAX(IF((OutputTable[GroupByKey]=OutputTable[[#This Row],[GroupByKey]]),(OutputTable[GroupByKey]=OutputTable[[#This Row],[GroupByKey]])*OutputTable[RecordedValue]))</f>
        <v>108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95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88.466666666666669</v>
      </c>
      <c r="L53" cm="1">
        <f t="array" ref="L53">IFERROR(_xlfn.STDEV.S(IF((OutputTable[GroupByKey]=OutputTable[[#This Row],[GroupByKey]]),(OutputTable[GroupByKey]=OutputTable[[#This Row],[GroupByKey]])*OutputTable[RecordedValue])),0)</f>
        <v>9.1490844966279035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53" cm="1">
        <f t="array" ref="O53">MIN(IF((OutputTable[GroupByKey]=OutputTable[[#This Row],[GroupByKey]]),(OutputTable[GroupByKey]=OutputTable[[#This Row],[GroupByKey]])*OutputTable[RecordedValue]))</f>
        <v>68</v>
      </c>
      <c r="P53" cm="1">
        <f t="array" ref="P53">MAX(IF((OutputTable[GroupByKey]=OutputTable[[#This Row],[GroupByKey]]),(OutputTable[GroupByKey]=OutputTable[[#This Row],[GroupByKey]])*OutputTable[RecordedValue]))</f>
        <v>107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95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89.4</v>
      </c>
      <c r="L54" cm="1">
        <f t="array" ref="L54">IFERROR(_xlfn.STDEV.S(IF((OutputTable[GroupByKey]=OutputTable[[#This Row],[GroupByKey]]),(OutputTable[GroupByKey]=OutputTable[[#This Row],[GroupByKey]])*OutputTable[RecordedValue])),0)</f>
        <v>8.9619886955580537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54" cm="1">
        <f t="array" ref="O54">MIN(IF((OutputTable[GroupByKey]=OutputTable[[#This Row],[GroupByKey]]),(OutputTable[GroupByKey]=OutputTable[[#This Row],[GroupByKey]])*OutputTable[RecordedValue]))</f>
        <v>71</v>
      </c>
      <c r="P54" cm="1">
        <f t="array" ref="P54">MAX(IF((OutputTable[GroupByKey]=OutputTable[[#This Row],[GroupByKey]]),(OutputTable[GroupByKey]=OutputTable[[#This Row],[GroupByKey]])*OutputTable[RecordedValue]))</f>
        <v>108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0.33362490082323798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0.33974800639003316</v>
      </c>
      <c r="L55" cm="1">
        <f t="array" ref="L55">IFERROR(_xlfn.STDEV.S(IF((OutputTable[GroupByKey]=OutputTable[[#This Row],[GroupByKey]]),(OutputTable[GroupByKey]=OutputTable[[#This Row],[GroupByKey]])*OutputTable[RecordedValue])),0)</f>
        <v>4.9728761309198614E-2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55" cm="1">
        <f t="array" ref="O55">MIN(IF((OutputTable[GroupByKey]=OutputTable[[#This Row],[GroupByKey]]),(OutputTable[GroupByKey]=OutputTable[[#This Row],[GroupByKey]])*OutputTable[RecordedValue]))</f>
        <v>0.248757454721409</v>
      </c>
      <c r="P55" cm="1">
        <f t="array" ref="P55">MAX(IF((OutputTable[GroupByKey]=OutputTable[[#This Row],[GroupByKey]]),(OutputTable[GroupByKey]=OutputTable[[#This Row],[GroupByKey]])*OutputTable[RecordedValue]))</f>
        <v>0.45327220218229702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95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88.466666666666669</v>
      </c>
      <c r="L56" cm="1">
        <f t="array" ref="L56">IFERROR(_xlfn.STDEV.S(IF((OutputTable[GroupByKey]=OutputTable[[#This Row],[GroupByKey]]),(OutputTable[GroupByKey]=OutputTable[[#This Row],[GroupByKey]])*OutputTable[RecordedValue])),0)</f>
        <v>9.1490844966279035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56" cm="1">
        <f t="array" ref="O56">MIN(IF((OutputTable[GroupByKey]=OutputTable[[#This Row],[GroupByKey]]),(OutputTable[GroupByKey]=OutputTable[[#This Row],[GroupByKey]])*OutputTable[RecordedValue]))</f>
        <v>68</v>
      </c>
      <c r="P56" cm="1">
        <f t="array" ref="P56">MAX(IF((OutputTable[GroupByKey]=OutputTable[[#This Row],[GroupByKey]]),(OutputTable[GroupByKey]=OutputTable[[#This Row],[GroupByKey]])*OutputTable[RecordedValue]))</f>
        <v>107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82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89.4</v>
      </c>
      <c r="L57" cm="1">
        <f t="array" ref="L57">IFERROR(_xlfn.STDEV.S(IF((OutputTable[GroupByKey]=OutputTable[[#This Row],[GroupByKey]]),(OutputTable[GroupByKey]=OutputTable[[#This Row],[GroupByKey]])*OutputTable[RecordedValue])),0)</f>
        <v>8.9619886955580537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57" cm="1">
        <f t="array" ref="O57">MIN(IF((OutputTable[GroupByKey]=OutputTable[[#This Row],[GroupByKey]]),(OutputTable[GroupByKey]=OutputTable[[#This Row],[GroupByKey]])*OutputTable[RecordedValue]))</f>
        <v>71</v>
      </c>
      <c r="P57" cm="1">
        <f t="array" ref="P57">MAX(IF((OutputTable[GroupByKey]=OutputTable[[#This Row],[GroupByKey]]),(OutputTable[GroupByKey]=OutputTable[[#This Row],[GroupByKey]])*OutputTable[RecordedValue]))</f>
        <v>108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80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88.466666666666669</v>
      </c>
      <c r="L58" cm="1">
        <f t="array" ref="L58">IFERROR(_xlfn.STDEV.S(IF((OutputTable[GroupByKey]=OutputTable[[#This Row],[GroupByKey]]),(OutputTable[GroupByKey]=OutputTable[[#This Row],[GroupByKey]])*OutputTable[RecordedValue])),0)</f>
        <v>9.1490844966279035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58" cm="1">
        <f t="array" ref="O58">MIN(IF((OutputTable[GroupByKey]=OutputTable[[#This Row],[GroupByKey]]),(OutputTable[GroupByKey]=OutputTable[[#This Row],[GroupByKey]])*OutputTable[RecordedValue]))</f>
        <v>68</v>
      </c>
      <c r="P58" cm="1">
        <f t="array" ref="P58">MAX(IF((OutputTable[GroupByKey]=OutputTable[[#This Row],[GroupByKey]]),(OutputTable[GroupByKey]=OutputTable[[#This Row],[GroupByKey]])*OutputTable[RecordedValue]))</f>
        <v>107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82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89.4</v>
      </c>
      <c r="L59" cm="1">
        <f t="array" ref="L59">IFERROR(_xlfn.STDEV.S(IF((OutputTable[GroupByKey]=OutputTable[[#This Row],[GroupByKey]]),(OutputTable[GroupByKey]=OutputTable[[#This Row],[GroupByKey]])*OutputTable[RecordedValue])),0)</f>
        <v>8.9619886955580537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59" cm="1">
        <f t="array" ref="O59">MIN(IF((OutputTable[GroupByKey]=OutputTable[[#This Row],[GroupByKey]]),(OutputTable[GroupByKey]=OutputTable[[#This Row],[GroupByKey]])*OutputTable[RecordedValue]))</f>
        <v>71</v>
      </c>
      <c r="P59" cm="1">
        <f t="array" ref="P59">MAX(IF((OutputTable[GroupByKey]=OutputTable[[#This Row],[GroupByKey]]),(OutputTable[GroupByKey]=OutputTable[[#This Row],[GroupByKey]])*OutputTable[RecordedValue]))</f>
        <v>108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0.30601631145157698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0.33974800639003316</v>
      </c>
      <c r="L60" cm="1">
        <f t="array" ref="L60">IFERROR(_xlfn.STDEV.S(IF((OutputTable[GroupByKey]=OutputTable[[#This Row],[GroupByKey]]),(OutputTable[GroupByKey]=OutputTable[[#This Row],[GroupByKey]])*OutputTable[RecordedValue])),0)</f>
        <v>4.9728761309198614E-2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60" cm="1">
        <f t="array" ref="O60">MIN(IF((OutputTable[GroupByKey]=OutputTable[[#This Row],[GroupByKey]]),(OutputTable[GroupByKey]=OutputTable[[#This Row],[GroupByKey]])*OutputTable[RecordedValue]))</f>
        <v>0.248757454721409</v>
      </c>
      <c r="P60" cm="1">
        <f t="array" ref="P60">MAX(IF((OutputTable[GroupByKey]=OutputTable[[#This Row],[GroupByKey]]),(OutputTable[GroupByKey]=OutputTable[[#This Row],[GroupByKey]])*OutputTable[RecordedValue]))</f>
        <v>0.45327220218229702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80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88.466666666666669</v>
      </c>
      <c r="L61" cm="1">
        <f t="array" ref="L61">IFERROR(_xlfn.STDEV.S(IF((OutputTable[GroupByKey]=OutputTable[[#This Row],[GroupByKey]]),(OutputTable[GroupByKey]=OutputTable[[#This Row],[GroupByKey]])*OutputTable[RecordedValue])),0)</f>
        <v>9.1490844966279035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61" cm="1">
        <f t="array" ref="O61">MIN(IF((OutputTable[GroupByKey]=OutputTable[[#This Row],[GroupByKey]]),(OutputTable[GroupByKey]=OutputTable[[#This Row],[GroupByKey]])*OutputTable[RecordedValue]))</f>
        <v>68</v>
      </c>
      <c r="P61" cm="1">
        <f t="array" ref="P61">MAX(IF((OutputTable[GroupByKey]=OutputTable[[#This Row],[GroupByKey]]),(OutputTable[GroupByKey]=OutputTable[[#This Row],[GroupByKey]])*OutputTable[RecordedValue]))</f>
        <v>107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92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89.4</v>
      </c>
      <c r="L62" cm="1">
        <f t="array" ref="L62">IFERROR(_xlfn.STDEV.S(IF((OutputTable[GroupByKey]=OutputTable[[#This Row],[GroupByKey]]),(OutputTable[GroupByKey]=OutputTable[[#This Row],[GroupByKey]])*OutputTable[RecordedValue])),0)</f>
        <v>8.9619886955580537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62" cm="1">
        <f t="array" ref="O62">MIN(IF((OutputTable[GroupByKey]=OutputTable[[#This Row],[GroupByKey]]),(OutputTable[GroupByKey]=OutputTable[[#This Row],[GroupByKey]])*OutputTable[RecordedValue]))</f>
        <v>71</v>
      </c>
      <c r="P62" cm="1">
        <f t="array" ref="P62">MAX(IF((OutputTable[GroupByKey]=OutputTable[[#This Row],[GroupByKey]]),(OutputTable[GroupByKey]=OutputTable[[#This Row],[GroupByKey]])*OutputTable[RecordedValue]))</f>
        <v>108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92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88.466666666666669</v>
      </c>
      <c r="L63" cm="1">
        <f t="array" ref="L63">IFERROR(_xlfn.STDEV.S(IF((OutputTable[GroupByKey]=OutputTable[[#This Row],[GroupByKey]]),(OutputTable[GroupByKey]=OutputTable[[#This Row],[GroupByKey]])*OutputTable[RecordedValue])),0)</f>
        <v>9.1490844966279035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63" cm="1">
        <f t="array" ref="O63">MIN(IF((OutputTable[GroupByKey]=OutputTable[[#This Row],[GroupByKey]]),(OutputTable[GroupByKey]=OutputTable[[#This Row],[GroupByKey]])*OutputTable[RecordedValue]))</f>
        <v>68</v>
      </c>
      <c r="P63" cm="1">
        <f t="array" ref="P63">MAX(IF((OutputTable[GroupByKey]=OutputTable[[#This Row],[GroupByKey]]),(OutputTable[GroupByKey]=OutputTable[[#This Row],[GroupByKey]])*OutputTable[RecordedValue]))</f>
        <v>107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92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89.4</v>
      </c>
      <c r="L64" cm="1">
        <f t="array" ref="L64">IFERROR(_xlfn.STDEV.S(IF((OutputTable[GroupByKey]=OutputTable[[#This Row],[GroupByKey]]),(OutputTable[GroupByKey]=OutputTable[[#This Row],[GroupByKey]])*OutputTable[RecordedValue])),0)</f>
        <v>8.9619886955580537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64" cm="1">
        <f t="array" ref="O64">MIN(IF((OutputTable[GroupByKey]=OutputTable[[#This Row],[GroupByKey]]),(OutputTable[GroupByKey]=OutputTable[[#This Row],[GroupByKey]])*OutputTable[RecordedValue]))</f>
        <v>71</v>
      </c>
      <c r="P64" cm="1">
        <f t="array" ref="P64">MAX(IF((OutputTable[GroupByKey]=OutputTable[[#This Row],[GroupByKey]]),(OutputTable[GroupByKey]=OutputTable[[#This Row],[GroupByKey]])*OutputTable[RecordedValue]))</f>
        <v>108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0.36239810733432298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0.33974800639003316</v>
      </c>
      <c r="L65" cm="1">
        <f t="array" ref="L65">IFERROR(_xlfn.STDEV.S(IF((OutputTable[GroupByKey]=OutputTable[[#This Row],[GroupByKey]]),(OutputTable[GroupByKey]=OutputTable[[#This Row],[GroupByKey]])*OutputTable[RecordedValue])),0)</f>
        <v>4.9728761309198614E-2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65" cm="1">
        <f t="array" ref="O65">MIN(IF((OutputTable[GroupByKey]=OutputTable[[#This Row],[GroupByKey]]),(OutputTable[GroupByKey]=OutputTable[[#This Row],[GroupByKey]])*OutputTable[RecordedValue]))</f>
        <v>0.248757454721409</v>
      </c>
      <c r="P65" cm="1">
        <f t="array" ref="P65">MAX(IF((OutputTable[GroupByKey]=OutputTable[[#This Row],[GroupByKey]]),(OutputTable[GroupByKey]=OutputTable[[#This Row],[GroupByKey]])*OutputTable[RecordedValue]))</f>
        <v>0.45327220218229702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92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88.466666666666669</v>
      </c>
      <c r="L66" cm="1">
        <f t="array" ref="L66">IFERROR(_xlfn.STDEV.S(IF((OutputTable[GroupByKey]=OutputTable[[#This Row],[GroupByKey]]),(OutputTable[GroupByKey]=OutputTable[[#This Row],[GroupByKey]])*OutputTable[RecordedValue])),0)</f>
        <v>9.1490844966279035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66" cm="1">
        <f t="array" ref="O66">MIN(IF((OutputTable[GroupByKey]=OutputTable[[#This Row],[GroupByKey]]),(OutputTable[GroupByKey]=OutputTable[[#This Row],[GroupByKey]])*OutputTable[RecordedValue]))</f>
        <v>68</v>
      </c>
      <c r="P66" cm="1">
        <f t="array" ref="P66">MAX(IF((OutputTable[GroupByKey]=OutputTable[[#This Row],[GroupByKey]]),(OutputTable[GroupByKey]=OutputTable[[#This Row],[GroupByKey]])*OutputTable[RecordedValue]))</f>
        <v>107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92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89.4</v>
      </c>
      <c r="L67" cm="1">
        <f t="array" ref="L67">IFERROR(_xlfn.STDEV.S(IF((OutputTable[GroupByKey]=OutputTable[[#This Row],[GroupByKey]]),(OutputTable[GroupByKey]=OutputTable[[#This Row],[GroupByKey]])*OutputTable[RecordedValue])),0)</f>
        <v>8.9619886955580537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67" cm="1">
        <f t="array" ref="O67">MIN(IF((OutputTable[GroupByKey]=OutputTable[[#This Row],[GroupByKey]]),(OutputTable[GroupByKey]=OutputTable[[#This Row],[GroupByKey]])*OutputTable[RecordedValue]))</f>
        <v>71</v>
      </c>
      <c r="P67" cm="1">
        <f t="array" ref="P67">MAX(IF((OutputTable[GroupByKey]=OutputTable[[#This Row],[GroupByKey]]),(OutputTable[GroupByKey]=OutputTable[[#This Row],[GroupByKey]])*OutputTable[RecordedValue]))</f>
        <v>108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91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88.466666666666669</v>
      </c>
      <c r="L68" cm="1">
        <f t="array" ref="L68">IFERROR(_xlfn.STDEV.S(IF((OutputTable[GroupByKey]=OutputTable[[#This Row],[GroupByKey]]),(OutputTable[GroupByKey]=OutputTable[[#This Row],[GroupByKey]])*OutputTable[RecordedValue])),0)</f>
        <v>9.1490844966279035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68" cm="1">
        <f t="array" ref="O68">MIN(IF((OutputTable[GroupByKey]=OutputTable[[#This Row],[GroupByKey]]),(OutputTable[GroupByKey]=OutputTable[[#This Row],[GroupByKey]])*OutputTable[RecordedValue]))</f>
        <v>68</v>
      </c>
      <c r="P68" cm="1">
        <f t="array" ref="P68">MAX(IF((OutputTable[GroupByKey]=OutputTable[[#This Row],[GroupByKey]]),(OutputTable[GroupByKey]=OutputTable[[#This Row],[GroupByKey]])*OutputTable[RecordedValue]))</f>
        <v>107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92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89.4</v>
      </c>
      <c r="L69" cm="1">
        <f t="array" ref="L69">IFERROR(_xlfn.STDEV.S(IF((OutputTable[GroupByKey]=OutputTable[[#This Row],[GroupByKey]]),(OutputTable[GroupByKey]=OutputTable[[#This Row],[GroupByKey]])*OutputTable[RecordedValue])),0)</f>
        <v>8.9619886955580537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69" cm="1">
        <f t="array" ref="O69">MIN(IF((OutputTable[GroupByKey]=OutputTable[[#This Row],[GroupByKey]]),(OutputTable[GroupByKey]=OutputTable[[#This Row],[GroupByKey]])*OutputTable[RecordedValue]))</f>
        <v>71</v>
      </c>
      <c r="P69" cm="1">
        <f t="array" ref="P69">MAX(IF((OutputTable[GroupByKey]=OutputTable[[#This Row],[GroupByKey]]),(OutputTable[GroupByKey]=OutputTable[[#This Row],[GroupByKey]])*OutputTable[RecordedValue]))</f>
        <v>108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0.30649868955866399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0.33974800639003316</v>
      </c>
      <c r="L70" cm="1">
        <f t="array" ref="L70">IFERROR(_xlfn.STDEV.S(IF((OutputTable[GroupByKey]=OutputTable[[#This Row],[GroupByKey]]),(OutputTable[GroupByKey]=OutputTable[[#This Row],[GroupByKey]])*OutputTable[RecordedValue])),0)</f>
        <v>4.9728761309198614E-2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70" cm="1">
        <f t="array" ref="O70">MIN(IF((OutputTable[GroupByKey]=OutputTable[[#This Row],[GroupByKey]]),(OutputTable[GroupByKey]=OutputTable[[#This Row],[GroupByKey]])*OutputTable[RecordedValue]))</f>
        <v>0.248757454721409</v>
      </c>
      <c r="P70" cm="1">
        <f t="array" ref="P70">MAX(IF((OutputTable[GroupByKey]=OutputTable[[#This Row],[GroupByKey]]),(OutputTable[GroupByKey]=OutputTable[[#This Row],[GroupByKey]])*OutputTable[RecordedValue]))</f>
        <v>0.45327220218229702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91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88.466666666666669</v>
      </c>
      <c r="L71" cm="1">
        <f t="array" ref="L71">IFERROR(_xlfn.STDEV.S(IF((OutputTable[GroupByKey]=OutputTable[[#This Row],[GroupByKey]]),(OutputTable[GroupByKey]=OutputTable[[#This Row],[GroupByKey]])*OutputTable[RecordedValue])),0)</f>
        <v>9.1490844966279035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71" cm="1">
        <f t="array" ref="O71">MIN(IF((OutputTable[GroupByKey]=OutputTable[[#This Row],[GroupByKey]]),(OutputTable[GroupByKey]=OutputTable[[#This Row],[GroupByKey]])*OutputTable[RecordedValue]))</f>
        <v>68</v>
      </c>
      <c r="P71" cm="1">
        <f t="array" ref="P71">MAX(IF((OutputTable[GroupByKey]=OutputTable[[#This Row],[GroupByKey]]),(OutputTable[GroupByKey]=OutputTable[[#This Row],[GroupByKey]])*OutputTable[RecordedValue]))</f>
        <v>107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86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89.4</v>
      </c>
      <c r="L72" cm="1">
        <f t="array" ref="L72">IFERROR(_xlfn.STDEV.S(IF((OutputTable[GroupByKey]=OutputTable[[#This Row],[GroupByKey]]),(OutputTable[GroupByKey]=OutputTable[[#This Row],[GroupByKey]])*OutputTable[RecordedValue])),0)</f>
        <v>8.9619886955580537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72" cm="1">
        <f t="array" ref="O72">MIN(IF((OutputTable[GroupByKey]=OutputTable[[#This Row],[GroupByKey]]),(OutputTable[GroupByKey]=OutputTable[[#This Row],[GroupByKey]])*OutputTable[RecordedValue]))</f>
        <v>71</v>
      </c>
      <c r="P72" cm="1">
        <f t="array" ref="P72">MAX(IF((OutputTable[GroupByKey]=OutputTable[[#This Row],[GroupByKey]]),(OutputTable[GroupByKey]=OutputTable[[#This Row],[GroupByKey]])*OutputTable[RecordedValue]))</f>
        <v>108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86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88.466666666666669</v>
      </c>
      <c r="L73" cm="1">
        <f t="array" ref="L73">IFERROR(_xlfn.STDEV.S(IF((OutputTable[GroupByKey]=OutputTable[[#This Row],[GroupByKey]]),(OutputTable[GroupByKey]=OutputTable[[#This Row],[GroupByKey]])*OutputTable[RecordedValue])),0)</f>
        <v>9.1490844966279035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73" cm="1">
        <f t="array" ref="O73">MIN(IF((OutputTable[GroupByKey]=OutputTable[[#This Row],[GroupByKey]]),(OutputTable[GroupByKey]=OutputTable[[#This Row],[GroupByKey]])*OutputTable[RecordedValue]))</f>
        <v>68</v>
      </c>
      <c r="P73" cm="1">
        <f t="array" ref="P73">MAX(IF((OutputTable[GroupByKey]=OutputTable[[#This Row],[GroupByKey]]),(OutputTable[GroupByKey]=OutputTable[[#This Row],[GroupByKey]])*OutputTable[RecordedValue]))</f>
        <v>107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86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89.4</v>
      </c>
      <c r="L74" cm="1">
        <f t="array" ref="L74">IFERROR(_xlfn.STDEV.S(IF((OutputTable[GroupByKey]=OutputTable[[#This Row],[GroupByKey]]),(OutputTable[GroupByKey]=OutputTable[[#This Row],[GroupByKey]])*OutputTable[RecordedValue])),0)</f>
        <v>8.9619886955580537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74" cm="1">
        <f t="array" ref="O74">MIN(IF((OutputTable[GroupByKey]=OutputTable[[#This Row],[GroupByKey]]),(OutputTable[GroupByKey]=OutputTable[[#This Row],[GroupByKey]])*OutputTable[RecordedValue]))</f>
        <v>71</v>
      </c>
      <c r="P74" cm="1">
        <f t="array" ref="P74">MAX(IF((OutputTable[GroupByKey]=OutputTable[[#This Row],[GroupByKey]]),(OutputTable[GroupByKey]=OutputTable[[#This Row],[GroupByKey]])*OutputTable[RecordedValue]))</f>
        <v>108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0.325302881042216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0.33974800639003316</v>
      </c>
      <c r="L75" cm="1">
        <f t="array" ref="L75">IFERROR(_xlfn.STDEV.S(IF((OutputTable[GroupByKey]=OutputTable[[#This Row],[GroupByKey]]),(OutputTable[GroupByKey]=OutputTable[[#This Row],[GroupByKey]])*OutputTable[RecordedValue])),0)</f>
        <v>4.9728761309198614E-2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75" cm="1">
        <f t="array" ref="O75">MIN(IF((OutputTable[GroupByKey]=OutputTable[[#This Row],[GroupByKey]]),(OutputTable[GroupByKey]=OutputTable[[#This Row],[GroupByKey]])*OutputTable[RecordedValue]))</f>
        <v>0.248757454721409</v>
      </c>
      <c r="P75" cm="1">
        <f t="array" ref="P75">MAX(IF((OutputTable[GroupByKey]=OutputTable[[#This Row],[GroupByKey]]),(OutputTable[GroupByKey]=OutputTable[[#This Row],[GroupByKey]])*OutputTable[RecordedValue]))</f>
        <v>0.45327220218229702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86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88.466666666666669</v>
      </c>
      <c r="L76" cm="1">
        <f t="array" ref="L76">IFERROR(_xlfn.STDEV.S(IF((OutputTable[GroupByKey]=OutputTable[[#This Row],[GroupByKey]]),(OutputTable[GroupByKey]=OutputTable[[#This Row],[GroupByKey]])*OutputTable[RecordedValue])),0)</f>
        <v>9.1490844966279035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76" cm="1">
        <f t="array" ref="O76">MIN(IF((OutputTable[GroupByKey]=OutputTable[[#This Row],[GroupByKey]]),(OutputTable[GroupByKey]=OutputTable[[#This Row],[GroupByKey]])*OutputTable[RecordedValue]))</f>
        <v>68</v>
      </c>
      <c r="P76" cm="1">
        <f t="array" ref="P76">MAX(IF((OutputTable[GroupByKey]=OutputTable[[#This Row],[GroupByKey]]),(OutputTable[GroupByKey]=OutputTable[[#This Row],[GroupByKey]])*OutputTable[RecordedValue]))</f>
        <v>107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96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89.4</v>
      </c>
      <c r="L77" cm="1">
        <f t="array" ref="L77">IFERROR(_xlfn.STDEV.S(IF((OutputTable[GroupByKey]=OutputTable[[#This Row],[GroupByKey]]),(OutputTable[GroupByKey]=OutputTable[[#This Row],[GroupByKey]])*OutputTable[RecordedValue])),0)</f>
        <v>8.9619886955580537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77" cm="1">
        <f t="array" ref="O77">MIN(IF((OutputTable[GroupByKey]=OutputTable[[#This Row],[GroupByKey]]),(OutputTable[GroupByKey]=OutputTable[[#This Row],[GroupByKey]])*OutputTable[RecordedValue]))</f>
        <v>71</v>
      </c>
      <c r="P77" cm="1">
        <f t="array" ref="P77">MAX(IF((OutputTable[GroupByKey]=OutputTable[[#This Row],[GroupByKey]]),(OutputTable[GroupByKey]=OutputTable[[#This Row],[GroupByKey]])*OutputTable[RecordedValue]))</f>
        <v>108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96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88.466666666666669</v>
      </c>
      <c r="L78" cm="1">
        <f t="array" ref="L78">IFERROR(_xlfn.STDEV.S(IF((OutputTable[GroupByKey]=OutputTable[[#This Row],[GroupByKey]]),(OutputTable[GroupByKey]=OutputTable[[#This Row],[GroupByKey]])*OutputTable[RecordedValue])),0)</f>
        <v>9.1490844966279035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78" cm="1">
        <f t="array" ref="O78">MIN(IF((OutputTable[GroupByKey]=OutputTable[[#This Row],[GroupByKey]]),(OutputTable[GroupByKey]=OutputTable[[#This Row],[GroupByKey]])*OutputTable[RecordedValue]))</f>
        <v>68</v>
      </c>
      <c r="P78" cm="1">
        <f t="array" ref="P78">MAX(IF((OutputTable[GroupByKey]=OutputTable[[#This Row],[GroupByKey]]),(OutputTable[GroupByKey]=OutputTable[[#This Row],[GroupByKey]])*OutputTable[RecordedValue]))</f>
        <v>107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96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89.4</v>
      </c>
      <c r="L79" cm="1">
        <f t="array" ref="L79">IFERROR(_xlfn.STDEV.S(IF((OutputTable[GroupByKey]=OutputTable[[#This Row],[GroupByKey]]),(OutputTable[GroupByKey]=OutputTable[[#This Row],[GroupByKey]])*OutputTable[RecordedValue])),0)</f>
        <v>8.9619886955580537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79" cm="1">
        <f t="array" ref="O79">MIN(IF((OutputTable[GroupByKey]=OutputTable[[#This Row],[GroupByKey]]),(OutputTable[GroupByKey]=OutputTable[[#This Row],[GroupByKey]])*OutputTable[RecordedValue]))</f>
        <v>71</v>
      </c>
      <c r="P79" cm="1">
        <f t="array" ref="P79">MAX(IF((OutputTable[GroupByKey]=OutputTable[[#This Row],[GroupByKey]]),(OutputTable[GroupByKey]=OutputTable[[#This Row],[GroupByKey]])*OutputTable[RecordedValue]))</f>
        <v>108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0.45327220218229702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0.33974800639003316</v>
      </c>
      <c r="L80" cm="1">
        <f t="array" ref="L80">IFERROR(_xlfn.STDEV.S(IF((OutputTable[GroupByKey]=OutputTable[[#This Row],[GroupByKey]]),(OutputTable[GroupByKey]=OutputTable[[#This Row],[GroupByKey]])*OutputTable[RecordedValue])),0)</f>
        <v>4.9728761309198614E-2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80" cm="1">
        <f t="array" ref="O80">MIN(IF((OutputTable[GroupByKey]=OutputTable[[#This Row],[GroupByKey]]),(OutputTable[GroupByKey]=OutputTable[[#This Row],[GroupByKey]])*OutputTable[RecordedValue]))</f>
        <v>0.248757454721409</v>
      </c>
      <c r="P80" cm="1">
        <f t="array" ref="P80">MAX(IF((OutputTable[GroupByKey]=OutputTable[[#This Row],[GroupByKey]]),(OutputTable[GroupByKey]=OutputTable[[#This Row],[GroupByKey]])*OutputTable[RecordedValue]))</f>
        <v>0.45327220218229702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96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88.466666666666669</v>
      </c>
      <c r="L81" cm="1">
        <f t="array" ref="L81">IFERROR(_xlfn.STDEV.S(IF((OutputTable[GroupByKey]=OutputTable[[#This Row],[GroupByKey]]),(OutputTable[GroupByKey]=OutputTable[[#This Row],[GroupByKey]])*OutputTable[RecordedValue])),0)</f>
        <v>9.1490844966279035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81" cm="1">
        <f t="array" ref="O81">MIN(IF((OutputTable[GroupByKey]=OutputTable[[#This Row],[GroupByKey]]),(OutputTable[GroupByKey]=OutputTable[[#This Row],[GroupByKey]])*OutputTable[RecordedValue]))</f>
        <v>68</v>
      </c>
      <c r="P81" cm="1">
        <f t="array" ref="P81">MAX(IF((OutputTable[GroupByKey]=OutputTable[[#This Row],[GroupByKey]]),(OutputTable[GroupByKey]=OutputTable[[#This Row],[GroupByKey]])*OutputTable[RecordedValue]))</f>
        <v>107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71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89.4</v>
      </c>
      <c r="L82" cm="1">
        <f t="array" ref="L82">IFERROR(_xlfn.STDEV.S(IF((OutputTable[GroupByKey]=OutputTable[[#This Row],[GroupByKey]]),(OutputTable[GroupByKey]=OutputTable[[#This Row],[GroupByKey]])*OutputTable[RecordedValue])),0)</f>
        <v>8.9619886955580537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82" cm="1">
        <f t="array" ref="O82">MIN(IF((OutputTable[GroupByKey]=OutputTable[[#This Row],[GroupByKey]]),(OutputTable[GroupByKey]=OutputTable[[#This Row],[GroupByKey]])*OutputTable[RecordedValue]))</f>
        <v>71</v>
      </c>
      <c r="P82" cm="1">
        <f t="array" ref="P82">MAX(IF((OutputTable[GroupByKey]=OutputTable[[#This Row],[GroupByKey]]),(OutputTable[GroupByKey]=OutputTable[[#This Row],[GroupByKey]])*OutputTable[RecordedValue]))</f>
        <v>108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68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88.466666666666669</v>
      </c>
      <c r="L83" cm="1">
        <f t="array" ref="L83">IFERROR(_xlfn.STDEV.S(IF((OutputTable[GroupByKey]=OutputTable[[#This Row],[GroupByKey]]),(OutputTable[GroupByKey]=OutputTable[[#This Row],[GroupByKey]])*OutputTable[RecordedValue])),0)</f>
        <v>9.1490844966279035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83" cm="1">
        <f t="array" ref="O83">MIN(IF((OutputTable[GroupByKey]=OutputTable[[#This Row],[GroupByKey]]),(OutputTable[GroupByKey]=OutputTable[[#This Row],[GroupByKey]])*OutputTable[RecordedValue]))</f>
        <v>68</v>
      </c>
      <c r="P83" cm="1">
        <f t="array" ref="P83">MAX(IF((OutputTable[GroupByKey]=OutputTable[[#This Row],[GroupByKey]]),(OutputTable[GroupByKey]=OutputTable[[#This Row],[GroupByKey]])*OutputTable[RecordedValue]))</f>
        <v>107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71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89.4</v>
      </c>
      <c r="L84" cm="1">
        <f t="array" ref="L84">IFERROR(_xlfn.STDEV.S(IF((OutputTable[GroupByKey]=OutputTable[[#This Row],[GroupByKey]]),(OutputTable[GroupByKey]=OutputTable[[#This Row],[GroupByKey]])*OutputTable[RecordedValue])),0)</f>
        <v>8.9619886955580537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84" cm="1">
        <f t="array" ref="O84">MIN(IF((OutputTable[GroupByKey]=OutputTable[[#This Row],[GroupByKey]]),(OutputTable[GroupByKey]=OutputTable[[#This Row],[GroupByKey]])*OutputTable[RecordedValue]))</f>
        <v>71</v>
      </c>
      <c r="P84" cm="1">
        <f t="array" ref="P84">MAX(IF((OutputTable[GroupByKey]=OutputTable[[#This Row],[GroupByKey]]),(OutputTable[GroupByKey]=OutputTable[[#This Row],[GroupByKey]])*OutputTable[RecordedValue]))</f>
        <v>108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0.248757454721409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0.33974800639003316</v>
      </c>
      <c r="L85" cm="1">
        <f t="array" ref="L85">IFERROR(_xlfn.STDEV.S(IF((OutputTable[GroupByKey]=OutputTable[[#This Row],[GroupByKey]]),(OutputTable[GroupByKey]=OutputTable[[#This Row],[GroupByKey]])*OutputTable[RecordedValue])),0)</f>
        <v>4.9728761309198614E-2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85" cm="1">
        <f t="array" ref="O85">MIN(IF((OutputTable[GroupByKey]=OutputTable[[#This Row],[GroupByKey]]),(OutputTable[GroupByKey]=OutputTable[[#This Row],[GroupByKey]])*OutputTable[RecordedValue]))</f>
        <v>0.248757454721409</v>
      </c>
      <c r="P85" cm="1">
        <f t="array" ref="P85">MAX(IF((OutputTable[GroupByKey]=OutputTable[[#This Row],[GroupByKey]]),(OutputTable[GroupByKey]=OutputTable[[#This Row],[GroupByKey]])*OutputTable[RecordedValue]))</f>
        <v>0.45327220218229702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68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88.466666666666669</v>
      </c>
      <c r="L86" cm="1">
        <f t="array" ref="L86">IFERROR(_xlfn.STDEV.S(IF((OutputTable[GroupByKey]=OutputTable[[#This Row],[GroupByKey]]),(OutputTable[GroupByKey]=OutputTable[[#This Row],[GroupByKey]])*OutputTable[RecordedValue])),0)</f>
        <v>9.1490844966279035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86" cm="1">
        <f t="array" ref="O86">MIN(IF((OutputTable[GroupByKey]=OutputTable[[#This Row],[GroupByKey]]),(OutputTable[GroupByKey]=OutputTable[[#This Row],[GroupByKey]])*OutputTable[RecordedValue]))</f>
        <v>68</v>
      </c>
      <c r="P86" cm="1">
        <f t="array" ref="P86">MAX(IF((OutputTable[GroupByKey]=OutputTable[[#This Row],[GroupByKey]]),(OutputTable[GroupByKey]=OutputTable[[#This Row],[GroupByKey]])*OutputTable[RecordedValue]))</f>
        <v>107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102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89.4</v>
      </c>
      <c r="L87" cm="1">
        <f t="array" ref="L87">IFERROR(_xlfn.STDEV.S(IF((OutputTable[GroupByKey]=OutputTable[[#This Row],[GroupByKey]]),(OutputTable[GroupByKey]=OutputTable[[#This Row],[GroupByKey]])*OutputTable[RecordedValue])),0)</f>
        <v>8.9619886955580537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87" cm="1">
        <f t="array" ref="O87">MIN(IF((OutputTable[GroupByKey]=OutputTable[[#This Row],[GroupByKey]]),(OutputTable[GroupByKey]=OutputTable[[#This Row],[GroupByKey]])*OutputTable[RecordedValue]))</f>
        <v>71</v>
      </c>
      <c r="P87" cm="1">
        <f t="array" ref="P87">MAX(IF((OutputTable[GroupByKey]=OutputTable[[#This Row],[GroupByKey]]),(OutputTable[GroupByKey]=OutputTable[[#This Row],[GroupByKey]])*OutputTable[RecordedValue]))</f>
        <v>108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101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88.466666666666669</v>
      </c>
      <c r="L88" cm="1">
        <f t="array" ref="L88">IFERROR(_xlfn.STDEV.S(IF((OutputTable[GroupByKey]=OutputTable[[#This Row],[GroupByKey]]),(OutputTable[GroupByKey]=OutputTable[[#This Row],[GroupByKey]])*OutputTable[RecordedValue])),0)</f>
        <v>9.1490844966279035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88" cm="1">
        <f t="array" ref="O88">MIN(IF((OutputTable[GroupByKey]=OutputTable[[#This Row],[GroupByKey]]),(OutputTable[GroupByKey]=OutputTable[[#This Row],[GroupByKey]])*OutputTable[RecordedValue]))</f>
        <v>68</v>
      </c>
      <c r="P88" cm="1">
        <f t="array" ref="P88">MAX(IF((OutputTable[GroupByKey]=OutputTable[[#This Row],[GroupByKey]]),(OutputTable[GroupByKey]=OutputTable[[#This Row],[GroupByKey]])*OutputTable[RecordedValue]))</f>
        <v>107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102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89.4</v>
      </c>
      <c r="L89" cm="1">
        <f t="array" ref="L89">IFERROR(_xlfn.STDEV.S(IF((OutputTable[GroupByKey]=OutputTable[[#This Row],[GroupByKey]]),(OutputTable[GroupByKey]=OutputTable[[#This Row],[GroupByKey]])*OutputTable[RecordedValue])),0)</f>
        <v>8.9619886955580537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89" cm="1">
        <f t="array" ref="O89">MIN(IF((OutputTable[GroupByKey]=OutputTable[[#This Row],[GroupByKey]]),(OutputTable[GroupByKey]=OutputTable[[#This Row],[GroupByKey]])*OutputTable[RecordedValue]))</f>
        <v>71</v>
      </c>
      <c r="P89" cm="1">
        <f t="array" ref="P89">MAX(IF((OutputTable[GroupByKey]=OutputTable[[#This Row],[GroupByKey]]),(OutputTable[GroupByKey]=OutputTable[[#This Row],[GroupByKey]])*OutputTable[RecordedValue]))</f>
        <v>108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0.44098218611840101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0.33974800639003316</v>
      </c>
      <c r="L90" cm="1">
        <f t="array" ref="L90">IFERROR(_xlfn.STDEV.S(IF((OutputTable[GroupByKey]=OutputTable[[#This Row],[GroupByKey]]),(OutputTable[GroupByKey]=OutputTable[[#This Row],[GroupByKey]])*OutputTable[RecordedValue])),0)</f>
        <v>4.9728761309198614E-2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90" cm="1">
        <f t="array" ref="O90">MIN(IF((OutputTable[GroupByKey]=OutputTable[[#This Row],[GroupByKey]]),(OutputTable[GroupByKey]=OutputTable[[#This Row],[GroupByKey]])*OutputTable[RecordedValue]))</f>
        <v>0.248757454721409</v>
      </c>
      <c r="P90" cm="1">
        <f t="array" ref="P90">MAX(IF((OutputTable[GroupByKey]=OutputTable[[#This Row],[GroupByKey]]),(OutputTable[GroupByKey]=OutputTable[[#This Row],[GroupByKey]])*OutputTable[RecordedValue]))</f>
        <v>0.45327220218229702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101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88.466666666666669</v>
      </c>
      <c r="L91" cm="1">
        <f t="array" ref="L91">IFERROR(_xlfn.STDEV.S(IF((OutputTable[GroupByKey]=OutputTable[[#This Row],[GroupByKey]]),(OutputTable[GroupByKey]=OutputTable[[#This Row],[GroupByKey]])*OutputTable[RecordedValue])),0)</f>
        <v>9.1490844966279035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91" cm="1">
        <f t="array" ref="O91">MIN(IF((OutputTable[GroupByKey]=OutputTable[[#This Row],[GroupByKey]]),(OutputTable[GroupByKey]=OutputTable[[#This Row],[GroupByKey]])*OutputTable[RecordedValue]))</f>
        <v>68</v>
      </c>
      <c r="P91" cm="1">
        <f t="array" ref="P91">MAX(IF((OutputTable[GroupByKey]=OutputTable[[#This Row],[GroupByKey]]),(OutputTable[GroupByKey]=OutputTable[[#This Row],[GroupByKey]])*OutputTable[RecordedValue]))</f>
        <v>107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83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89.4</v>
      </c>
      <c r="L92" cm="1">
        <f t="array" ref="L92">IFERROR(_xlfn.STDEV.S(IF((OutputTable[GroupByKey]=OutputTable[[#This Row],[GroupByKey]]),(OutputTable[GroupByKey]=OutputTable[[#This Row],[GroupByKey]])*OutputTable[RecordedValue])),0)</f>
        <v>8.9619886955580537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92" cm="1">
        <f t="array" ref="O92">MIN(IF((OutputTable[GroupByKey]=OutputTable[[#This Row],[GroupByKey]]),(OutputTable[GroupByKey]=OutputTable[[#This Row],[GroupByKey]])*OutputTable[RecordedValue]))</f>
        <v>71</v>
      </c>
      <c r="P92" cm="1">
        <f t="array" ref="P92">MAX(IF((OutputTable[GroupByKey]=OutputTable[[#This Row],[GroupByKey]]),(OutputTable[GroupByKey]=OutputTable[[#This Row],[GroupByKey]])*OutputTable[RecordedValue]))</f>
        <v>108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83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88.466666666666669</v>
      </c>
      <c r="L93" cm="1">
        <f t="array" ref="L93">IFERROR(_xlfn.STDEV.S(IF((OutputTable[GroupByKey]=OutputTable[[#This Row],[GroupByKey]]),(OutputTable[GroupByKey]=OutputTable[[#This Row],[GroupByKey]])*OutputTable[RecordedValue])),0)</f>
        <v>9.1490844966279035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93" cm="1">
        <f t="array" ref="O93">MIN(IF((OutputTable[GroupByKey]=OutputTable[[#This Row],[GroupByKey]]),(OutputTable[GroupByKey]=OutputTable[[#This Row],[GroupByKey]])*OutputTable[RecordedValue]))</f>
        <v>68</v>
      </c>
      <c r="P93" cm="1">
        <f t="array" ref="P93">MAX(IF((OutputTable[GroupByKey]=OutputTable[[#This Row],[GroupByKey]]),(OutputTable[GroupByKey]=OutputTable[[#This Row],[GroupByKey]])*OutputTable[RecordedValue]))</f>
        <v>107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83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89.4</v>
      </c>
      <c r="L94" cm="1">
        <f t="array" ref="L94">IFERROR(_xlfn.STDEV.S(IF((OutputTable[GroupByKey]=OutputTable[[#This Row],[GroupByKey]]),(OutputTable[GroupByKey]=OutputTable[[#This Row],[GroupByKey]])*OutputTable[RecordedValue])),0)</f>
        <v>8.9619886955580537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94" cm="1">
        <f t="array" ref="O94">MIN(IF((OutputTable[GroupByKey]=OutputTable[[#This Row],[GroupByKey]]),(OutputTable[GroupByKey]=OutputTable[[#This Row],[GroupByKey]])*OutputTable[RecordedValue]))</f>
        <v>71</v>
      </c>
      <c r="P94" cm="1">
        <f t="array" ref="P94">MAX(IF((OutputTable[GroupByKey]=OutputTable[[#This Row],[GroupByKey]]),(OutputTable[GroupByKey]=OutputTable[[#This Row],[GroupByKey]])*OutputTable[RecordedValue]))</f>
        <v>108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0.33397899359866601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0.33974800639003316</v>
      </c>
      <c r="L95" cm="1">
        <f t="array" ref="L95">IFERROR(_xlfn.STDEV.S(IF((OutputTable[GroupByKey]=OutputTable[[#This Row],[GroupByKey]]),(OutputTable[GroupByKey]=OutputTable[[#This Row],[GroupByKey]])*OutputTable[RecordedValue])),0)</f>
        <v>4.9728761309198614E-2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95" cm="1">
        <f t="array" ref="O95">MIN(IF((OutputTable[GroupByKey]=OutputTable[[#This Row],[GroupByKey]]),(OutputTable[GroupByKey]=OutputTable[[#This Row],[GroupByKey]])*OutputTable[RecordedValue]))</f>
        <v>0.248757454721409</v>
      </c>
      <c r="P95" cm="1">
        <f t="array" ref="P95">MAX(IF((OutputTable[GroupByKey]=OutputTable[[#This Row],[GroupByKey]]),(OutputTable[GroupByKey]=OutputTable[[#This Row],[GroupByKey]])*OutputTable[RecordedValue]))</f>
        <v>0.45327220218229702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83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88.466666666666669</v>
      </c>
      <c r="L96" cm="1">
        <f t="array" ref="L96">IFERROR(_xlfn.STDEV.S(IF((OutputTable[GroupByKey]=OutputTable[[#This Row],[GroupByKey]]),(OutputTable[GroupByKey]=OutputTable[[#This Row],[GroupByKey]])*OutputTable[RecordedValue])),0)</f>
        <v>9.1490844966279035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96" cm="1">
        <f t="array" ref="O96">MIN(IF((OutputTable[GroupByKey]=OutputTable[[#This Row],[GroupByKey]]),(OutputTable[GroupByKey]=OutputTable[[#This Row],[GroupByKey]])*OutputTable[RecordedValue]))</f>
        <v>68</v>
      </c>
      <c r="P96" cm="1">
        <f t="array" ref="P96">MAX(IF((OutputTable[GroupByKey]=OutputTable[[#This Row],[GroupByKey]]),(OutputTable[GroupByKey]=OutputTable[[#This Row],[GroupByKey]])*OutputTable[RecordedValue]))</f>
        <v>107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85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89.4</v>
      </c>
      <c r="L97" cm="1">
        <f t="array" ref="L97">IFERROR(_xlfn.STDEV.S(IF((OutputTable[GroupByKey]=OutputTable[[#This Row],[GroupByKey]]),(OutputTable[GroupByKey]=OutputTable[[#This Row],[GroupByKey]])*OutputTable[RecordedValue])),0)</f>
        <v>8.9619886955580537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97" cm="1">
        <f t="array" ref="O97">MIN(IF((OutputTable[GroupByKey]=OutputTable[[#This Row],[GroupByKey]]),(OutputTable[GroupByKey]=OutputTable[[#This Row],[GroupByKey]])*OutputTable[RecordedValue]))</f>
        <v>71</v>
      </c>
      <c r="P97" cm="1">
        <f t="array" ref="P97">MAX(IF((OutputTable[GroupByKey]=OutputTable[[#This Row],[GroupByKey]]),(OutputTable[GroupByKey]=OutputTable[[#This Row],[GroupByKey]])*OutputTable[RecordedValue]))</f>
        <v>108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84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88.466666666666669</v>
      </c>
      <c r="L98" cm="1">
        <f t="array" ref="L98">IFERROR(_xlfn.STDEV.S(IF((OutputTable[GroupByKey]=OutputTable[[#This Row],[GroupByKey]]),(OutputTable[GroupByKey]=OutputTable[[#This Row],[GroupByKey]])*OutputTable[RecordedValue])),0)</f>
        <v>9.1490844966279035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98" cm="1">
        <f t="array" ref="O98">MIN(IF((OutputTable[GroupByKey]=OutputTable[[#This Row],[GroupByKey]]),(OutputTable[GroupByKey]=OutputTable[[#This Row],[GroupByKey]])*OutputTable[RecordedValue]))</f>
        <v>68</v>
      </c>
      <c r="P98" cm="1">
        <f t="array" ref="P98">MAX(IF((OutputTable[GroupByKey]=OutputTable[[#This Row],[GroupByKey]]),(OutputTable[GroupByKey]=OutputTable[[#This Row],[GroupByKey]])*OutputTable[RecordedValue]))</f>
        <v>107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85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89.4</v>
      </c>
      <c r="L99" cm="1">
        <f t="array" ref="L99">IFERROR(_xlfn.STDEV.S(IF((OutputTable[GroupByKey]=OutputTable[[#This Row],[GroupByKey]]),(OutputTable[GroupByKey]=OutputTable[[#This Row],[GroupByKey]])*OutputTable[RecordedValue])),0)</f>
        <v>8.9619886955580537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99" cm="1">
        <f t="array" ref="O99">MIN(IF((OutputTable[GroupByKey]=OutputTable[[#This Row],[GroupByKey]]),(OutputTable[GroupByKey]=OutputTable[[#This Row],[GroupByKey]])*OutputTable[RecordedValue]))</f>
        <v>71</v>
      </c>
      <c r="P99" cm="1">
        <f t="array" ref="P99">MAX(IF((OutputTable[GroupByKey]=OutputTable[[#This Row],[GroupByKey]]),(OutputTable[GroupByKey]=OutputTable[[#This Row],[GroupByKey]])*OutputTable[RecordedValue]))</f>
        <v>108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0.29500961506884299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0.33974800639003316</v>
      </c>
      <c r="L100" cm="1">
        <f t="array" ref="L100">IFERROR(_xlfn.STDEV.S(IF((OutputTable[GroupByKey]=OutputTable[[#This Row],[GroupByKey]]),(OutputTable[GroupByKey]=OutputTable[[#This Row],[GroupByKey]])*OutputTable[RecordedValue])),0)</f>
        <v>4.9728761309198614E-2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100" cm="1">
        <f t="array" ref="O100">MIN(IF((OutputTable[GroupByKey]=OutputTable[[#This Row],[GroupByKey]]),(OutputTable[GroupByKey]=OutputTable[[#This Row],[GroupByKey]])*OutputTable[RecordedValue]))</f>
        <v>0.248757454721409</v>
      </c>
      <c r="P100" cm="1">
        <f t="array" ref="P100">MAX(IF((OutputTable[GroupByKey]=OutputTable[[#This Row],[GroupByKey]]),(OutputTable[GroupByKey]=OutputTable[[#This Row],[GroupByKey]])*OutputTable[RecordedValue]))</f>
        <v>0.45327220218229702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84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88.466666666666669</v>
      </c>
      <c r="L101" cm="1">
        <f t="array" ref="L101">IFERROR(_xlfn.STDEV.S(IF((OutputTable[GroupByKey]=OutputTable[[#This Row],[GroupByKey]]),(OutputTable[GroupByKey]=OutputTable[[#This Row],[GroupByKey]])*OutputTable[RecordedValue])),0)</f>
        <v>9.1490844966279035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01" cm="1">
        <f t="array" ref="O101">MIN(IF((OutputTable[GroupByKey]=OutputTable[[#This Row],[GroupByKey]]),(OutputTable[GroupByKey]=OutputTable[[#This Row],[GroupByKey]])*OutputTable[RecordedValue]))</f>
        <v>68</v>
      </c>
      <c r="P101" cm="1">
        <f t="array" ref="P101">MAX(IF((OutputTable[GroupByKey]=OutputTable[[#This Row],[GroupByKey]]),(OutputTable[GroupByKey]=OutputTable[[#This Row],[GroupByKey]])*OutputTable[RecordedValue]))</f>
        <v>107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93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89.4</v>
      </c>
      <c r="L102" cm="1">
        <f t="array" ref="L102">IFERROR(_xlfn.STDEV.S(IF((OutputTable[GroupByKey]=OutputTable[[#This Row],[GroupByKey]]),(OutputTable[GroupByKey]=OutputTable[[#This Row],[GroupByKey]])*OutputTable[RecordedValue])),0)</f>
        <v>8.9619886955580537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02" cm="1">
        <f t="array" ref="O102">MIN(IF((OutputTable[GroupByKey]=OutputTable[[#This Row],[GroupByKey]]),(OutputTable[GroupByKey]=OutputTable[[#This Row],[GroupByKey]])*OutputTable[RecordedValue]))</f>
        <v>71</v>
      </c>
      <c r="P102" cm="1">
        <f t="array" ref="P102">MAX(IF((OutputTable[GroupByKey]=OutputTable[[#This Row],[GroupByKey]]),(OutputTable[GroupByKey]=OutputTable[[#This Row],[GroupByKey]])*OutputTable[RecordedValue]))</f>
        <v>108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93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88.466666666666669</v>
      </c>
      <c r="L103" cm="1">
        <f t="array" ref="L103">IFERROR(_xlfn.STDEV.S(IF((OutputTable[GroupByKey]=OutputTable[[#This Row],[GroupByKey]]),(OutputTable[GroupByKey]=OutputTable[[#This Row],[GroupByKey]])*OutputTable[RecordedValue])),0)</f>
        <v>9.1490844966279035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03" cm="1">
        <f t="array" ref="O103">MIN(IF((OutputTable[GroupByKey]=OutputTable[[#This Row],[GroupByKey]]),(OutputTable[GroupByKey]=OutputTable[[#This Row],[GroupByKey]])*OutputTable[RecordedValue]))</f>
        <v>68</v>
      </c>
      <c r="P103" cm="1">
        <f t="array" ref="P103">MAX(IF((OutputTable[GroupByKey]=OutputTable[[#This Row],[GroupByKey]]),(OutputTable[GroupByKey]=OutputTable[[#This Row],[GroupByKey]])*OutputTable[RecordedValue]))</f>
        <v>107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93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89.4</v>
      </c>
      <c r="L104" cm="1">
        <f t="array" ref="L104">IFERROR(_xlfn.STDEV.S(IF((OutputTable[GroupByKey]=OutputTable[[#This Row],[GroupByKey]]),(OutputTable[GroupByKey]=OutputTable[[#This Row],[GroupByKey]])*OutputTable[RecordedValue])),0)</f>
        <v>8.9619886955580537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04" cm="1">
        <f t="array" ref="O104">MIN(IF((OutputTable[GroupByKey]=OutputTable[[#This Row],[GroupByKey]]),(OutputTable[GroupByKey]=OutputTable[[#This Row],[GroupByKey]])*OutputTable[RecordedValue]))</f>
        <v>71</v>
      </c>
      <c r="P104" cm="1">
        <f t="array" ref="P104">MAX(IF((OutputTable[GroupByKey]=OutputTable[[#This Row],[GroupByKey]]),(OutputTable[GroupByKey]=OutputTable[[#This Row],[GroupByKey]])*OutputTable[RecordedValue]))</f>
        <v>108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0.29334034282091898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0.33974800639003316</v>
      </c>
      <c r="L105" cm="1">
        <f t="array" ref="L105">IFERROR(_xlfn.STDEV.S(IF((OutputTable[GroupByKey]=OutputTable[[#This Row],[GroupByKey]]),(OutputTable[GroupByKey]=OutputTable[[#This Row],[GroupByKey]])*OutputTable[RecordedValue])),0)</f>
        <v>4.9728761309198614E-2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105" cm="1">
        <f t="array" ref="O105">MIN(IF((OutputTable[GroupByKey]=OutputTable[[#This Row],[GroupByKey]]),(OutputTable[GroupByKey]=OutputTable[[#This Row],[GroupByKey]])*OutputTable[RecordedValue]))</f>
        <v>0.248757454721409</v>
      </c>
      <c r="P105" cm="1">
        <f t="array" ref="P105">MAX(IF((OutputTable[GroupByKey]=OutputTable[[#This Row],[GroupByKey]]),(OutputTable[GroupByKey]=OutputTable[[#This Row],[GroupByKey]])*OutputTable[RecordedValue]))</f>
        <v>0.45327220218229702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93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88.466666666666669</v>
      </c>
      <c r="L106" cm="1">
        <f t="array" ref="L106">IFERROR(_xlfn.STDEV.S(IF((OutputTable[GroupByKey]=OutputTable[[#This Row],[GroupByKey]]),(OutputTable[GroupByKey]=OutputTable[[#This Row],[GroupByKey]])*OutputTable[RecordedValue])),0)</f>
        <v>9.1490844966279035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06" cm="1">
        <f t="array" ref="O106">MIN(IF((OutputTable[GroupByKey]=OutputTable[[#This Row],[GroupByKey]]),(OutputTable[GroupByKey]=OutputTable[[#This Row],[GroupByKey]])*OutputTable[RecordedValue]))</f>
        <v>68</v>
      </c>
      <c r="P106" cm="1">
        <f t="array" ref="P106">MAX(IF((OutputTable[GroupByKey]=OutputTable[[#This Row],[GroupByKey]]),(OutputTable[GroupByKey]=OutputTable[[#This Row],[GroupByKey]])*OutputTable[RecordedValue]))</f>
        <v>107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83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89.4</v>
      </c>
      <c r="L107" cm="1">
        <f t="array" ref="L107">IFERROR(_xlfn.STDEV.S(IF((OutputTable[GroupByKey]=OutputTable[[#This Row],[GroupByKey]]),(OutputTable[GroupByKey]=OutputTable[[#This Row],[GroupByKey]])*OutputTable[RecordedValue])),0)</f>
        <v>8.9619886955580537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07" cm="1">
        <f t="array" ref="O107">MIN(IF((OutputTable[GroupByKey]=OutputTable[[#This Row],[GroupByKey]]),(OutputTable[GroupByKey]=OutputTable[[#This Row],[GroupByKey]])*OutputTable[RecordedValue]))</f>
        <v>71</v>
      </c>
      <c r="P107" cm="1">
        <f t="array" ref="P107">MAX(IF((OutputTable[GroupByKey]=OutputTable[[#This Row],[GroupByKey]]),(OutputTable[GroupByKey]=OutputTable[[#This Row],[GroupByKey]])*OutputTable[RecordedValue]))</f>
        <v>108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81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88.466666666666669</v>
      </c>
      <c r="L108" cm="1">
        <f t="array" ref="L108">IFERROR(_xlfn.STDEV.S(IF((OutputTable[GroupByKey]=OutputTable[[#This Row],[GroupByKey]]),(OutputTable[GroupByKey]=OutputTable[[#This Row],[GroupByKey]])*OutputTable[RecordedValue])),0)</f>
        <v>9.1490844966279035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08" cm="1">
        <f t="array" ref="O108">MIN(IF((OutputTable[GroupByKey]=OutputTable[[#This Row],[GroupByKey]]),(OutputTable[GroupByKey]=OutputTable[[#This Row],[GroupByKey]])*OutputTable[RecordedValue]))</f>
        <v>68</v>
      </c>
      <c r="P108" cm="1">
        <f t="array" ref="P108">MAX(IF((OutputTable[GroupByKey]=OutputTable[[#This Row],[GroupByKey]]),(OutputTable[GroupByKey]=OutputTable[[#This Row],[GroupByKey]])*OutputTable[RecordedValue]))</f>
        <v>107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83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89.4</v>
      </c>
      <c r="L109" cm="1">
        <f t="array" ref="L109">IFERROR(_xlfn.STDEV.S(IF((OutputTable[GroupByKey]=OutputTable[[#This Row],[GroupByKey]]),(OutputTable[GroupByKey]=OutputTable[[#This Row],[GroupByKey]])*OutputTable[RecordedValue])),0)</f>
        <v>8.9619886955580537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09" cm="1">
        <f t="array" ref="O109">MIN(IF((OutputTable[GroupByKey]=OutputTable[[#This Row],[GroupByKey]]),(OutputTable[GroupByKey]=OutputTable[[#This Row],[GroupByKey]])*OutputTable[RecordedValue]))</f>
        <v>71</v>
      </c>
      <c r="P109" cm="1">
        <f t="array" ref="P109">MAX(IF((OutputTable[GroupByKey]=OutputTable[[#This Row],[GroupByKey]]),(OutputTable[GroupByKey]=OutputTable[[#This Row],[GroupByKey]])*OutputTable[RecordedValue]))</f>
        <v>108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0.35308943499485601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0.33974800639003316</v>
      </c>
      <c r="L110" cm="1">
        <f t="array" ref="L110">IFERROR(_xlfn.STDEV.S(IF((OutputTable[GroupByKey]=OutputTable[[#This Row],[GroupByKey]]),(OutputTable[GroupByKey]=OutputTable[[#This Row],[GroupByKey]])*OutputTable[RecordedValue])),0)</f>
        <v>4.9728761309198614E-2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110" cm="1">
        <f t="array" ref="O110">MIN(IF((OutputTable[GroupByKey]=OutputTable[[#This Row],[GroupByKey]]),(OutputTable[GroupByKey]=OutputTable[[#This Row],[GroupByKey]])*OutputTable[RecordedValue]))</f>
        <v>0.248757454721409</v>
      </c>
      <c r="P110" cm="1">
        <f t="array" ref="P110">MAX(IF((OutputTable[GroupByKey]=OutputTable[[#This Row],[GroupByKey]]),(OutputTable[GroupByKey]=OutputTable[[#This Row],[GroupByKey]])*OutputTable[RecordedValue]))</f>
        <v>0.45327220218229702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81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88.466666666666669</v>
      </c>
      <c r="L111" cm="1">
        <f t="array" ref="L111">IFERROR(_xlfn.STDEV.S(IF((OutputTable[GroupByKey]=OutputTable[[#This Row],[GroupByKey]]),(OutputTable[GroupByKey]=OutputTable[[#This Row],[GroupByKey]])*OutputTable[RecordedValue])),0)</f>
        <v>9.1490844966279035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11" cm="1">
        <f t="array" ref="O111">MIN(IF((OutputTable[GroupByKey]=OutputTable[[#This Row],[GroupByKey]]),(OutputTable[GroupByKey]=OutputTable[[#This Row],[GroupByKey]])*OutputTable[RecordedValue]))</f>
        <v>68</v>
      </c>
      <c r="P111" cm="1">
        <f t="array" ref="P111">MAX(IF((OutputTable[GroupByKey]=OutputTable[[#This Row],[GroupByKey]]),(OutputTable[GroupByKey]=OutputTable[[#This Row],[GroupByKey]])*OutputTable[RecordedValue]))</f>
        <v>107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93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89.4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8.9619886955580537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12" s="5" cm="1">
        <f t="array" ref="O112">MIN(IF((OutputTable[GroupByKey]=OutputTable[[#This Row],[GroupByKey]]),(OutputTable[GroupByKey]=OutputTable[[#This Row],[GroupByKey]])*OutputTable[RecordedValue]))</f>
        <v>71</v>
      </c>
      <c r="P112" s="5" cm="1">
        <f t="array" ref="P112">MAX(IF((OutputTable[GroupByKey]=OutputTable[[#This Row],[GroupByKey]]),(OutputTable[GroupByKey]=OutputTable[[#This Row],[GroupByKey]])*OutputTable[RecordedValue]))</f>
        <v>108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92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88.466666666666669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9.1490844966279035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13" s="5" cm="1">
        <f t="array" ref="O113">MIN(IF((OutputTable[GroupByKey]=OutputTable[[#This Row],[GroupByKey]]),(OutputTable[GroupByKey]=OutputTable[[#This Row],[GroupByKey]])*OutputTable[RecordedValue]))</f>
        <v>68</v>
      </c>
      <c r="P113" s="5" cm="1">
        <f t="array" ref="P113">MAX(IF((OutputTable[GroupByKey]=OutputTable[[#This Row],[GroupByKey]]),(OutputTable[GroupByKey]=OutputTable[[#This Row],[GroupByKey]])*OutputTable[RecordedValue]))</f>
        <v>107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93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89.4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8.9619886955580537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14" s="5" cm="1">
        <f t="array" ref="O114">MIN(IF((OutputTable[GroupByKey]=OutputTable[[#This Row],[GroupByKey]]),(OutputTable[GroupByKey]=OutputTable[[#This Row],[GroupByKey]])*OutputTable[RecordedValue]))</f>
        <v>71</v>
      </c>
      <c r="P114" s="5" cm="1">
        <f t="array" ref="P114">MAX(IF((OutputTable[GroupByKey]=OutputTable[[#This Row],[GroupByKey]]),(OutputTable[GroupByKey]=OutputTable[[#This Row],[GroupByKey]])*OutputTable[RecordedValue]))</f>
        <v>108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0.335349754770705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0.33974800639003316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4.9728761309198614E-2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115" s="5" cm="1">
        <f t="array" ref="O115">MIN(IF((OutputTable[GroupByKey]=OutputTable[[#This Row],[GroupByKey]]),(OutputTable[GroupByKey]=OutputTable[[#This Row],[GroupByKey]])*OutputTable[RecordedValue]))</f>
        <v>0.248757454721409</v>
      </c>
      <c r="P115" s="5" cm="1">
        <f t="array" ref="P115">MAX(IF((OutputTable[GroupByKey]=OutputTable[[#This Row],[GroupByKey]]),(OutputTable[GroupByKey]=OutputTable[[#This Row],[GroupByKey]])*OutputTable[RecordedValue]))</f>
        <v>0.45327220218229702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92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88.466666666666669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9.1490844966279035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16" s="5" cm="1">
        <f t="array" ref="O116">MIN(IF((OutputTable[GroupByKey]=OutputTable[[#This Row],[GroupByKey]]),(OutputTable[GroupByKey]=OutputTable[[#This Row],[GroupByKey]])*OutputTable[RecordedValue]))</f>
        <v>68</v>
      </c>
      <c r="P116" s="5" cm="1">
        <f t="array" ref="P116">MAX(IF((OutputTable[GroupByKey]=OutputTable[[#This Row],[GroupByKey]]),(OutputTable[GroupByKey]=OutputTable[[#This Row],[GroupByKey]])*OutputTable[RecordedValue]))</f>
        <v>107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74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89.4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8.9619886955580537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17" s="5" cm="1">
        <f t="array" ref="O117">MIN(IF((OutputTable[GroupByKey]=OutputTable[[#This Row],[GroupByKey]]),(OutputTable[GroupByKey]=OutputTable[[#This Row],[GroupByKey]])*OutputTable[RecordedValue]))</f>
        <v>71</v>
      </c>
      <c r="P117" s="5" cm="1">
        <f t="array" ref="P117">MAX(IF((OutputTable[GroupByKey]=OutputTable[[#This Row],[GroupByKey]]),(OutputTable[GroupByKey]=OutputTable[[#This Row],[GroupByKey]])*OutputTable[RecordedValue]))</f>
        <v>108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73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88.466666666666669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9.1490844966279035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18" s="5" cm="1">
        <f t="array" ref="O118">MIN(IF((OutputTable[GroupByKey]=OutputTable[[#This Row],[GroupByKey]]),(OutputTable[GroupByKey]=OutputTable[[#This Row],[GroupByKey]])*OutputTable[RecordedValue]))</f>
        <v>68</v>
      </c>
      <c r="P118" s="5" cm="1">
        <f t="array" ref="P118">MAX(IF((OutputTable[GroupByKey]=OutputTable[[#This Row],[GroupByKey]]),(OutputTable[GroupByKey]=OutputTable[[#This Row],[GroupByKey]])*OutputTable[RecordedValue]))</f>
        <v>107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74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89.4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8.9619886955580537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19" s="5" cm="1">
        <f t="array" ref="O119">MIN(IF((OutputTable[GroupByKey]=OutputTable[[#This Row],[GroupByKey]]),(OutputTable[GroupByKey]=OutputTable[[#This Row],[GroupByKey]])*OutputTable[RecordedValue]))</f>
        <v>71</v>
      </c>
      <c r="P119" s="5" cm="1">
        <f t="array" ref="P119">MAX(IF((OutputTable[GroupByKey]=OutputTable[[#This Row],[GroupByKey]]),(OutputTable[GroupByKey]=OutputTable[[#This Row],[GroupByKey]])*OutputTable[RecordedValue]))</f>
        <v>108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0.289041984118456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0.33974800639003316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4.9728761309198614E-2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120" s="5" cm="1">
        <f t="array" ref="O120">MIN(IF((OutputTable[GroupByKey]=OutputTable[[#This Row],[GroupByKey]]),(OutputTable[GroupByKey]=OutputTable[[#This Row],[GroupByKey]])*OutputTable[RecordedValue]))</f>
        <v>0.248757454721409</v>
      </c>
      <c r="P120" s="5" cm="1">
        <f t="array" ref="P120">MAX(IF((OutputTable[GroupByKey]=OutputTable[[#This Row],[GroupByKey]]),(OutputTable[GroupByKey]=OutputTable[[#This Row],[GroupByKey]])*OutputTable[RecordedValue]))</f>
        <v>0.45327220218229702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73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88.466666666666669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9.1490844966279035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21" s="5" cm="1">
        <f t="array" ref="O121">MIN(IF((OutputTable[GroupByKey]=OutputTable[[#This Row],[GroupByKey]]),(OutputTable[GroupByKey]=OutputTable[[#This Row],[GroupByKey]])*OutputTable[RecordedValue]))</f>
        <v>68</v>
      </c>
      <c r="P121" s="5" cm="1">
        <f t="array" ref="P121">MAX(IF((OutputTable[GroupByKey]=OutputTable[[#This Row],[GroupByKey]]),(OutputTable[GroupByKey]=OutputTable[[#This Row],[GroupByKey]])*OutputTable[RecordedValue]))</f>
        <v>107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88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89.4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8.9619886955580537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22" s="5" cm="1">
        <f t="array" ref="O122">MIN(IF((OutputTable[GroupByKey]=OutputTable[[#This Row],[GroupByKey]]),(OutputTable[GroupByKey]=OutputTable[[#This Row],[GroupByKey]])*OutputTable[RecordedValue]))</f>
        <v>71</v>
      </c>
      <c r="P122" s="5" cm="1">
        <f t="array" ref="P122">MAX(IF((OutputTable[GroupByKey]=OutputTable[[#This Row],[GroupByKey]]),(OutputTable[GroupByKey]=OutputTable[[#This Row],[GroupByKey]])*OutputTable[RecordedValue]))</f>
        <v>108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88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88.466666666666669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9.1490844966279035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23" s="5" cm="1">
        <f t="array" ref="O123">MIN(IF((OutputTable[GroupByKey]=OutputTable[[#This Row],[GroupByKey]]),(OutputTable[GroupByKey]=OutputTable[[#This Row],[GroupByKey]])*OutputTable[RecordedValue]))</f>
        <v>68</v>
      </c>
      <c r="P123" s="5" cm="1">
        <f t="array" ref="P123">MAX(IF((OutputTable[GroupByKey]=OutputTable[[#This Row],[GroupByKey]]),(OutputTable[GroupByKey]=OutputTable[[#This Row],[GroupByKey]])*OutputTable[RecordedValue]))</f>
        <v>107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88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89.4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8.9619886955580537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24" s="5" cm="1">
        <f t="array" ref="O124">MIN(IF((OutputTable[GroupByKey]=OutputTable[[#This Row],[GroupByKey]]),(OutputTable[GroupByKey]=OutputTable[[#This Row],[GroupByKey]])*OutputTable[RecordedValue]))</f>
        <v>71</v>
      </c>
      <c r="P124" s="5" cm="1">
        <f t="array" ref="P124">MAX(IF((OutputTable[GroupByKey]=OutputTable[[#This Row],[GroupByKey]]),(OutputTable[GroupByKey]=OutputTable[[#This Row],[GroupByKey]])*OutputTable[RecordedValue]))</f>
        <v>108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0.31257468305705199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0.33974800639003316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4.9728761309198614E-2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125" s="5" cm="1">
        <f t="array" ref="O125">MIN(IF((OutputTable[GroupByKey]=OutputTable[[#This Row],[GroupByKey]]),(OutputTable[GroupByKey]=OutputTable[[#This Row],[GroupByKey]])*OutputTable[RecordedValue]))</f>
        <v>0.248757454721409</v>
      </c>
      <c r="P125" s="5" cm="1">
        <f t="array" ref="P125">MAX(IF((OutputTable[GroupByKey]=OutputTable[[#This Row],[GroupByKey]]),(OutputTable[GroupByKey]=OutputTable[[#This Row],[GroupByKey]])*OutputTable[RecordedValue]))</f>
        <v>0.45327220218229702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88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88.466666666666669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9.1490844966279035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26" s="5" cm="1">
        <f t="array" ref="O126">MIN(IF((OutputTable[GroupByKey]=OutputTable[[#This Row],[GroupByKey]]),(OutputTable[GroupByKey]=OutputTable[[#This Row],[GroupByKey]])*OutputTable[RecordedValue]))</f>
        <v>68</v>
      </c>
      <c r="P126" s="5" cm="1">
        <f t="array" ref="P126">MAX(IF((OutputTable[GroupByKey]=OutputTable[[#This Row],[GroupByKey]]),(OutputTable[GroupByKey]=OutputTable[[#This Row],[GroupByKey]])*OutputTable[RecordedValue]))</f>
        <v>107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81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89.4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8.9619886955580537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27" s="5" cm="1">
        <f t="array" ref="O127">MIN(IF((OutputTable[GroupByKey]=OutputTable[[#This Row],[GroupByKey]]),(OutputTable[GroupByKey]=OutputTable[[#This Row],[GroupByKey]])*OutputTable[RecordedValue]))</f>
        <v>71</v>
      </c>
      <c r="P127" s="5" cm="1">
        <f t="array" ref="P127">MAX(IF((OutputTable[GroupByKey]=OutputTable[[#This Row],[GroupByKey]]),(OutputTable[GroupByKey]=OutputTable[[#This Row],[GroupByKey]])*OutputTable[RecordedValue]))</f>
        <v>108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80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88.466666666666669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9.1490844966279035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28" s="5" cm="1">
        <f t="array" ref="O128">MIN(IF((OutputTable[GroupByKey]=OutputTable[[#This Row],[GroupByKey]]),(OutputTable[GroupByKey]=OutputTable[[#This Row],[GroupByKey]])*OutputTable[RecordedValue]))</f>
        <v>68</v>
      </c>
      <c r="P128" s="5" cm="1">
        <f t="array" ref="P128">MAX(IF((OutputTable[GroupByKey]=OutputTable[[#This Row],[GroupByKey]]),(OutputTable[GroupByKey]=OutputTable[[#This Row],[GroupByKey]])*OutputTable[RecordedValue]))</f>
        <v>107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81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89.4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8.9619886955580537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29" s="5" cm="1">
        <f t="array" ref="O129">MIN(IF((OutputTable[GroupByKey]=OutputTable[[#This Row],[GroupByKey]]),(OutputTable[GroupByKey]=OutputTable[[#This Row],[GroupByKey]])*OutputTable[RecordedValue]))</f>
        <v>71</v>
      </c>
      <c r="P129" s="5" cm="1">
        <f t="array" ref="P129">MAX(IF((OutputTable[GroupByKey]=OutputTable[[#This Row],[GroupByKey]]),(OutputTable[GroupByKey]=OutputTable[[#This Row],[GroupByKey]])*OutputTable[RecordedValue]))</f>
        <v>108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0.298492523166975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0.33974800639003316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4.9728761309198614E-2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130" s="5" cm="1">
        <f t="array" ref="O130">MIN(IF((OutputTable[GroupByKey]=OutputTable[[#This Row],[GroupByKey]]),(OutputTable[GroupByKey]=OutputTable[[#This Row],[GroupByKey]])*OutputTable[RecordedValue]))</f>
        <v>0.248757454721409</v>
      </c>
      <c r="P130" s="5" cm="1">
        <f t="array" ref="P130">MAX(IF((OutputTable[GroupByKey]=OutputTable[[#This Row],[GroupByKey]]),(OutputTable[GroupByKey]=OutputTable[[#This Row],[GroupByKey]])*OutputTable[RecordedValue]))</f>
        <v>0.45327220218229702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80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88.466666666666669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9.1490844966279035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31" s="5" cm="1">
        <f t="array" ref="O131">MIN(IF((OutputTable[GroupByKey]=OutputTable[[#This Row],[GroupByKey]]),(OutputTable[GroupByKey]=OutputTable[[#This Row],[GroupByKey]])*OutputTable[RecordedValue]))</f>
        <v>68</v>
      </c>
      <c r="P131" s="5" cm="1">
        <f t="array" ref="P131">MAX(IF((OutputTable[GroupByKey]=OutputTable[[#This Row],[GroupByKey]]),(OutputTable[GroupByKey]=OutputTable[[#This Row],[GroupByKey]])*OutputTable[RecordedValue]))</f>
        <v>107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90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89.4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8.9619886955580537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32" s="5" cm="1">
        <f t="array" ref="O132">MIN(IF((OutputTable[GroupByKey]=OutputTable[[#This Row],[GroupByKey]]),(OutputTable[GroupByKey]=OutputTable[[#This Row],[GroupByKey]])*OutputTable[RecordedValue]))</f>
        <v>71</v>
      </c>
      <c r="P132" s="5" cm="1">
        <f t="array" ref="P132">MAX(IF((OutputTable[GroupByKey]=OutputTable[[#This Row],[GroupByKey]]),(OutputTable[GroupByKey]=OutputTable[[#This Row],[GroupByKey]])*OutputTable[RecordedValue]))</f>
        <v>108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88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88.466666666666669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9.1490844966279035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33" s="5" cm="1">
        <f t="array" ref="O133">MIN(IF((OutputTable[GroupByKey]=OutputTable[[#This Row],[GroupByKey]]),(OutputTable[GroupByKey]=OutputTable[[#This Row],[GroupByKey]])*OutputTable[RecordedValue]))</f>
        <v>68</v>
      </c>
      <c r="P133" s="5" cm="1">
        <f t="array" ref="P133">MAX(IF((OutputTable[GroupByKey]=OutputTable[[#This Row],[GroupByKey]]),(OutputTable[GroupByKey]=OutputTable[[#This Row],[GroupByKey]])*OutputTable[RecordedValue]))</f>
        <v>107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90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89.4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8.9619886955580537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34" s="5" cm="1">
        <f t="array" ref="O134">MIN(IF((OutputTable[GroupByKey]=OutputTable[[#This Row],[GroupByKey]]),(OutputTable[GroupByKey]=OutputTable[[#This Row],[GroupByKey]])*OutputTable[RecordedValue]))</f>
        <v>71</v>
      </c>
      <c r="P134" s="5" cm="1">
        <f t="array" ref="P134">MAX(IF((OutputTable[GroupByKey]=OutputTable[[#This Row],[GroupByKey]]),(OutputTable[GroupByKey]=OutputTable[[#This Row],[GroupByKey]])*OutputTable[RecordedValue]))</f>
        <v>108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0.36166266889385801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0.33974800639003316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4.9728761309198614E-2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135" s="5" cm="1">
        <f t="array" ref="O135">MIN(IF((OutputTable[GroupByKey]=OutputTable[[#This Row],[GroupByKey]]),(OutputTable[GroupByKey]=OutputTable[[#This Row],[GroupByKey]])*OutputTable[RecordedValue]))</f>
        <v>0.248757454721409</v>
      </c>
      <c r="P135" s="5" cm="1">
        <f t="array" ref="P135">MAX(IF((OutputTable[GroupByKey]=OutputTable[[#This Row],[GroupByKey]]),(OutputTable[GroupByKey]=OutputTable[[#This Row],[GroupByKey]])*OutputTable[RecordedValue]))</f>
        <v>0.45327220218229702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88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88.466666666666669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9.1490844966279035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36" s="5" cm="1">
        <f t="array" ref="O136">MIN(IF((OutputTable[GroupByKey]=OutputTable[[#This Row],[GroupByKey]]),(OutputTable[GroupByKey]=OutputTable[[#This Row],[GroupByKey]])*OutputTable[RecordedValue]))</f>
        <v>68</v>
      </c>
      <c r="P136" s="5" cm="1">
        <f t="array" ref="P136">MAX(IF((OutputTable[GroupByKey]=OutputTable[[#This Row],[GroupByKey]]),(OutputTable[GroupByKey]=OutputTable[[#This Row],[GroupByKey]])*OutputTable[RecordedValue]))</f>
        <v>107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98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89.4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8.9619886955580537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37" s="5" cm="1">
        <f t="array" ref="O137">MIN(IF((OutputTable[GroupByKey]=OutputTable[[#This Row],[GroupByKey]]),(OutputTable[GroupByKey]=OutputTable[[#This Row],[GroupByKey]])*OutputTable[RecordedValue]))</f>
        <v>71</v>
      </c>
      <c r="P137" s="5" cm="1">
        <f t="array" ref="P137">MAX(IF((OutputTable[GroupByKey]=OutputTable[[#This Row],[GroupByKey]]),(OutputTable[GroupByKey]=OutputTable[[#This Row],[GroupByKey]])*OutputTable[RecordedValue]))</f>
        <v>108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98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88.466666666666669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9.1490844966279035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38" s="5" cm="1">
        <f t="array" ref="O138">MIN(IF((OutputTable[GroupByKey]=OutputTable[[#This Row],[GroupByKey]]),(OutputTable[GroupByKey]=OutputTable[[#This Row],[GroupByKey]])*OutputTable[RecordedValue]))</f>
        <v>68</v>
      </c>
      <c r="P138" s="5" cm="1">
        <f t="array" ref="P138">MAX(IF((OutputTable[GroupByKey]=OutputTable[[#This Row],[GroupByKey]]),(OutputTable[GroupByKey]=OutputTable[[#This Row],[GroupByKey]])*OutputTable[RecordedValue]))</f>
        <v>107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98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89.4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8.9619886955580537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39" s="5" cm="1">
        <f t="array" ref="O139">MIN(IF((OutputTable[GroupByKey]=OutputTable[[#This Row],[GroupByKey]]),(OutputTable[GroupByKey]=OutputTable[[#This Row],[GroupByKey]])*OutputTable[RecordedValue]))</f>
        <v>71</v>
      </c>
      <c r="P139" s="5" cm="1">
        <f t="array" ref="P139">MAX(IF((OutputTable[GroupByKey]=OutputTable[[#This Row],[GroupByKey]]),(OutputTable[GroupByKey]=OutputTable[[#This Row],[GroupByKey]])*OutputTable[RecordedValue]))</f>
        <v>108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0.36978976128260699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0.33974800639003316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4.9728761309198614E-2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140" s="5" cm="1">
        <f t="array" ref="O140">MIN(IF((OutputTable[GroupByKey]=OutputTable[[#This Row],[GroupByKey]]),(OutputTable[GroupByKey]=OutputTable[[#This Row],[GroupByKey]])*OutputTable[RecordedValue]))</f>
        <v>0.248757454721409</v>
      </c>
      <c r="P140" s="5" cm="1">
        <f t="array" ref="P140">MAX(IF((OutputTable[GroupByKey]=OutputTable[[#This Row],[GroupByKey]]),(OutputTable[GroupByKey]=OutputTable[[#This Row],[GroupByKey]])*OutputTable[RecordedValue]))</f>
        <v>0.45327220218229702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98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88.466666666666669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9.1490844966279035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41" s="5" cm="1">
        <f t="array" ref="O141">MIN(IF((OutputTable[GroupByKey]=OutputTable[[#This Row],[GroupByKey]]),(OutputTable[GroupByKey]=OutputTable[[#This Row],[GroupByKey]])*OutputTable[RecordedValue]))</f>
        <v>68</v>
      </c>
      <c r="P141" s="5" cm="1">
        <f t="array" ref="P141">MAX(IF((OutputTable[GroupByKey]=OutputTable[[#This Row],[GroupByKey]]),(OutputTable[GroupByKey]=OutputTable[[#This Row],[GroupByKey]])*OutputTable[RecordedValue]))</f>
        <v>107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90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89.4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8.9619886955580537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42" s="5" cm="1">
        <f t="array" ref="O142">MIN(IF((OutputTable[GroupByKey]=OutputTable[[#This Row],[GroupByKey]]),(OutputTable[GroupByKey]=OutputTable[[#This Row],[GroupByKey]])*OutputTable[RecordedValue]))</f>
        <v>71</v>
      </c>
      <c r="P142" s="5" cm="1">
        <f t="array" ref="P142">MAX(IF((OutputTable[GroupByKey]=OutputTable[[#This Row],[GroupByKey]]),(OutputTable[GroupByKey]=OutputTable[[#This Row],[GroupByKey]])*OutputTable[RecordedValue]))</f>
        <v>108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89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88.466666666666669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9.1490844966279035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43" s="5" cm="1">
        <f t="array" ref="O143">MIN(IF((OutputTable[GroupByKey]=OutputTable[[#This Row],[GroupByKey]]),(OutputTable[GroupByKey]=OutputTable[[#This Row],[GroupByKey]])*OutputTable[RecordedValue]))</f>
        <v>68</v>
      </c>
      <c r="P143" s="5" cm="1">
        <f t="array" ref="P143">MAX(IF((OutputTable[GroupByKey]=OutputTable[[#This Row],[GroupByKey]]),(OutputTable[GroupByKey]=OutputTable[[#This Row],[GroupByKey]])*OutputTable[RecordedValue]))</f>
        <v>107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90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89.4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8.9619886955580537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44" s="5" cm="1">
        <f t="array" ref="O144">MIN(IF((OutputTable[GroupByKey]=OutputTable[[#This Row],[GroupByKey]]),(OutputTable[GroupByKey]=OutputTable[[#This Row],[GroupByKey]])*OutputTable[RecordedValue]))</f>
        <v>71</v>
      </c>
      <c r="P144" s="5" cm="1">
        <f t="array" ref="P144">MAX(IF((OutputTable[GroupByKey]=OutputTable[[#This Row],[GroupByKey]]),(OutputTable[GroupByKey]=OutputTable[[#This Row],[GroupByKey]])*OutputTable[RecordedValue]))</f>
        <v>108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0.35436813128280398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0.33974800639003316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4.9728761309198614E-2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145" s="5" cm="1">
        <f t="array" ref="O145">MIN(IF((OutputTable[GroupByKey]=OutputTable[[#This Row],[GroupByKey]]),(OutputTable[GroupByKey]=OutputTable[[#This Row],[GroupByKey]])*OutputTable[RecordedValue]))</f>
        <v>0.248757454721409</v>
      </c>
      <c r="P145" s="5" cm="1">
        <f t="array" ref="P145">MAX(IF((OutputTable[GroupByKey]=OutputTable[[#This Row],[GroupByKey]]),(OutputTable[GroupByKey]=OutputTable[[#This Row],[GroupByKey]])*OutputTable[RecordedValue]))</f>
        <v>0.45327220218229702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89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88.466666666666669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9.1490844966279035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46" s="5" cm="1">
        <f t="array" ref="O146">MIN(IF((OutputTable[GroupByKey]=OutputTable[[#This Row],[GroupByKey]]),(OutputTable[GroupByKey]=OutputTable[[#This Row],[GroupByKey]])*OutputTable[RecordedValue]))</f>
        <v>68</v>
      </c>
      <c r="P146" s="5" cm="1">
        <f t="array" ref="P146">MAX(IF((OutputTable[GroupByKey]=OutputTable[[#This Row],[GroupByKey]]),(OutputTable[GroupByKey]=OutputTable[[#This Row],[GroupByKey]])*OutputTable[RecordedValue]))</f>
        <v>107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104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89.4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8.9619886955580537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47" s="5" cm="1">
        <f t="array" ref="O147">MIN(IF((OutputTable[GroupByKey]=OutputTable[[#This Row],[GroupByKey]]),(OutputTable[GroupByKey]=OutputTable[[#This Row],[GroupByKey]])*OutputTable[RecordedValue]))</f>
        <v>71</v>
      </c>
      <c r="P147" s="5" cm="1">
        <f t="array" ref="P147">MAX(IF((OutputTable[GroupByKey]=OutputTable[[#This Row],[GroupByKey]]),(OutputTable[GroupByKey]=OutputTable[[#This Row],[GroupByKey]])*OutputTable[RecordedValue]))</f>
        <v>108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102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88.466666666666669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9.1490844966279035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48" s="5" cm="1">
        <f t="array" ref="O148">MIN(IF((OutputTable[GroupByKey]=OutputTable[[#This Row],[GroupByKey]]),(OutputTable[GroupByKey]=OutputTable[[#This Row],[GroupByKey]])*OutputTable[RecordedValue]))</f>
        <v>68</v>
      </c>
      <c r="P148" s="5" cm="1">
        <f t="array" ref="P148">MAX(IF((OutputTable[GroupByKey]=OutputTable[[#This Row],[GroupByKey]]),(OutputTable[GroupByKey]=OutputTable[[#This Row],[GroupByKey]])*OutputTable[RecordedValue]))</f>
        <v>107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104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89.4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8.9619886955580537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3.3464615764780965</v>
      </c>
      <c r="O149" s="5" cm="1">
        <f t="array" ref="O149">MIN(IF((OutputTable[GroupByKey]=OutputTable[[#This Row],[GroupByKey]]),(OutputTable[GroupByKey]=OutputTable[[#This Row],[GroupByKey]])*OutputTable[RecordedValue]))</f>
        <v>71</v>
      </c>
      <c r="P149" s="5" cm="1">
        <f t="array" ref="P149">MAX(IF((OutputTable[GroupByKey]=OutputTable[[#This Row],[GroupByKey]]),(OutputTable[GroupByKey]=OutputTable[[#This Row],[GroupByKey]])*OutputTable[RecordedValue]))</f>
        <v>108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0.38455421629072101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0.33974800639003316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4.9728761309198614E-2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1.8569024646233528E-2</v>
      </c>
      <c r="O150" s="5" cm="1">
        <f t="array" ref="O150">MIN(IF((OutputTable[GroupByKey]=OutputTable[[#This Row],[GroupByKey]]),(OutputTable[GroupByKey]=OutputTable[[#This Row],[GroupByKey]])*OutputTable[RecordedValue]))</f>
        <v>0.248757454721409</v>
      </c>
      <c r="P150" s="5" cm="1">
        <f t="array" ref="P150">MAX(IF((OutputTable[GroupByKey]=OutputTable[[#This Row],[GroupByKey]]),(OutputTable[GroupByKey]=OutputTable[[#This Row],[GroupByKey]])*OutputTable[RecordedValue]))</f>
        <v>0.45327220218229702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102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88.466666666666669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9.1490844966279035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3.4163242967592509</v>
      </c>
      <c r="O151" s="5" cm="1">
        <f t="array" ref="O151">MIN(IF((OutputTable[GroupByKey]=OutputTable[[#This Row],[GroupByKey]]),(OutputTable[GroupByKey]=OutputTable[[#This Row],[GroupByKey]])*OutputTable[RecordedValue]))</f>
        <v>68</v>
      </c>
      <c r="P151" s="5" cm="1">
        <f t="array" ref="P151">MAX(IF((OutputTable[GroupByKey]=OutputTable[[#This Row],[GroupByKey]]),(OutputTable[GroupByKey]=OutputTable[[#This Row],[GroupByKey]])*OutputTable[RecordedValue]))</f>
        <v>107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2025-02-11T12:35:25Z</dcterms:modified>
</cp:coreProperties>
</file>