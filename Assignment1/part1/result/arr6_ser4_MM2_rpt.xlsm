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sem2\CS5233\Assignment\ass1\"/>
    </mc:Choice>
  </mc:AlternateContent>
  <xr:revisionPtr revIDLastSave="0" documentId="8_{969CC14D-459F-42DE-A8C8-BDB08975AB01}" xr6:coauthVersionLast="47" xr6:coauthVersionMax="47" xr10:uidLastSave="{00000000-0000-0000-0000-000000000000}"/>
  <bookViews>
    <workbookView xWindow="-110" yWindow="-110" windowWidth="25820" windowHeight="155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ContinuousTimeStatsByRep!$A$1:$L$151</definedName>
    <definedName name="ExternalData_1" localSheetId="4" hidden="1">CounterStatsByRep!$A$1:$G$61</definedName>
    <definedName name="ExternalData_1" localSheetId="2" hidden="1">DiscreteTimeStatsByRep!$A$1:$K$211</definedName>
    <definedName name="ExternalData_1" localSheetId="6" hidden="1">FrequencyStatsByRep!$A$1:$J$2</definedName>
    <definedName name="ExternalData_1" localSheetId="5" hidden="1">OutputStatsByRep!$A$1:$H$151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K21" i="20" s="1" a="1"/>
  <c r="K21" i="20" s="1"/>
  <c r="I9" i="20"/>
  <c r="I10" i="20"/>
  <c r="I11" i="20"/>
  <c r="I12" i="20"/>
  <c r="K22" i="20" s="1" a="1"/>
  <c r="K22" i="20" s="1"/>
  <c r="I13" i="20"/>
  <c r="I14" i="20"/>
  <c r="K28" i="20" s="1" a="1"/>
  <c r="K28" i="20" s="1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K4" i="20" s="1" a="1"/>
  <c r="K4" i="20" s="1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K53" i="20" s="1" a="1"/>
  <c r="K53" i="20" s="1"/>
  <c r="I59" i="20"/>
  <c r="I60" i="20"/>
  <c r="I61" i="20"/>
  <c r="I62" i="20"/>
  <c r="K54" i="20" s="1" a="1"/>
  <c r="K54" i="20" s="1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K90" i="20" s="1" a="1"/>
  <c r="K90" i="20" s="1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K122" i="20" s="1" a="1"/>
  <c r="K122" i="20" s="1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K16" i="20" a="1"/>
  <c r="K16" i="20" s="1"/>
  <c r="K37" i="20" a="1"/>
  <c r="K37" i="20" s="1"/>
  <c r="K38" i="20" a="1"/>
  <c r="K38" i="20" s="1"/>
  <c r="K41" i="20" a="1"/>
  <c r="K41" i="20" s="1"/>
  <c r="K42" i="20" a="1"/>
  <c r="K42" i="20" s="1"/>
  <c r="K43" i="20" a="1"/>
  <c r="K43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 s="1"/>
  <c r="K50" i="20" a="1"/>
  <c r="K50" i="20" s="1"/>
  <c r="K51" i="20" a="1"/>
  <c r="K51" i="20" s="1"/>
  <c r="K57" i="20" a="1"/>
  <c r="K57" i="20" s="1"/>
  <c r="K59" i="20" a="1"/>
  <c r="K59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L2" i="20" a="1"/>
  <c r="L2" i="20" s="1"/>
  <c r="L3" i="20" a="1"/>
  <c r="L3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N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N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66" i="20" a="1"/>
  <c r="M66" i="20" s="1"/>
  <c r="M67" i="20" a="1"/>
  <c r="M67" i="20" s="1"/>
  <c r="M68" i="20" a="1"/>
  <c r="M68" i="20" s="1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 s="1"/>
  <c r="M76" i="20" a="1"/>
  <c r="M76" i="20" s="1"/>
  <c r="M77" i="20" a="1"/>
  <c r="M77" i="20" s="1"/>
  <c r="M78" i="20" a="1"/>
  <c r="M78" i="20" s="1"/>
  <c r="M79" i="20" a="1"/>
  <c r="M79" i="20" s="1"/>
  <c r="M80" i="20" a="1"/>
  <c r="M80" i="20" s="1"/>
  <c r="M81" i="20" a="1"/>
  <c r="M81" i="20" s="1"/>
  <c r="M82" i="20" a="1"/>
  <c r="M82" i="20" s="1"/>
  <c r="M83" i="20" a="1"/>
  <c r="M83" i="20" s="1"/>
  <c r="M84" i="20" a="1"/>
  <c r="M84" i="20" s="1"/>
  <c r="M85" i="20" a="1"/>
  <c r="M85" i="20" s="1"/>
  <c r="M86" i="20" a="1"/>
  <c r="M86" i="20" s="1"/>
  <c r="M87" i="20" a="1"/>
  <c r="M87" i="20" s="1"/>
  <c r="M88" i="20" a="1"/>
  <c r="M88" i="20" s="1"/>
  <c r="M89" i="20" a="1"/>
  <c r="M89" i="20" s="1"/>
  <c r="M90" i="20" a="1"/>
  <c r="M90" i="20" s="1"/>
  <c r="M91" i="20" a="1"/>
  <c r="M91" i="20" s="1"/>
  <c r="M92" i="20" a="1"/>
  <c r="M92" i="20" s="1"/>
  <c r="M93" i="20" a="1"/>
  <c r="M93" i="20" s="1"/>
  <c r="M94" i="20" a="1"/>
  <c r="M94" i="20" s="1"/>
  <c r="M95" i="20" a="1"/>
  <c r="M95" i="20" s="1"/>
  <c r="M96" i="20" a="1"/>
  <c r="M96" i="20" s="1"/>
  <c r="M97" i="20" a="1"/>
  <c r="M97" i="20" s="1"/>
  <c r="M98" i="20" a="1"/>
  <c r="M98" i="20" s="1"/>
  <c r="M99" i="20" a="1"/>
  <c r="M99" i="20" s="1"/>
  <c r="M100" i="20" a="1"/>
  <c r="M100" i="20" s="1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 s="1"/>
  <c r="M106" i="20" a="1"/>
  <c r="M106" i="20" s="1"/>
  <c r="M107" i="20" a="1"/>
  <c r="M107" i="20" s="1"/>
  <c r="M108" i="20" a="1"/>
  <c r="M108" i="20" s="1"/>
  <c r="M109" i="20" a="1"/>
  <c r="M109" i="20" s="1"/>
  <c r="M110" i="20" a="1"/>
  <c r="M110" i="20" s="1"/>
  <c r="M111" i="20" a="1"/>
  <c r="M111" i="20" s="1"/>
  <c r="M112" i="20" a="1"/>
  <c r="M112" i="20" s="1"/>
  <c r="M113" i="20" a="1"/>
  <c r="M113" i="20" s="1"/>
  <c r="M114" i="20" a="1"/>
  <c r="M114" i="20" s="1"/>
  <c r="M115" i="20" a="1"/>
  <c r="M115" i="20" s="1"/>
  <c r="M116" i="20" a="1"/>
  <c r="M116" i="20" s="1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M123" i="20" a="1"/>
  <c r="M123" i="20" s="1"/>
  <c r="M124" i="20" a="1"/>
  <c r="M124" i="20" s="1"/>
  <c r="M125" i="20" a="1"/>
  <c r="M125" i="20" s="1"/>
  <c r="M126" i="20" a="1"/>
  <c r="M126" i="20" s="1"/>
  <c r="M127" i="20" a="1"/>
  <c r="M127" i="20" s="1"/>
  <c r="M128" i="20" a="1"/>
  <c r="M128" i="20" s="1"/>
  <c r="M129" i="20" a="1"/>
  <c r="M129" i="20" s="1"/>
  <c r="M130" i="20" a="1"/>
  <c r="M130" i="20" s="1"/>
  <c r="M131" i="20" a="1"/>
  <c r="M131" i="20" s="1"/>
  <c r="M132" i="20" a="1"/>
  <c r="M132" i="20" s="1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 s="1"/>
  <c r="M138" i="20" a="1"/>
  <c r="M138" i="20" s="1"/>
  <c r="M139" i="20" a="1"/>
  <c r="M139" i="20" s="1"/>
  <c r="M140" i="20" a="1"/>
  <c r="M140" i="20" s="1"/>
  <c r="M141" i="20" a="1"/>
  <c r="M141" i="20" s="1"/>
  <c r="M142" i="20" a="1"/>
  <c r="M142" i="20" s="1"/>
  <c r="M143" i="20" a="1"/>
  <c r="M143" i="20" s="1"/>
  <c r="M144" i="20" a="1"/>
  <c r="M144" i="20" s="1"/>
  <c r="M145" i="20" a="1"/>
  <c r="M145" i="20" s="1"/>
  <c r="M146" i="20" a="1"/>
  <c r="M146" i="20" s="1"/>
  <c r="M147" i="20" a="1"/>
  <c r="M147" i="20" s="1"/>
  <c r="M148" i="20" a="1"/>
  <c r="M148" i="20" s="1"/>
  <c r="M149" i="20" a="1"/>
  <c r="M149" i="20" s="1"/>
  <c r="M150" i="20" a="1"/>
  <c r="M150" i="20" s="1"/>
  <c r="M151" i="20" a="1"/>
  <c r="M151" i="20" s="1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 s="1"/>
  <c r="O72" i="20" a="1"/>
  <c r="O72" i="20" s="1"/>
  <c r="O73" i="20" a="1"/>
  <c r="O73" i="20" s="1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 s="1"/>
  <c r="O89" i="20" a="1"/>
  <c r="O89" i="20" s="1"/>
  <c r="O90" i="20" a="1"/>
  <c r="O90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H2" i="19"/>
  <c r="H3" i="19"/>
  <c r="H4" i="19"/>
  <c r="H5" i="19"/>
  <c r="H6" i="19"/>
  <c r="H7" i="19"/>
  <c r="H8" i="19"/>
  <c r="H9" i="19"/>
  <c r="J2" i="19" s="1" a="1"/>
  <c r="J2" i="19" s="1"/>
  <c r="H10" i="19"/>
  <c r="H11" i="19"/>
  <c r="J3" i="19" s="1" a="1"/>
  <c r="J3" i="19" s="1"/>
  <c r="H12" i="19"/>
  <c r="H13" i="19"/>
  <c r="H14" i="19"/>
  <c r="O4" i="19" s="1" a="1"/>
  <c r="O4" i="19" s="1"/>
  <c r="H15" i="19"/>
  <c r="H16" i="19"/>
  <c r="H17" i="19"/>
  <c r="J7" i="19" s="1" a="1"/>
  <c r="J7" i="19" s="1"/>
  <c r="H18" i="19"/>
  <c r="H19" i="19"/>
  <c r="H20" i="19"/>
  <c r="H21" i="19"/>
  <c r="K21" i="19" s="1" a="1"/>
  <c r="K21" i="19" s="1"/>
  <c r="H22" i="19"/>
  <c r="H23" i="19"/>
  <c r="J23" i="19" s="1" a="1"/>
  <c r="J23" i="19" s="1"/>
  <c r="H24" i="19"/>
  <c r="H25" i="19"/>
  <c r="K2" i="19" s="1" a="1"/>
  <c r="K2" i="19" s="1"/>
  <c r="H26" i="19"/>
  <c r="J26" i="19" s="1" a="1"/>
  <c r="J26" i="19" s="1"/>
  <c r="H27" i="19"/>
  <c r="J27" i="19" s="1" a="1"/>
  <c r="J27" i="19" s="1"/>
  <c r="H28" i="19"/>
  <c r="H29" i="19"/>
  <c r="H30" i="19"/>
  <c r="J30" i="19" s="1" a="1"/>
  <c r="J30" i="19" s="1"/>
  <c r="H31" i="19"/>
  <c r="H32" i="19"/>
  <c r="N32" i="19" s="1" a="1"/>
  <c r="N32" i="19" s="1"/>
  <c r="H33" i="19"/>
  <c r="N33" i="19" s="1" a="1"/>
  <c r="N33" i="19" s="1"/>
  <c r="H34" i="19"/>
  <c r="H35" i="19"/>
  <c r="H36" i="19"/>
  <c r="H37" i="19"/>
  <c r="H38" i="19"/>
  <c r="H39" i="19"/>
  <c r="H40" i="19"/>
  <c r="J37" i="19" s="1" a="1"/>
  <c r="J37" i="19" s="1"/>
  <c r="H41" i="19"/>
  <c r="H42" i="19"/>
  <c r="H43" i="19"/>
  <c r="H44" i="19"/>
  <c r="N11" i="19" s="1" a="1"/>
  <c r="N11" i="19" s="1"/>
  <c r="H45" i="19"/>
  <c r="H46" i="19"/>
  <c r="J46" i="19" s="1" a="1"/>
  <c r="J46" i="19" s="1"/>
  <c r="H47" i="19"/>
  <c r="J47" i="19" s="1" a="1"/>
  <c r="J47" i="19" s="1"/>
  <c r="H48" i="19"/>
  <c r="H49" i="19"/>
  <c r="H50" i="19"/>
  <c r="H51" i="19"/>
  <c r="H52" i="19"/>
  <c r="K22" i="19" s="1" a="1"/>
  <c r="K22" i="19" s="1"/>
  <c r="H53" i="19"/>
  <c r="H54" i="19"/>
  <c r="K54" i="19" s="1" a="1"/>
  <c r="K54" i="19" s="1"/>
  <c r="H55" i="19"/>
  <c r="K55" i="19" s="1" a="1"/>
  <c r="K55" i="19" s="1"/>
  <c r="H56" i="19"/>
  <c r="H57" i="19"/>
  <c r="H58" i="19"/>
  <c r="J58" i="19" s="1" a="1"/>
  <c r="J58" i="19" s="1"/>
  <c r="H59" i="19"/>
  <c r="H60" i="19"/>
  <c r="K60" i="19" s="1" a="1"/>
  <c r="K60" i="19" s="1"/>
  <c r="H61" i="19"/>
  <c r="J61" i="19" s="1" a="1"/>
  <c r="J61" i="19" s="1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8" i="19" a="1"/>
  <c r="I28" i="19"/>
  <c r="I29" i="19" a="1"/>
  <c r="I29" i="19" s="1"/>
  <c r="I30" i="19" a="1"/>
  <c r="I30" i="19" s="1"/>
  <c r="I31" i="19" a="1"/>
  <c r="I31" i="19" s="1"/>
  <c r="I32" i="19" a="1"/>
  <c r="I32" i="19" s="1"/>
  <c r="I33" i="19" a="1"/>
  <c r="I33" i="19" s="1"/>
  <c r="I34" i="19" a="1"/>
  <c r="I34" i="19" s="1"/>
  <c r="I35" i="19" a="1"/>
  <c r="I35" i="19" s="1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 s="1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 s="1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J6" i="19" a="1"/>
  <c r="J6" i="19" s="1"/>
  <c r="J19" i="19" a="1"/>
  <c r="J19" i="19" s="1"/>
  <c r="J29" i="19" a="1"/>
  <c r="J29" i="19" s="1"/>
  <c r="J35" i="19" a="1"/>
  <c r="J35" i="19" s="1"/>
  <c r="J39" i="19" a="1"/>
  <c r="J39" i="19" s="1"/>
  <c r="J52" i="19" a="1"/>
  <c r="J52" i="19" s="1"/>
  <c r="J57" i="19" a="1"/>
  <c r="J57" i="19" s="1"/>
  <c r="K5" i="19" a="1"/>
  <c r="K5" i="19" s="1"/>
  <c r="K7" i="19" a="1"/>
  <c r="K7" i="19" s="1"/>
  <c r="K8" i="19" a="1"/>
  <c r="K8" i="19" s="1"/>
  <c r="K9" i="19" a="1"/>
  <c r="K9" i="19" s="1"/>
  <c r="K10" i="19" a="1"/>
  <c r="K10" i="19" s="1"/>
  <c r="K11" i="19" a="1"/>
  <c r="K11" i="19" s="1"/>
  <c r="K13" i="19" a="1"/>
  <c r="K13" i="19" s="1"/>
  <c r="K14" i="19" a="1"/>
  <c r="K14" i="19" s="1"/>
  <c r="K15" i="19" a="1"/>
  <c r="K15" i="19" s="1"/>
  <c r="K16" i="19" a="1"/>
  <c r="K16" i="19" s="1"/>
  <c r="K17" i="19" a="1"/>
  <c r="K17" i="19" s="1"/>
  <c r="K23" i="19" a="1"/>
  <c r="K23" i="19" s="1"/>
  <c r="K24" i="19" a="1"/>
  <c r="K24" i="19" s="1"/>
  <c r="K25" i="19" a="1"/>
  <c r="K25" i="19" s="1"/>
  <c r="K26" i="19" a="1"/>
  <c r="K26" i="19" s="1"/>
  <c r="K27" i="19" a="1"/>
  <c r="K27" i="19" s="1"/>
  <c r="K30" i="19" a="1"/>
  <c r="K30" i="19" s="1"/>
  <c r="K31" i="19" a="1"/>
  <c r="K31" i="19" s="1"/>
  <c r="K33" i="19" a="1"/>
  <c r="K33" i="19" s="1"/>
  <c r="K38" i="19" a="1"/>
  <c r="K38" i="19" s="1"/>
  <c r="K39" i="19" a="1"/>
  <c r="K39" i="19" s="1"/>
  <c r="K41" i="19" a="1"/>
  <c r="K41" i="19" s="1"/>
  <c r="K42" i="19" a="1"/>
  <c r="K42" i="19" s="1"/>
  <c r="K43" i="19" a="1"/>
  <c r="K43" i="19" s="1"/>
  <c r="K45" i="19" a="1"/>
  <c r="K45" i="19" s="1"/>
  <c r="K46" i="19" a="1"/>
  <c r="K46" i="19" s="1"/>
  <c r="K47" i="19" a="1"/>
  <c r="K47" i="19" s="1"/>
  <c r="K48" i="19" a="1"/>
  <c r="K48" i="19" s="1"/>
  <c r="K49" i="19" a="1"/>
  <c r="K49" i="19" s="1"/>
  <c r="K50" i="19" a="1"/>
  <c r="K50" i="19" s="1"/>
  <c r="K51" i="19" a="1"/>
  <c r="K51" i="19" s="1"/>
  <c r="K53" i="19" a="1"/>
  <c r="K53" i="19" s="1"/>
  <c r="K57" i="19" a="1"/>
  <c r="K57" i="19" s="1"/>
  <c r="K58" i="19" a="1"/>
  <c r="K58" i="19" s="1"/>
  <c r="K59" i="19" a="1"/>
  <c r="K59" i="19" s="1"/>
  <c r="K61" i="19" a="1"/>
  <c r="K61" i="19" s="1"/>
  <c r="L2" i="19" a="1"/>
  <c r="L2" i="19" s="1"/>
  <c r="L3" i="19" a="1"/>
  <c r="L3" i="19" s="1"/>
  <c r="L4" i="19" a="1"/>
  <c r="L4" i="19" s="1"/>
  <c r="L5" i="19" a="1"/>
  <c r="L5" i="19" s="1"/>
  <c r="L6" i="19" a="1"/>
  <c r="L6" i="19" s="1"/>
  <c r="L7" i="19" a="1"/>
  <c r="L7" i="19" s="1"/>
  <c r="L8" i="19" a="1"/>
  <c r="L8" i="19" s="1"/>
  <c r="L9" i="19" a="1"/>
  <c r="L9" i="19" s="1"/>
  <c r="L10" i="19" a="1"/>
  <c r="L10" i="19" s="1"/>
  <c r="L11" i="19" a="1"/>
  <c r="L11" i="19" s="1"/>
  <c r="L12" i="19" a="1"/>
  <c r="L12" i="19" s="1"/>
  <c r="L13" i="19" a="1"/>
  <c r="L13" i="19" s="1"/>
  <c r="M13" i="19" s="1"/>
  <c r="L14" i="19" a="1"/>
  <c r="L14" i="19" s="1"/>
  <c r="L15" i="19" a="1"/>
  <c r="L15" i="19" s="1"/>
  <c r="L16" i="19" a="1"/>
  <c r="L16" i="19" s="1"/>
  <c r="M16" i="19" s="1"/>
  <c r="L17" i="19" a="1"/>
  <c r="L17" i="19" s="1"/>
  <c r="M17" i="19" s="1"/>
  <c r="L18" i="19" a="1"/>
  <c r="L18" i="19" s="1"/>
  <c r="L19" i="19" a="1"/>
  <c r="L19" i="19" s="1"/>
  <c r="L20" i="19" a="1"/>
  <c r="L20" i="19" s="1"/>
  <c r="L21" i="19" a="1"/>
  <c r="L21" i="19" s="1"/>
  <c r="L22" i="19" a="1"/>
  <c r="L22" i="19" s="1"/>
  <c r="L23" i="19" a="1"/>
  <c r="L23" i="19" s="1"/>
  <c r="L24" i="19" a="1"/>
  <c r="L24" i="19" s="1"/>
  <c r="M24" i="19" s="1"/>
  <c r="L25" i="19" a="1"/>
  <c r="L25" i="19" s="1"/>
  <c r="L26" i="19" a="1"/>
  <c r="L26" i="19" s="1"/>
  <c r="L27" i="19" a="1"/>
  <c r="L27" i="19" s="1"/>
  <c r="L28" i="19" a="1"/>
  <c r="L28" i="19" s="1"/>
  <c r="L29" i="19" a="1"/>
  <c r="L29" i="19" s="1"/>
  <c r="L30" i="19" a="1"/>
  <c r="L30" i="19" s="1"/>
  <c r="L31" i="19" a="1"/>
  <c r="L31" i="19" s="1"/>
  <c r="L32" i="19" a="1"/>
  <c r="L32" i="19" s="1"/>
  <c r="L33" i="19" a="1"/>
  <c r="L33" i="19" s="1"/>
  <c r="M33" i="19" s="1"/>
  <c r="L34" i="19" a="1"/>
  <c r="L34" i="19" s="1"/>
  <c r="L35" i="19" a="1"/>
  <c r="L35" i="19" s="1"/>
  <c r="L36" i="19" a="1"/>
  <c r="L36" i="19" s="1"/>
  <c r="L37" i="19" a="1"/>
  <c r="L37" i="19" s="1"/>
  <c r="L38" i="19" a="1"/>
  <c r="L38" i="19" s="1"/>
  <c r="L39" i="19" a="1"/>
  <c r="L39" i="19" s="1"/>
  <c r="L40" i="19" a="1"/>
  <c r="L40" i="19" s="1"/>
  <c r="L41" i="19" a="1"/>
  <c r="L41" i="19" s="1"/>
  <c r="L42" i="19" a="1"/>
  <c r="L42" i="19" s="1"/>
  <c r="L43" i="19" a="1"/>
  <c r="L43" i="19" s="1"/>
  <c r="L44" i="19" a="1"/>
  <c r="L44" i="19" s="1"/>
  <c r="L45" i="19" a="1"/>
  <c r="L45" i="19" s="1"/>
  <c r="M45" i="19" s="1"/>
  <c r="L46" i="19" a="1"/>
  <c r="L46" i="19" s="1"/>
  <c r="L47" i="19" a="1"/>
  <c r="L47" i="19" s="1"/>
  <c r="M47" i="19" s="1"/>
  <c r="L48" i="19" a="1"/>
  <c r="L48" i="19" s="1"/>
  <c r="L49" i="19" a="1"/>
  <c r="L49" i="19" s="1"/>
  <c r="M49" i="19" s="1"/>
  <c r="L50" i="19" a="1"/>
  <c r="L50" i="19" s="1"/>
  <c r="L51" i="19" a="1"/>
  <c r="L51" i="19" s="1"/>
  <c r="M51" i="19" s="1"/>
  <c r="L52" i="19" a="1"/>
  <c r="L52" i="19" s="1"/>
  <c r="L53" i="19" a="1"/>
  <c r="L53" i="19" s="1"/>
  <c r="M53" i="19" s="1"/>
  <c r="L54" i="19" a="1"/>
  <c r="L54" i="19" s="1"/>
  <c r="L55" i="19" a="1"/>
  <c r="L55" i="19" s="1"/>
  <c r="L56" i="19" a="1"/>
  <c r="L56" i="19" s="1"/>
  <c r="L57" i="19" a="1"/>
  <c r="L57" i="19" s="1"/>
  <c r="L58" i="19" a="1"/>
  <c r="L58" i="19" s="1"/>
  <c r="L59" i="19" a="1"/>
  <c r="L59" i="19" s="1"/>
  <c r="L60" i="19" a="1"/>
  <c r="L60" i="19" s="1"/>
  <c r="L61" i="19" a="1"/>
  <c r="L61" i="19" s="1"/>
  <c r="N2" i="19" a="1"/>
  <c r="N2" i="19" s="1"/>
  <c r="N3" i="19" a="1"/>
  <c r="N3" i="19" s="1"/>
  <c r="N4" i="19" a="1"/>
  <c r="N4" i="19" s="1"/>
  <c r="N5" i="19" a="1"/>
  <c r="N5" i="19" s="1"/>
  <c r="N7" i="19" a="1"/>
  <c r="N7" i="19" s="1"/>
  <c r="N8" i="19" a="1"/>
  <c r="N8" i="19" s="1"/>
  <c r="N9" i="19" a="1"/>
  <c r="N9" i="19" s="1"/>
  <c r="N10" i="19" a="1"/>
  <c r="N10" i="19" s="1"/>
  <c r="N12" i="19" a="1"/>
  <c r="N12" i="19" s="1"/>
  <c r="N13" i="19" a="1"/>
  <c r="N13" i="19" s="1"/>
  <c r="N15" i="19" a="1"/>
  <c r="N15" i="19" s="1"/>
  <c r="N17" i="19" a="1"/>
  <c r="N17" i="19" s="1"/>
  <c r="N18" i="19" a="1"/>
  <c r="N18" i="19" s="1"/>
  <c r="N19" i="19" a="1"/>
  <c r="N19" i="19" s="1"/>
  <c r="N20" i="19" a="1"/>
  <c r="N20" i="19" s="1"/>
  <c r="N21" i="19" a="1"/>
  <c r="N21" i="19" s="1"/>
  <c r="N22" i="19" a="1"/>
  <c r="N22" i="19" s="1"/>
  <c r="N23" i="19" a="1"/>
  <c r="N23" i="19" s="1"/>
  <c r="N24" i="19" a="1"/>
  <c r="N24" i="19" s="1"/>
  <c r="N25" i="19" a="1"/>
  <c r="N25" i="19" s="1"/>
  <c r="N26" i="19" a="1"/>
  <c r="N26" i="19" s="1"/>
  <c r="N27" i="19" a="1"/>
  <c r="N27" i="19" s="1"/>
  <c r="N28" i="19" a="1"/>
  <c r="N28" i="19" s="1"/>
  <c r="N29" i="19" a="1"/>
  <c r="N29" i="19" s="1"/>
  <c r="N31" i="19" a="1"/>
  <c r="N31" i="19" s="1"/>
  <c r="N35" i="19" a="1"/>
  <c r="N35" i="19" s="1"/>
  <c r="N36" i="19" a="1"/>
  <c r="N36" i="19" s="1"/>
  <c r="N37" i="19" a="1"/>
  <c r="N37" i="19" s="1"/>
  <c r="N38" i="19" a="1"/>
  <c r="N38" i="19" s="1"/>
  <c r="N39" i="19" a="1"/>
  <c r="N39" i="19" s="1"/>
  <c r="N40" i="19" a="1"/>
  <c r="N40" i="19" s="1"/>
  <c r="N41" i="19" a="1"/>
  <c r="N41" i="19" s="1"/>
  <c r="N42" i="19" a="1"/>
  <c r="N42" i="19" s="1"/>
  <c r="N43" i="19" a="1"/>
  <c r="N43" i="19" s="1"/>
  <c r="N44" i="19" a="1"/>
  <c r="N44" i="19" s="1"/>
  <c r="N45" i="19" a="1"/>
  <c r="N45" i="19" s="1"/>
  <c r="N47" i="19" a="1"/>
  <c r="N47" i="19" s="1"/>
  <c r="N48" i="19" a="1"/>
  <c r="N48" i="19" s="1"/>
  <c r="N49" i="19" a="1"/>
  <c r="N49" i="19" s="1"/>
  <c r="N50" i="19" a="1"/>
  <c r="N50" i="19" s="1"/>
  <c r="N51" i="19" a="1"/>
  <c r="N51" i="19" s="1"/>
  <c r="N52" i="19" a="1"/>
  <c r="N52" i="19" s="1"/>
  <c r="N53" i="19" a="1"/>
  <c r="N53" i="19" s="1"/>
  <c r="N54" i="19" a="1"/>
  <c r="N54" i="19" s="1"/>
  <c r="N55" i="19" a="1"/>
  <c r="N55" i="19" s="1"/>
  <c r="N56" i="19" a="1"/>
  <c r="N56" i="19" s="1"/>
  <c r="N57" i="19" a="1"/>
  <c r="N57" i="19" s="1"/>
  <c r="N58" i="19" a="1"/>
  <c r="N58" i="19" s="1"/>
  <c r="N59" i="19" a="1"/>
  <c r="N59" i="19" s="1"/>
  <c r="N60" i="19" a="1"/>
  <c r="N60" i="19" s="1"/>
  <c r="N61" i="19" a="1"/>
  <c r="N61" i="19" s="1"/>
  <c r="O2" i="19" a="1"/>
  <c r="O2" i="19" s="1"/>
  <c r="O3" i="19" a="1"/>
  <c r="O3" i="19" s="1"/>
  <c r="O6" i="19" a="1"/>
  <c r="O6" i="19" s="1"/>
  <c r="O7" i="19" a="1"/>
  <c r="O7" i="19" s="1"/>
  <c r="O8" i="19" a="1"/>
  <c r="O8" i="19" s="1"/>
  <c r="O9" i="19" a="1"/>
  <c r="O9" i="19" s="1"/>
  <c r="O10" i="19" a="1"/>
  <c r="O10" i="19" s="1"/>
  <c r="O11" i="19" a="1"/>
  <c r="O11" i="19" s="1"/>
  <c r="O12" i="19" a="1"/>
  <c r="O12" i="19" s="1"/>
  <c r="O13" i="19" a="1"/>
  <c r="O13" i="19" s="1"/>
  <c r="O14" i="19" a="1"/>
  <c r="O14" i="19" s="1"/>
  <c r="O15" i="19" a="1"/>
  <c r="O15" i="19" s="1"/>
  <c r="O16" i="19" a="1"/>
  <c r="O16" i="19" s="1"/>
  <c r="O17" i="19" a="1"/>
  <c r="O17" i="19" s="1"/>
  <c r="O18" i="19" a="1"/>
  <c r="O18" i="19" s="1"/>
  <c r="O19" i="19" a="1"/>
  <c r="O19" i="19" s="1"/>
  <c r="O20" i="19" a="1"/>
  <c r="O20" i="19" s="1"/>
  <c r="O21" i="19" a="1"/>
  <c r="O21" i="19" s="1"/>
  <c r="O22" i="19" a="1"/>
  <c r="O22" i="19" s="1"/>
  <c r="O23" i="19" a="1"/>
  <c r="O23" i="19" s="1"/>
  <c r="O24" i="19" a="1"/>
  <c r="O24" i="19" s="1"/>
  <c r="O25" i="19" a="1"/>
  <c r="O25" i="19" s="1"/>
  <c r="O26" i="19" a="1"/>
  <c r="O26" i="19" s="1"/>
  <c r="O27" i="19" a="1"/>
  <c r="O27" i="19" s="1"/>
  <c r="O28" i="19" a="1"/>
  <c r="O28" i="19" s="1"/>
  <c r="O29" i="19" a="1"/>
  <c r="O29" i="19" s="1"/>
  <c r="O30" i="19" a="1"/>
  <c r="O30" i="19" s="1"/>
  <c r="O31" i="19" a="1"/>
  <c r="O31" i="19" s="1"/>
  <c r="O32" i="19" a="1"/>
  <c r="O32" i="19" s="1"/>
  <c r="O33" i="19" a="1"/>
  <c r="O33" i="19" s="1"/>
  <c r="O34" i="19" a="1"/>
  <c r="O34" i="19" s="1"/>
  <c r="O35" i="19" a="1"/>
  <c r="O35" i="19" s="1"/>
  <c r="O38" i="19" a="1"/>
  <c r="O38" i="19" s="1"/>
  <c r="O39" i="19" a="1"/>
  <c r="O39" i="19" s="1"/>
  <c r="O40" i="19" a="1"/>
  <c r="O40" i="19" s="1"/>
  <c r="O41" i="19" a="1"/>
  <c r="O41" i="19" s="1"/>
  <c r="O42" i="19" a="1"/>
  <c r="O42" i="19" s="1"/>
  <c r="O43" i="19" a="1"/>
  <c r="O43" i="19" s="1"/>
  <c r="O44" i="19" a="1"/>
  <c r="O44" i="19" s="1"/>
  <c r="O45" i="19" a="1"/>
  <c r="O45" i="19" s="1"/>
  <c r="O46" i="19" a="1"/>
  <c r="O46" i="19" s="1"/>
  <c r="O47" i="19" a="1"/>
  <c r="O47" i="19" s="1"/>
  <c r="O48" i="19" a="1"/>
  <c r="O48" i="19" s="1"/>
  <c r="O49" i="19" a="1"/>
  <c r="O49" i="19" s="1"/>
  <c r="O50" i="19" a="1"/>
  <c r="O50" i="19" s="1"/>
  <c r="O51" i="19" a="1"/>
  <c r="O51" i="19" s="1"/>
  <c r="O52" i="19" a="1"/>
  <c r="O52" i="19" s="1"/>
  <c r="O53" i="19" a="1"/>
  <c r="O53" i="19" s="1"/>
  <c r="O54" i="19" a="1"/>
  <c r="O54" i="19" s="1"/>
  <c r="O55" i="19" a="1"/>
  <c r="O55" i="19" s="1"/>
  <c r="O56" i="19" a="1"/>
  <c r="O56" i="19" s="1"/>
  <c r="O57" i="19" a="1"/>
  <c r="O57" i="19" s="1"/>
  <c r="O58" i="19" a="1"/>
  <c r="O58" i="19" s="1"/>
  <c r="O59" i="19" a="1"/>
  <c r="O59" i="19" s="1"/>
  <c r="O60" i="19" a="1"/>
  <c r="O60" i="19" s="1"/>
  <c r="O61" i="19" a="1"/>
  <c r="O61" i="19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O22" i="18" s="1" a="1"/>
  <c r="O22" i="18" s="1"/>
  <c r="M23" i="18"/>
  <c r="M24" i="18"/>
  <c r="M25" i="18"/>
  <c r="M26" i="18"/>
  <c r="O23" i="18" s="1" a="1"/>
  <c r="O23" i="18" s="1"/>
  <c r="M27" i="18"/>
  <c r="O27" i="18" s="1" a="1"/>
  <c r="O27" i="18" s="1"/>
  <c r="M28" i="18"/>
  <c r="O25" i="18" s="1" a="1"/>
  <c r="O25" i="18" s="1"/>
  <c r="M29" i="18"/>
  <c r="M30" i="18"/>
  <c r="M31" i="18"/>
  <c r="M32" i="18"/>
  <c r="P32" i="18" s="1" a="1"/>
  <c r="P32" i="18" s="1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O54" i="18" s="1" a="1"/>
  <c r="O54" i="18" s="1"/>
  <c r="M55" i="18"/>
  <c r="M56" i="18"/>
  <c r="M57" i="18"/>
  <c r="M58" i="18"/>
  <c r="M59" i="18"/>
  <c r="M60" i="18"/>
  <c r="M61" i="18"/>
  <c r="S20" i="18" s="1" a="1"/>
  <c r="S20" i="18" s="1"/>
  <c r="M62" i="18"/>
  <c r="M63" i="18"/>
  <c r="M64" i="18"/>
  <c r="P64" i="18" s="1" a="1"/>
  <c r="P64" i="18" s="1"/>
  <c r="M65" i="18"/>
  <c r="M66" i="18"/>
  <c r="M67" i="18"/>
  <c r="M68" i="18"/>
  <c r="M69" i="18"/>
  <c r="M70" i="18"/>
  <c r="M71" i="18"/>
  <c r="M72" i="18"/>
  <c r="M73" i="18"/>
  <c r="M74" i="18"/>
  <c r="M75" i="18"/>
  <c r="M76" i="18"/>
  <c r="O101" i="18" s="1" a="1"/>
  <c r="O101" i="18" s="1"/>
  <c r="M77" i="18"/>
  <c r="M78" i="18"/>
  <c r="M79" i="18"/>
  <c r="M80" i="18"/>
  <c r="M81" i="18"/>
  <c r="M82" i="18"/>
  <c r="M83" i="18"/>
  <c r="M84" i="18"/>
  <c r="M85" i="18"/>
  <c r="M86" i="18"/>
  <c r="O86" i="18" s="1" a="1"/>
  <c r="O86" i="18" s="1"/>
  <c r="M87" i="18"/>
  <c r="M88" i="18"/>
  <c r="M89" i="18"/>
  <c r="M90" i="18"/>
  <c r="M91" i="18"/>
  <c r="M92" i="18"/>
  <c r="M93" i="18"/>
  <c r="M94" i="18"/>
  <c r="M95" i="18"/>
  <c r="M96" i="18"/>
  <c r="P96" i="18" s="1" a="1"/>
  <c r="P96" i="18" s="1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O118" i="18" s="1" a="1"/>
  <c r="O118" i="18" s="1"/>
  <c r="M119" i="18"/>
  <c r="M120" i="18"/>
  <c r="M121" i="18"/>
  <c r="M122" i="18"/>
  <c r="M123" i="18"/>
  <c r="M124" i="18"/>
  <c r="M125" i="18"/>
  <c r="M126" i="18"/>
  <c r="M127" i="18"/>
  <c r="M128" i="18"/>
  <c r="P128" i="18" s="1" a="1"/>
  <c r="P128" i="18" s="1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O150" i="18" s="1" a="1"/>
  <c r="O150" i="18" s="1"/>
  <c r="M15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R31" i="18" s="1"/>
  <c r="U31" i="18" s="1"/>
  <c r="N32" i="18" a="1"/>
  <c r="N32" i="18" s="1"/>
  <c r="N33" i="18" a="1"/>
  <c r="N33" i="18" s="1"/>
  <c r="R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O32" i="18" a="1"/>
  <c r="O32" i="18" s="1"/>
  <c r="O39" i="18" a="1"/>
  <c r="O39" i="18" s="1"/>
  <c r="O41" i="18" a="1"/>
  <c r="O41" i="18" s="1"/>
  <c r="O42" i="18" a="1"/>
  <c r="O42" i="18" s="1"/>
  <c r="O43" i="18" a="1"/>
  <c r="O43" i="18" s="1"/>
  <c r="O44" i="18" a="1"/>
  <c r="O44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 s="1"/>
  <c r="O52" i="18" a="1"/>
  <c r="O52" i="18" s="1"/>
  <c r="O55" i="18" a="1"/>
  <c r="O55" i="18" s="1"/>
  <c r="O56" i="18" a="1"/>
  <c r="O56" i="18" s="1"/>
  <c r="O57" i="18" a="1"/>
  <c r="O57" i="18" s="1"/>
  <c r="O58" i="18" a="1"/>
  <c r="O58" i="18" s="1"/>
  <c r="O60" i="18" a="1"/>
  <c r="O60" i="18" s="1"/>
  <c r="O61" i="18" a="1"/>
  <c r="O61" i="18" s="1"/>
  <c r="O62" i="18" a="1"/>
  <c r="O62" i="18" s="1"/>
  <c r="O63" i="18" a="1"/>
  <c r="O63" i="18" s="1"/>
  <c r="O64" i="18" a="1"/>
  <c r="O64" i="18" s="1"/>
  <c r="O65" i="18" a="1"/>
  <c r="O65" i="18" s="1"/>
  <c r="O66" i="18" a="1"/>
  <c r="O66" i="18" s="1"/>
  <c r="O67" i="18" a="1"/>
  <c r="O67" i="18" s="1"/>
  <c r="O70" i="18" a="1"/>
  <c r="O70" i="18" s="1"/>
  <c r="O71" i="18" a="1"/>
  <c r="O71" i="18" s="1"/>
  <c r="O72" i="18" a="1"/>
  <c r="O72" i="18" s="1"/>
  <c r="O73" i="18" a="1"/>
  <c r="O73" i="18" s="1"/>
  <c r="O74" i="18" a="1"/>
  <c r="O74" i="18" s="1"/>
  <c r="O75" i="18" a="1"/>
  <c r="O75" i="18" s="1"/>
  <c r="O76" i="18" a="1"/>
  <c r="O76" i="18" s="1"/>
  <c r="O77" i="18" a="1"/>
  <c r="O77" i="18" s="1"/>
  <c r="O78" i="18" a="1"/>
  <c r="O78" i="18" s="1"/>
  <c r="O79" i="18" a="1"/>
  <c r="O79" i="18" s="1"/>
  <c r="O80" i="18" a="1"/>
  <c r="O80" i="18" s="1"/>
  <c r="O81" i="18" a="1"/>
  <c r="O81" i="18" s="1"/>
  <c r="O82" i="18" a="1"/>
  <c r="O82" i="18" s="1"/>
  <c r="O83" i="18" a="1"/>
  <c r="O83" i="18" s="1"/>
  <c r="O84" i="18" a="1"/>
  <c r="O84" i="18" s="1"/>
  <c r="O85" i="18" a="1"/>
  <c r="O85" i="18" s="1"/>
  <c r="O87" i="18" a="1"/>
  <c r="O87" i="18" s="1"/>
  <c r="O88" i="18" a="1"/>
  <c r="O88" i="18" s="1"/>
  <c r="O89" i="18" a="1"/>
  <c r="O89" i="18" s="1"/>
  <c r="O90" i="18" a="1"/>
  <c r="O90" i="18" s="1"/>
  <c r="O91" i="18" a="1"/>
  <c r="O91" i="18" s="1"/>
  <c r="O92" i="18" a="1"/>
  <c r="O92" i="18" s="1"/>
  <c r="O93" i="18" a="1"/>
  <c r="O93" i="18" s="1"/>
  <c r="O94" i="18" a="1"/>
  <c r="O94" i="18" s="1"/>
  <c r="O95" i="18" a="1"/>
  <c r="O95" i="18" s="1"/>
  <c r="O96" i="18" a="1"/>
  <c r="O96" i="18" s="1"/>
  <c r="O97" i="18" a="1"/>
  <c r="O97" i="18" s="1"/>
  <c r="O98" i="18" a="1"/>
  <c r="O98" i="18" s="1"/>
  <c r="O99" i="18" a="1"/>
  <c r="O99" i="18" s="1"/>
  <c r="O100" i="18" a="1"/>
  <c r="O100" i="18" s="1"/>
  <c r="O102" i="18" a="1"/>
  <c r="O102" i="18" s="1"/>
  <c r="O103" i="18" a="1"/>
  <c r="O103" i="18" s="1"/>
  <c r="O104" i="18" a="1"/>
  <c r="O104" i="18" s="1"/>
  <c r="O105" i="18" a="1"/>
  <c r="O105" i="18" s="1"/>
  <c r="O106" i="18" a="1"/>
  <c r="O106" i="18" s="1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 s="1"/>
  <c r="O115" i="18" a="1"/>
  <c r="O115" i="18" s="1"/>
  <c r="O116" i="18" a="1"/>
  <c r="O116" i="18" s="1"/>
  <c r="O117" i="18" a="1"/>
  <c r="O117" i="18" s="1"/>
  <c r="O119" i="18" a="1"/>
  <c r="O119" i="18" s="1"/>
  <c r="O120" i="18" a="1"/>
  <c r="O120" i="18" s="1"/>
  <c r="O121" i="18" a="1"/>
  <c r="O121" i="18" s="1"/>
  <c r="O122" i="18" a="1"/>
  <c r="O122" i="18" s="1"/>
  <c r="O123" i="18" a="1"/>
  <c r="O123" i="18" s="1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 s="1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1" i="18" a="1"/>
  <c r="O151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 s="1"/>
  <c r="Q29" i="18" a="1"/>
  <c r="Q29" i="18" s="1"/>
  <c r="Q30" i="18" a="1"/>
  <c r="Q30" i="18" s="1"/>
  <c r="Q31" i="18" a="1"/>
  <c r="Q31" i="18" s="1"/>
  <c r="Q32" i="18" a="1"/>
  <c r="Q32" i="18" s="1"/>
  <c r="Q33" i="18" a="1"/>
  <c r="Q33" i="18" s="1"/>
  <c r="Q34" i="18" a="1"/>
  <c r="Q34" i="18" s="1"/>
  <c r="Q35" i="18" a="1"/>
  <c r="Q35" i="18" s="1"/>
  <c r="Q36" i="18" a="1"/>
  <c r="Q36" i="18" s="1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 s="1"/>
  <c r="Q44" i="18" a="1"/>
  <c r="Q44" i="18" s="1"/>
  <c r="Q45" i="18" a="1"/>
  <c r="Q45" i="18" s="1"/>
  <c r="Q46" i="18" a="1"/>
  <c r="Q46" i="18" s="1"/>
  <c r="Q47" i="18" a="1"/>
  <c r="Q47" i="18" s="1"/>
  <c r="Q48" i="18" a="1"/>
  <c r="Q48" i="18" s="1"/>
  <c r="Q49" i="18" a="1"/>
  <c r="Q49" i="18" s="1"/>
  <c r="Q50" i="18" a="1"/>
  <c r="Q50" i="18" s="1"/>
  <c r="Q51" i="18" a="1"/>
  <c r="Q51" i="18" s="1"/>
  <c r="Q52" i="18" a="1"/>
  <c r="Q52" i="18" s="1"/>
  <c r="Q53" i="18" a="1"/>
  <c r="Q53" i="18" s="1"/>
  <c r="Q54" i="18" a="1"/>
  <c r="Q54" i="18" s="1"/>
  <c r="Q55" i="18" a="1"/>
  <c r="Q55" i="18" s="1"/>
  <c r="Q56" i="18" a="1"/>
  <c r="Q56" i="18" s="1"/>
  <c r="Q57" i="18" a="1"/>
  <c r="Q57" i="18" s="1"/>
  <c r="Q58" i="18" a="1"/>
  <c r="Q58" i="18" s="1"/>
  <c r="Q59" i="18" a="1"/>
  <c r="Q59" i="18" s="1"/>
  <c r="Q60" i="18" a="1"/>
  <c r="Q60" i="18" s="1"/>
  <c r="Q61" i="18" a="1"/>
  <c r="Q61" i="18" s="1"/>
  <c r="Q62" i="18" a="1"/>
  <c r="Q62" i="18" s="1"/>
  <c r="Q63" i="18" a="1"/>
  <c r="Q63" i="18" s="1"/>
  <c r="Q64" i="18" a="1"/>
  <c r="Q64" i="18" s="1"/>
  <c r="Q65" i="18" a="1"/>
  <c r="Q65" i="18" s="1"/>
  <c r="Q66" i="18" a="1"/>
  <c r="Q66" i="18" s="1"/>
  <c r="Q67" i="18" a="1"/>
  <c r="Q67" i="18" s="1"/>
  <c r="Q68" i="18" a="1"/>
  <c r="Q68" i="18" s="1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 s="1"/>
  <c r="Q75" i="18" a="1"/>
  <c r="Q75" i="18" s="1"/>
  <c r="Q76" i="18" a="1"/>
  <c r="Q76" i="18" s="1"/>
  <c r="Q77" i="18" a="1"/>
  <c r="Q77" i="18" s="1"/>
  <c r="Q78" i="18" a="1"/>
  <c r="Q78" i="18" s="1"/>
  <c r="Q79" i="18" a="1"/>
  <c r="Q79" i="18" s="1"/>
  <c r="Q80" i="18" a="1"/>
  <c r="Q80" i="18" s="1"/>
  <c r="Q81" i="18" a="1"/>
  <c r="Q81" i="18" s="1"/>
  <c r="Q82" i="18" a="1"/>
  <c r="Q82" i="18" s="1"/>
  <c r="Q83" i="18" a="1"/>
  <c r="Q83" i="18" s="1"/>
  <c r="Q84" i="18" a="1"/>
  <c r="Q84" i="18" s="1"/>
  <c r="Q85" i="18" a="1"/>
  <c r="Q85" i="18" s="1"/>
  <c r="Q86" i="18" a="1"/>
  <c r="Q86" i="18" s="1"/>
  <c r="Q87" i="18" a="1"/>
  <c r="Q87" i="18" s="1"/>
  <c r="Q88" i="18" a="1"/>
  <c r="Q88" i="18" s="1"/>
  <c r="Q89" i="18" a="1"/>
  <c r="Q89" i="18" s="1"/>
  <c r="Q90" i="18" a="1"/>
  <c r="Q90" i="18" s="1"/>
  <c r="Q91" i="18" a="1"/>
  <c r="Q91" i="18" s="1"/>
  <c r="Q92" i="18" a="1"/>
  <c r="Q92" i="18" s="1"/>
  <c r="Q93" i="18" a="1"/>
  <c r="Q93" i="18" s="1"/>
  <c r="Q94" i="18" a="1"/>
  <c r="Q94" i="18" s="1"/>
  <c r="Q95" i="18" a="1"/>
  <c r="Q95" i="18" s="1"/>
  <c r="Q96" i="18" a="1"/>
  <c r="Q96" i="18" s="1"/>
  <c r="Q97" i="18" a="1"/>
  <c r="Q97" i="18" s="1"/>
  <c r="Q98" i="18" a="1"/>
  <c r="Q98" i="18" s="1"/>
  <c r="Q99" i="18" a="1"/>
  <c r="Q99" i="18" s="1"/>
  <c r="Q100" i="18" a="1"/>
  <c r="Q100" i="18" s="1"/>
  <c r="Q101" i="18" a="1"/>
  <c r="Q101" i="18" s="1"/>
  <c r="Q102" i="18" a="1"/>
  <c r="Q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 s="1"/>
  <c r="Q108" i="18" a="1"/>
  <c r="Q108" i="18" s="1"/>
  <c r="Q109" i="18" a="1"/>
  <c r="Q109" i="18" s="1"/>
  <c r="Q110" i="18" a="1"/>
  <c r="Q110" i="18" s="1"/>
  <c r="Q111" i="18" a="1"/>
  <c r="Q111" i="18" s="1"/>
  <c r="Q112" i="18" a="1"/>
  <c r="Q112" i="18" s="1"/>
  <c r="Q113" i="18" a="1"/>
  <c r="Q113" i="18" s="1"/>
  <c r="Q114" i="18" a="1"/>
  <c r="Q114" i="18" s="1"/>
  <c r="Q115" i="18" a="1"/>
  <c r="Q115" i="18" s="1"/>
  <c r="Q116" i="18" a="1"/>
  <c r="Q116" i="18" s="1"/>
  <c r="Q117" i="18" a="1"/>
  <c r="Q117" i="18" s="1"/>
  <c r="Q118" i="18" a="1"/>
  <c r="Q118" i="18" s="1"/>
  <c r="Q119" i="18" a="1"/>
  <c r="Q119" i="18" s="1"/>
  <c r="Q120" i="18" a="1"/>
  <c r="Q120" i="18" s="1"/>
  <c r="Q121" i="18" a="1"/>
  <c r="Q121" i="18" s="1"/>
  <c r="Q122" i="18" a="1"/>
  <c r="Q122" i="18" s="1"/>
  <c r="Q123" i="18" a="1"/>
  <c r="Q123" i="18" s="1"/>
  <c r="Q124" i="18" a="1"/>
  <c r="Q124" i="18" s="1"/>
  <c r="Q125" i="18" a="1"/>
  <c r="Q125" i="18" s="1"/>
  <c r="Q126" i="18" a="1"/>
  <c r="Q126" i="18" s="1"/>
  <c r="Q127" i="18" a="1"/>
  <c r="Q127" i="18" s="1"/>
  <c r="Q128" i="18" a="1"/>
  <c r="Q128" i="18" s="1"/>
  <c r="Q129" i="18" a="1"/>
  <c r="Q129" i="18" s="1"/>
  <c r="Q130" i="18" a="1"/>
  <c r="Q130" i="18" s="1"/>
  <c r="Q131" i="18" a="1"/>
  <c r="Q131" i="18" s="1"/>
  <c r="Q132" i="18" a="1"/>
  <c r="Q132" i="18" s="1"/>
  <c r="Q133" i="18" a="1"/>
  <c r="Q133" i="18" s="1"/>
  <c r="Q134" i="18" a="1"/>
  <c r="Q134" i="18" s="1"/>
  <c r="Q135" i="18" a="1"/>
  <c r="Q135" i="18" s="1"/>
  <c r="Q136" i="18" a="1"/>
  <c r="Q136" i="18" s="1"/>
  <c r="Q137" i="18" a="1"/>
  <c r="Q137" i="18" s="1"/>
  <c r="Q138" i="18" a="1"/>
  <c r="Q138" i="18" s="1"/>
  <c r="Q139" i="18" a="1"/>
  <c r="Q139" i="18" s="1"/>
  <c r="Q140" i="18" a="1"/>
  <c r="Q140" i="18" s="1"/>
  <c r="Q141" i="18" a="1"/>
  <c r="Q141" i="18" s="1"/>
  <c r="Q142" i="18" a="1"/>
  <c r="Q142" i="18" s="1"/>
  <c r="Q143" i="18" a="1"/>
  <c r="Q143" i="18" s="1"/>
  <c r="Q144" i="18" a="1"/>
  <c r="Q144" i="18" s="1"/>
  <c r="Q145" i="18" a="1"/>
  <c r="Q145" i="18" s="1"/>
  <c r="Q146" i="18" a="1"/>
  <c r="Q146" i="18" s="1"/>
  <c r="Q147" i="18" a="1"/>
  <c r="Q147" i="18" s="1"/>
  <c r="Q148" i="18" a="1"/>
  <c r="Q148" i="18" s="1"/>
  <c r="Q149" i="18" a="1"/>
  <c r="Q149" i="18" s="1"/>
  <c r="Q150" i="18" a="1"/>
  <c r="Q150" i="18" s="1"/>
  <c r="Q151" i="18" a="1"/>
  <c r="Q151" i="18" s="1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 s="1"/>
  <c r="S47" i="18" a="1"/>
  <c r="S47" i="18" s="1"/>
  <c r="S48" i="18" a="1"/>
  <c r="S48" i="18" s="1"/>
  <c r="S49" i="18" a="1"/>
  <c r="S49" i="18" s="1"/>
  <c r="S50" i="18" a="1"/>
  <c r="S50" i="18" s="1"/>
  <c r="S51" i="18" a="1"/>
  <c r="S51" i="18" s="1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 s="1"/>
  <c r="S60" i="18" a="1"/>
  <c r="S60" i="18" s="1"/>
  <c r="S61" i="18" a="1"/>
  <c r="S61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 s="1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 s="1"/>
  <c r="S93" i="18" a="1"/>
  <c r="S93" i="18" s="1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 s="1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 s="1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L2" i="17"/>
  <c r="L3" i="17"/>
  <c r="L4" i="17"/>
  <c r="L5" i="17"/>
  <c r="L6" i="17"/>
  <c r="N114" i="17" s="1" a="1"/>
  <c r="N114" i="17" s="1"/>
  <c r="L7" i="17"/>
  <c r="L182" i="17"/>
  <c r="L8" i="17"/>
  <c r="N88" i="17" s="1" a="1"/>
  <c r="N88" i="17" s="1"/>
  <c r="L9" i="17"/>
  <c r="L10" i="17"/>
  <c r="L11" i="17"/>
  <c r="L12" i="17"/>
  <c r="L13" i="17"/>
  <c r="N119" i="17" s="1" a="1"/>
  <c r="N119" i="17" s="1"/>
  <c r="L183" i="17"/>
  <c r="L14" i="17"/>
  <c r="L15" i="17"/>
  <c r="L16" i="17"/>
  <c r="L17" i="17"/>
  <c r="L18" i="17"/>
  <c r="L19" i="17"/>
  <c r="L184" i="17"/>
  <c r="L20" i="17"/>
  <c r="L21" i="17"/>
  <c r="L22" i="17"/>
  <c r="L23" i="17"/>
  <c r="L24" i="17"/>
  <c r="L25" i="17"/>
  <c r="N200" i="17" s="1" a="1"/>
  <c r="N200" i="17" s="1"/>
  <c r="L185" i="17"/>
  <c r="L26" i="17"/>
  <c r="L27" i="17"/>
  <c r="L28" i="17"/>
  <c r="L29" i="17"/>
  <c r="L30" i="17"/>
  <c r="L31" i="17"/>
  <c r="L186" i="17"/>
  <c r="L32" i="17"/>
  <c r="L33" i="17"/>
  <c r="L34" i="17"/>
  <c r="L35" i="17"/>
  <c r="L36" i="17"/>
  <c r="O36" i="17" s="1" a="1"/>
  <c r="O36" i="17" s="1"/>
  <c r="L37" i="17"/>
  <c r="L187" i="17"/>
  <c r="L38" i="17"/>
  <c r="L39" i="17"/>
  <c r="L40" i="17"/>
  <c r="L41" i="17"/>
  <c r="L42" i="17"/>
  <c r="L43" i="17"/>
  <c r="L188" i="17"/>
  <c r="L44" i="17"/>
  <c r="L45" i="17"/>
  <c r="L46" i="17"/>
  <c r="L47" i="17"/>
  <c r="L48" i="17"/>
  <c r="L49" i="17"/>
  <c r="L189" i="17"/>
  <c r="L50" i="17"/>
  <c r="L51" i="17"/>
  <c r="L52" i="17"/>
  <c r="L53" i="17"/>
  <c r="L54" i="17"/>
  <c r="L55" i="17"/>
  <c r="L190" i="17"/>
  <c r="L56" i="17"/>
  <c r="L57" i="17"/>
  <c r="L58" i="17"/>
  <c r="L59" i="17"/>
  <c r="L60" i="17"/>
  <c r="L61" i="17"/>
  <c r="L191" i="17"/>
  <c r="L62" i="17"/>
  <c r="L63" i="17"/>
  <c r="N63" i="17" s="1" a="1"/>
  <c r="N63" i="17" s="1"/>
  <c r="L64" i="17"/>
  <c r="L65" i="17"/>
  <c r="L66" i="17"/>
  <c r="L67" i="17"/>
  <c r="L192" i="17"/>
  <c r="L68" i="17"/>
  <c r="L69" i="17"/>
  <c r="L70" i="17"/>
  <c r="L71" i="17"/>
  <c r="L72" i="17"/>
  <c r="L73" i="17"/>
  <c r="L193" i="17"/>
  <c r="L74" i="17"/>
  <c r="L75" i="17"/>
  <c r="L76" i="17"/>
  <c r="L77" i="17"/>
  <c r="L78" i="17"/>
  <c r="L79" i="17"/>
  <c r="L194" i="17"/>
  <c r="L80" i="17"/>
  <c r="L81" i="17"/>
  <c r="L82" i="17"/>
  <c r="L83" i="17"/>
  <c r="L84" i="17"/>
  <c r="X7" i="17" s="1" a="1"/>
  <c r="X7" i="17" s="1"/>
  <c r="Y7" i="17" s="1"/>
  <c r="L85" i="17"/>
  <c r="L195" i="17"/>
  <c r="L86" i="17"/>
  <c r="L87" i="17"/>
  <c r="L88" i="17"/>
  <c r="L89" i="17"/>
  <c r="L90" i="17"/>
  <c r="L91" i="17"/>
  <c r="L196" i="17"/>
  <c r="L92" i="17"/>
  <c r="L93" i="17"/>
  <c r="L94" i="17"/>
  <c r="L95" i="17"/>
  <c r="L96" i="17"/>
  <c r="L97" i="17"/>
  <c r="L197" i="17"/>
  <c r="L98" i="17"/>
  <c r="L99" i="17"/>
  <c r="L100" i="17"/>
  <c r="L101" i="17"/>
  <c r="L102" i="17"/>
  <c r="L103" i="17"/>
  <c r="L198" i="17"/>
  <c r="L104" i="17"/>
  <c r="L105" i="17"/>
  <c r="L106" i="17"/>
  <c r="L107" i="17"/>
  <c r="L108" i="17"/>
  <c r="L109" i="17"/>
  <c r="L199" i="17"/>
  <c r="L110" i="17"/>
  <c r="N110" i="17" s="1" a="1"/>
  <c r="N110" i="17" s="1"/>
  <c r="L111" i="17"/>
  <c r="U111" i="17" s="1" a="1"/>
  <c r="U111" i="17" s="1"/>
  <c r="L112" i="17"/>
  <c r="L113" i="17"/>
  <c r="L114" i="17"/>
  <c r="L115" i="17"/>
  <c r="L200" i="17"/>
  <c r="L116" i="17"/>
  <c r="L117" i="17"/>
  <c r="L118" i="17"/>
  <c r="L119" i="17"/>
  <c r="L120" i="17"/>
  <c r="L121" i="17"/>
  <c r="L201" i="17"/>
  <c r="L122" i="17"/>
  <c r="N122" i="17" s="1" a="1"/>
  <c r="N122" i="17" s="1"/>
  <c r="L123" i="17"/>
  <c r="L124" i="17"/>
  <c r="L125" i="17"/>
  <c r="L126" i="17"/>
  <c r="L127" i="17"/>
  <c r="L202" i="17"/>
  <c r="L128" i="17"/>
  <c r="L129" i="17"/>
  <c r="L130" i="17"/>
  <c r="L131" i="17"/>
  <c r="N131" i="17" s="1" a="1"/>
  <c r="N131" i="17" s="1"/>
  <c r="L132" i="17"/>
  <c r="L133" i="17"/>
  <c r="L203" i="17"/>
  <c r="L134" i="17"/>
  <c r="L135" i="17"/>
  <c r="N135" i="17" s="1" a="1"/>
  <c r="N135" i="17" s="1"/>
  <c r="L136" i="17"/>
  <c r="L137" i="17"/>
  <c r="L138" i="17"/>
  <c r="L139" i="17"/>
  <c r="U139" i="17" s="1" a="1"/>
  <c r="U139" i="17" s="1"/>
  <c r="L204" i="17"/>
  <c r="L140" i="17"/>
  <c r="L141" i="17"/>
  <c r="L142" i="17"/>
  <c r="L143" i="17"/>
  <c r="L144" i="17"/>
  <c r="L145" i="17"/>
  <c r="L205" i="17"/>
  <c r="N205" i="17" s="1" a="1"/>
  <c r="N205" i="17" s="1"/>
  <c r="L146" i="17"/>
  <c r="L147" i="17"/>
  <c r="L148" i="17"/>
  <c r="L149" i="17"/>
  <c r="L150" i="17"/>
  <c r="N150" i="17" s="1" a="1"/>
  <c r="N150" i="17" s="1"/>
  <c r="L151" i="17"/>
  <c r="L206" i="17"/>
  <c r="L152" i="17"/>
  <c r="L153" i="17"/>
  <c r="L154" i="17"/>
  <c r="L155" i="17"/>
  <c r="L156" i="17"/>
  <c r="L157" i="17"/>
  <c r="L207" i="17"/>
  <c r="L158" i="17"/>
  <c r="L159" i="17"/>
  <c r="L160" i="17"/>
  <c r="L161" i="17"/>
  <c r="L162" i="17"/>
  <c r="L163" i="17"/>
  <c r="N163" i="17" s="1" a="1"/>
  <c r="N163" i="17" s="1"/>
  <c r="L208" i="17"/>
  <c r="L164" i="17"/>
  <c r="L165" i="17"/>
  <c r="L166" i="17"/>
  <c r="U166" i="17" s="1" a="1"/>
  <c r="U166" i="17" s="1"/>
  <c r="L167" i="17"/>
  <c r="L168" i="17"/>
  <c r="L169" i="17"/>
  <c r="L209" i="17"/>
  <c r="L170" i="17"/>
  <c r="L171" i="17"/>
  <c r="L172" i="17"/>
  <c r="L173" i="17"/>
  <c r="L174" i="17"/>
  <c r="L175" i="17"/>
  <c r="L210" i="17"/>
  <c r="L176" i="17"/>
  <c r="L177" i="17"/>
  <c r="N177" i="17" s="1" a="1"/>
  <c r="N177" i="17" s="1"/>
  <c r="L178" i="17"/>
  <c r="L179" i="17"/>
  <c r="L180" i="17"/>
  <c r="L181" i="17"/>
  <c r="L211" i="17"/>
  <c r="M2" i="17" a="1"/>
  <c r="M2" i="17" s="1"/>
  <c r="M3" i="17" a="1"/>
  <c r="M3" i="17" s="1"/>
  <c r="Y3" i="17" s="1"/>
  <c r="M4" i="17" a="1"/>
  <c r="M4" i="17" s="1"/>
  <c r="M5" i="17" a="1"/>
  <c r="M5" i="17"/>
  <c r="M6" i="17" a="1"/>
  <c r="M6" i="17" s="1"/>
  <c r="M7" i="17" a="1"/>
  <c r="M7" i="17" s="1"/>
  <c r="M182" i="17" a="1"/>
  <c r="M182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83" i="17" a="1"/>
  <c r="M18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184" i="17" a="1"/>
  <c r="M184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185" i="17" a="1"/>
  <c r="M18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186" i="17" a="1"/>
  <c r="M186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187" i="17" a="1"/>
  <c r="M187" i="17" s="1"/>
  <c r="M38" i="17" a="1"/>
  <c r="M38" i="17" s="1"/>
  <c r="M39" i="17" a="1"/>
  <c r="M39" i="17"/>
  <c r="M40" i="17" a="1"/>
  <c r="M40" i="17" s="1"/>
  <c r="M41" i="17" a="1"/>
  <c r="M41" i="17" s="1"/>
  <c r="M42" i="17" a="1"/>
  <c r="M42" i="17" s="1"/>
  <c r="M43" i="17" a="1"/>
  <c r="M43" i="17" s="1"/>
  <c r="M188" i="17" a="1"/>
  <c r="M188" i="17" s="1"/>
  <c r="M44" i="17" a="1"/>
  <c r="M44" i="17" s="1"/>
  <c r="M45" i="17" a="1"/>
  <c r="M45" i="17"/>
  <c r="M46" i="17" a="1"/>
  <c r="M46" i="17" s="1"/>
  <c r="M47" i="17" a="1"/>
  <c r="M47" i="17" s="1"/>
  <c r="M48" i="17" a="1"/>
  <c r="M48" i="17" s="1"/>
  <c r="M49" i="17" a="1"/>
  <c r="M49" i="17" s="1"/>
  <c r="M189" i="17" a="1"/>
  <c r="M189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/>
  <c r="M55" i="17" a="1"/>
  <c r="M55" i="17" s="1"/>
  <c r="M190" i="17" a="1"/>
  <c r="M190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/>
  <c r="M191" i="17" a="1"/>
  <c r="M191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192" i="17" a="1"/>
  <c r="M192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193" i="17" a="1"/>
  <c r="M193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194" i="17" a="1"/>
  <c r="M194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195" i="17" a="1"/>
  <c r="M195" i="17" s="1"/>
  <c r="M86" i="17" a="1"/>
  <c r="M86" i="17"/>
  <c r="M87" i="17" a="1"/>
  <c r="M87" i="17"/>
  <c r="M88" i="17" a="1"/>
  <c r="M88" i="17" s="1"/>
  <c r="M89" i="17" a="1"/>
  <c r="M89" i="17"/>
  <c r="M90" i="17" a="1"/>
  <c r="M90" i="17" s="1"/>
  <c r="M91" i="17" a="1"/>
  <c r="M91" i="17" s="1"/>
  <c r="M196" i="17" a="1"/>
  <c r="M196" i="17" s="1"/>
  <c r="M92" i="17" a="1"/>
  <c r="M92" i="17" s="1"/>
  <c r="M93" i="17" a="1"/>
  <c r="M93" i="17" s="1"/>
  <c r="M94" i="17" a="1"/>
  <c r="M94" i="17" s="1"/>
  <c r="M95" i="17" a="1"/>
  <c r="M95" i="17" s="1"/>
  <c r="M96" i="17" a="1"/>
  <c r="M96" i="17" s="1"/>
  <c r="M97" i="17" a="1"/>
  <c r="M97" i="17" s="1"/>
  <c r="M197" i="17" a="1"/>
  <c r="M197" i="17" s="1"/>
  <c r="M98" i="17" a="1"/>
  <c r="M98" i="17" s="1"/>
  <c r="M99" i="17" a="1"/>
  <c r="M99" i="17" s="1"/>
  <c r="M100" i="17" a="1"/>
  <c r="M100" i="17" s="1"/>
  <c r="M101" i="17" a="1"/>
  <c r="M101" i="17"/>
  <c r="M102" i="17" a="1"/>
  <c r="M102" i="17" s="1"/>
  <c r="M103" i="17" a="1"/>
  <c r="M103" i="17" s="1"/>
  <c r="M198" i="17" a="1"/>
  <c r="M198" i="17" s="1"/>
  <c r="M104" i="17" a="1"/>
  <c r="M104" i="17" s="1"/>
  <c r="M105" i="17" a="1"/>
  <c r="M105" i="17" s="1"/>
  <c r="M106" i="17" a="1"/>
  <c r="M106" i="17" s="1"/>
  <c r="M107" i="17" a="1"/>
  <c r="M107" i="17" s="1"/>
  <c r="M108" i="17" a="1"/>
  <c r="M108" i="17" s="1"/>
  <c r="M109" i="17" a="1"/>
  <c r="M109" i="17" s="1"/>
  <c r="M199" i="17" a="1"/>
  <c r="M199" i="17" s="1"/>
  <c r="M110" i="17" a="1"/>
  <c r="M110" i="17" s="1"/>
  <c r="M111" i="17" a="1"/>
  <c r="M111" i="17" s="1"/>
  <c r="M112" i="17" a="1"/>
  <c r="M112" i="17" s="1"/>
  <c r="M113" i="17" a="1"/>
  <c r="M113" i="17" s="1"/>
  <c r="M114" i="17" a="1"/>
  <c r="M114" i="17" s="1"/>
  <c r="M115" i="17" a="1"/>
  <c r="M115" i="17"/>
  <c r="M200" i="17" a="1"/>
  <c r="M200" i="17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201" i="17" a="1"/>
  <c r="M201" i="17" s="1"/>
  <c r="M122" i="17" a="1"/>
  <c r="M122" i="17" s="1"/>
  <c r="M123" i="17" a="1"/>
  <c r="M123" i="17" s="1"/>
  <c r="M124" i="17" a="1"/>
  <c r="M124" i="17" s="1"/>
  <c r="M125" i="17" a="1"/>
  <c r="M125" i="17" s="1"/>
  <c r="M126" i="17" a="1"/>
  <c r="M126" i="17" s="1"/>
  <c r="M127" i="17" a="1"/>
  <c r="M127" i="17" s="1"/>
  <c r="M202" i="17" a="1"/>
  <c r="M202" i="17" s="1"/>
  <c r="M128" i="17" a="1"/>
  <c r="M128" i="17"/>
  <c r="M129" i="17" a="1"/>
  <c r="M129" i="17" s="1"/>
  <c r="M130" i="17" a="1"/>
  <c r="M130" i="17"/>
  <c r="M131" i="17" a="1"/>
  <c r="M131" i="17" s="1"/>
  <c r="M132" i="17" a="1"/>
  <c r="M132" i="17" s="1"/>
  <c r="M133" i="17" a="1"/>
  <c r="M133" i="17" s="1"/>
  <c r="M203" i="17" a="1"/>
  <c r="M203" i="17" s="1"/>
  <c r="M134" i="17" a="1"/>
  <c r="M134" i="17" s="1"/>
  <c r="M135" i="17" a="1"/>
  <c r="M135" i="17" s="1"/>
  <c r="M136" i="17" a="1"/>
  <c r="M136" i="17" s="1"/>
  <c r="M137" i="17" a="1"/>
  <c r="M137" i="17"/>
  <c r="M138" i="17" a="1"/>
  <c r="M138" i="17" s="1"/>
  <c r="M139" i="17" a="1"/>
  <c r="M139" i="17" s="1"/>
  <c r="M204" i="17" a="1"/>
  <c r="M204" i="17" s="1"/>
  <c r="M140" i="17" a="1"/>
  <c r="M140" i="17"/>
  <c r="M141" i="17" a="1"/>
  <c r="M141" i="17" s="1"/>
  <c r="M142" i="17" a="1"/>
  <c r="M142" i="17" s="1"/>
  <c r="M143" i="17" a="1"/>
  <c r="M143" i="17" s="1"/>
  <c r="M144" i="17" a="1"/>
  <c r="M144" i="17" s="1"/>
  <c r="M145" i="17" a="1"/>
  <c r="M145" i="17" s="1"/>
  <c r="M205" i="17" a="1"/>
  <c r="M205" i="17" s="1"/>
  <c r="M146" i="17" a="1"/>
  <c r="M146" i="17" s="1"/>
  <c r="M147" i="17" a="1"/>
  <c r="M147" i="17" s="1"/>
  <c r="M148" i="17" a="1"/>
  <c r="M148" i="17" s="1"/>
  <c r="M149" i="17" a="1"/>
  <c r="M149" i="17" s="1"/>
  <c r="M150" i="17" a="1"/>
  <c r="M150" i="17" s="1"/>
  <c r="M151" i="17" a="1"/>
  <c r="M151" i="17" s="1"/>
  <c r="M206" i="17" a="1"/>
  <c r="M206" i="17" s="1"/>
  <c r="M152" i="17" a="1"/>
  <c r="M152" i="17" s="1"/>
  <c r="M153" i="17" a="1"/>
  <c r="M153" i="17" s="1"/>
  <c r="M154" i="17" a="1"/>
  <c r="M154" i="17"/>
  <c r="M155" i="17" a="1"/>
  <c r="M155" i="17" s="1"/>
  <c r="M156" i="17" a="1"/>
  <c r="M156" i="17" s="1"/>
  <c r="M157" i="17" a="1"/>
  <c r="M157" i="17"/>
  <c r="M207" i="17" a="1"/>
  <c r="M207" i="17" s="1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 s="1"/>
  <c r="M208" i="17" a="1"/>
  <c r="M208" i="17" s="1"/>
  <c r="M164" i="17" a="1"/>
  <c r="M164" i="17" s="1"/>
  <c r="M165" i="17" a="1"/>
  <c r="M165" i="17" s="1"/>
  <c r="M166" i="17" a="1"/>
  <c r="M166" i="17" s="1"/>
  <c r="M167" i="17" a="1"/>
  <c r="M167" i="17" s="1"/>
  <c r="M168" i="17" a="1"/>
  <c r="M168" i="17" s="1"/>
  <c r="M169" i="17" a="1"/>
  <c r="M169" i="17" s="1"/>
  <c r="M209" i="17" a="1"/>
  <c r="M209" i="17"/>
  <c r="M170" i="17" a="1"/>
  <c r="M170" i="17" s="1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 s="1"/>
  <c r="M210" i="17" a="1"/>
  <c r="M210" i="17"/>
  <c r="M176" i="17" a="1"/>
  <c r="M176" i="17" s="1"/>
  <c r="M177" i="17" a="1"/>
  <c r="M177" i="17" s="1"/>
  <c r="M178" i="17" a="1"/>
  <c r="M178" i="17" s="1"/>
  <c r="M179" i="17" a="1"/>
  <c r="M179" i="17" s="1"/>
  <c r="M180" i="17" a="1"/>
  <c r="M180" i="17" s="1"/>
  <c r="M181" i="17" a="1"/>
  <c r="M181" i="17" s="1"/>
  <c r="M211" i="17" a="1"/>
  <c r="M211" i="17"/>
  <c r="N113" i="17" a="1"/>
  <c r="N113" i="17" s="1"/>
  <c r="N147" i="17" a="1"/>
  <c r="N147" i="17" s="1"/>
  <c r="N178" i="17" a="1"/>
  <c r="N178" i="17" s="1"/>
  <c r="O50" i="17" a="1"/>
  <c r="O50" i="17" s="1"/>
  <c r="O75" i="17" a="1"/>
  <c r="O75" i="17" s="1"/>
  <c r="O102" i="17" a="1"/>
  <c r="O102" i="17" s="1"/>
  <c r="O125" i="17" a="1"/>
  <c r="O125" i="17" s="1"/>
  <c r="O206" i="17" a="1"/>
  <c r="O206" i="17" s="1"/>
  <c r="P2" i="17" a="1"/>
  <c r="P2" i="17" s="1"/>
  <c r="P3" i="17" a="1"/>
  <c r="P3" i="17" s="1"/>
  <c r="P4" i="17" a="1"/>
  <c r="P4" i="17" s="1"/>
  <c r="P5" i="17" a="1"/>
  <c r="P5" i="17" s="1"/>
  <c r="P6" i="17" a="1"/>
  <c r="P6" i="17"/>
  <c r="P7" i="17" a="1"/>
  <c r="P7" i="17" s="1"/>
  <c r="P182" i="17" a="1"/>
  <c r="P182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183" i="17" a="1"/>
  <c r="P183" i="17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184" i="17" a="1"/>
  <c r="P184" i="17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/>
  <c r="P185" i="17" a="1"/>
  <c r="P185" i="17" s="1"/>
  <c r="P26" i="17" a="1"/>
  <c r="P26" i="17"/>
  <c r="P27" i="17" a="1"/>
  <c r="P27" i="17" s="1"/>
  <c r="P28" i="17" a="1"/>
  <c r="P28" i="17" s="1"/>
  <c r="P29" i="17" a="1"/>
  <c r="P29" i="17"/>
  <c r="P30" i="17" a="1"/>
  <c r="P30" i="17" s="1"/>
  <c r="P31" i="17" a="1"/>
  <c r="P31" i="17" s="1"/>
  <c r="P186" i="17" a="1"/>
  <c r="P186" i="17" s="1"/>
  <c r="P32" i="17" a="1"/>
  <c r="P32" i="17" s="1"/>
  <c r="P33" i="17" a="1"/>
  <c r="P33" i="17"/>
  <c r="P34" i="17" a="1"/>
  <c r="P34" i="17" s="1"/>
  <c r="P35" i="17" a="1"/>
  <c r="P35" i="17"/>
  <c r="P36" i="17" a="1"/>
  <c r="P36" i="17"/>
  <c r="P37" i="17" a="1"/>
  <c r="P37" i="17" s="1"/>
  <c r="P187" i="17" a="1"/>
  <c r="P187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188" i="17" a="1"/>
  <c r="P188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189" i="17" a="1"/>
  <c r="P189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190" i="17" a="1"/>
  <c r="P190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191" i="17" a="1"/>
  <c r="P191" i="17"/>
  <c r="P62" i="17" a="1"/>
  <c r="P62" i="17" s="1"/>
  <c r="P63" i="17" a="1"/>
  <c r="P63" i="17" s="1"/>
  <c r="P64" i="17" a="1"/>
  <c r="P64" i="17" s="1"/>
  <c r="P65" i="17" a="1"/>
  <c r="P65" i="17" s="1"/>
  <c r="P66" i="17" a="1"/>
  <c r="P66" i="17" s="1"/>
  <c r="P67" i="17" a="1"/>
  <c r="P67" i="17" s="1"/>
  <c r="P192" i="17" a="1"/>
  <c r="P192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193" i="17" a="1"/>
  <c r="P193" i="17" s="1"/>
  <c r="P74" i="17" a="1"/>
  <c r="P74" i="17" s="1"/>
  <c r="P75" i="17" a="1"/>
  <c r="P75" i="17" s="1"/>
  <c r="P76" i="17" a="1"/>
  <c r="P76" i="17" s="1"/>
  <c r="P77" i="17" a="1"/>
  <c r="P77" i="17"/>
  <c r="P78" i="17" a="1"/>
  <c r="P78" i="17" s="1"/>
  <c r="P79" i="17" a="1"/>
  <c r="P79" i="17" s="1"/>
  <c r="P194" i="17" a="1"/>
  <c r="P194" i="17" s="1"/>
  <c r="P80" i="17" a="1"/>
  <c r="P80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 s="1"/>
  <c r="P195" i="17" a="1"/>
  <c r="P195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196" i="17" a="1"/>
  <c r="P196" i="17" s="1"/>
  <c r="P92" i="17" a="1"/>
  <c r="P92" i="17" s="1"/>
  <c r="P93" i="17" a="1"/>
  <c r="P93" i="17" s="1"/>
  <c r="P94" i="17" a="1"/>
  <c r="P94" i="17" s="1"/>
  <c r="P95" i="17" a="1"/>
  <c r="P95" i="17" s="1"/>
  <c r="P96" i="17" a="1"/>
  <c r="P96" i="17" s="1"/>
  <c r="P97" i="17" a="1"/>
  <c r="P97" i="17" s="1"/>
  <c r="P197" i="17" a="1"/>
  <c r="P197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198" i="17" a="1"/>
  <c r="P198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/>
  <c r="P109" i="17" a="1"/>
  <c r="P109" i="17" s="1"/>
  <c r="P199" i="17" a="1"/>
  <c r="P199" i="17" s="1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 s="1"/>
  <c r="P115" i="17" a="1"/>
  <c r="P115" i="17" s="1"/>
  <c r="P200" i="17" a="1"/>
  <c r="P200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 s="1"/>
  <c r="P201" i="17" a="1"/>
  <c r="P201" i="17" s="1"/>
  <c r="P122" i="17" a="1"/>
  <c r="P122" i="17" s="1"/>
  <c r="P123" i="17" a="1"/>
  <c r="P123" i="17" s="1"/>
  <c r="P124" i="17" a="1"/>
  <c r="P124" i="17" s="1"/>
  <c r="P125" i="17" a="1"/>
  <c r="P125" i="17" s="1"/>
  <c r="P126" i="17" a="1"/>
  <c r="P126" i="17" s="1"/>
  <c r="P127" i="17" a="1"/>
  <c r="P127" i="17" s="1"/>
  <c r="P202" i="17" a="1"/>
  <c r="P202" i="17" s="1"/>
  <c r="P128" i="17" a="1"/>
  <c r="P128" i="17" s="1"/>
  <c r="P129" i="17" a="1"/>
  <c r="P129" i="17" s="1"/>
  <c r="P130" i="17" a="1"/>
  <c r="P130" i="17"/>
  <c r="P131" i="17" a="1"/>
  <c r="P131" i="17" s="1"/>
  <c r="P132" i="17" a="1"/>
  <c r="P132" i="17" s="1"/>
  <c r="P133" i="17" a="1"/>
  <c r="P133" i="17" s="1"/>
  <c r="P203" i="17" a="1"/>
  <c r="P203" i="17" s="1"/>
  <c r="P134" i="17" a="1"/>
  <c r="P134" i="17" s="1"/>
  <c r="P135" i="17" a="1"/>
  <c r="P135" i="17" s="1"/>
  <c r="P136" i="17" a="1"/>
  <c r="P136" i="17" s="1"/>
  <c r="P137" i="17" a="1"/>
  <c r="P137" i="17" s="1"/>
  <c r="P138" i="17" a="1"/>
  <c r="P138" i="17" s="1"/>
  <c r="P139" i="17" a="1"/>
  <c r="P139" i="17" s="1"/>
  <c r="P204" i="17" a="1"/>
  <c r="P204" i="17" s="1"/>
  <c r="P140" i="17" a="1"/>
  <c r="P140" i="17" s="1"/>
  <c r="P141" i="17" a="1"/>
  <c r="P141" i="17" s="1"/>
  <c r="P142" i="17" a="1"/>
  <c r="P142" i="17" s="1"/>
  <c r="P143" i="17" a="1"/>
  <c r="P143" i="17" s="1"/>
  <c r="P144" i="17" a="1"/>
  <c r="P144" i="17" s="1"/>
  <c r="P145" i="17" a="1"/>
  <c r="P145" i="17" s="1"/>
  <c r="P205" i="17" a="1"/>
  <c r="P205" i="17" s="1"/>
  <c r="P146" i="17" a="1"/>
  <c r="P146" i="17" s="1"/>
  <c r="P147" i="17" a="1"/>
  <c r="P147" i="17" s="1"/>
  <c r="P148" i="17" a="1"/>
  <c r="P148" i="17" s="1"/>
  <c r="P149" i="17" a="1"/>
  <c r="P149" i="17" s="1"/>
  <c r="P150" i="17" a="1"/>
  <c r="P150" i="17"/>
  <c r="P151" i="17" a="1"/>
  <c r="P151" i="17" s="1"/>
  <c r="P206" i="17" a="1"/>
  <c r="P206" i="17" s="1"/>
  <c r="P152" i="17" a="1"/>
  <c r="P152" i="17" s="1"/>
  <c r="P153" i="17" a="1"/>
  <c r="P153" i="17" s="1"/>
  <c r="P154" i="17" a="1"/>
  <c r="P154" i="17" s="1"/>
  <c r="P155" i="17" a="1"/>
  <c r="P155" i="17" s="1"/>
  <c r="P156" i="17" a="1"/>
  <c r="P156" i="17" s="1"/>
  <c r="P157" i="17" a="1"/>
  <c r="P157" i="17"/>
  <c r="P207" i="17" a="1"/>
  <c r="P207" i="17" s="1"/>
  <c r="P158" i="17" a="1"/>
  <c r="P158" i="17" s="1"/>
  <c r="P159" i="17" a="1"/>
  <c r="P159" i="17" s="1"/>
  <c r="P160" i="17" a="1"/>
  <c r="P160" i="17" s="1"/>
  <c r="P161" i="17" a="1"/>
  <c r="P161" i="17" s="1"/>
  <c r="P162" i="17" a="1"/>
  <c r="P162" i="17" s="1"/>
  <c r="P163" i="17" a="1"/>
  <c r="P163" i="17" s="1"/>
  <c r="P208" i="17" a="1"/>
  <c r="P208" i="17" s="1"/>
  <c r="P164" i="17" a="1"/>
  <c r="P164" i="17" s="1"/>
  <c r="P165" i="17" a="1"/>
  <c r="P165" i="17"/>
  <c r="P166" i="17" a="1"/>
  <c r="P166" i="17" s="1"/>
  <c r="P167" i="17" a="1"/>
  <c r="P167" i="17" s="1"/>
  <c r="P168" i="17" a="1"/>
  <c r="P168" i="17" s="1"/>
  <c r="P169" i="17" a="1"/>
  <c r="P169" i="17" s="1"/>
  <c r="P209" i="17" a="1"/>
  <c r="P209" i="17" s="1"/>
  <c r="P170" i="17" a="1"/>
  <c r="P170" i="17" s="1"/>
  <c r="P171" i="17" a="1"/>
  <c r="P171" i="17" s="1"/>
  <c r="P172" i="17" a="1"/>
  <c r="P172" i="17" s="1"/>
  <c r="P173" i="17" a="1"/>
  <c r="P173" i="17" s="1"/>
  <c r="P174" i="17" a="1"/>
  <c r="P174" i="17" s="1"/>
  <c r="P175" i="17" a="1"/>
  <c r="P175" i="17" s="1"/>
  <c r="P210" i="17" a="1"/>
  <c r="P210" i="17" s="1"/>
  <c r="P176" i="17" a="1"/>
  <c r="P176" i="17"/>
  <c r="P177" i="17" a="1"/>
  <c r="P177" i="17" s="1"/>
  <c r="P178" i="17" a="1"/>
  <c r="P178" i="17" s="1"/>
  <c r="P179" i="17" a="1"/>
  <c r="P179" i="17" s="1"/>
  <c r="P180" i="17" a="1"/>
  <c r="P180" i="17" s="1"/>
  <c r="P181" i="17" a="1"/>
  <c r="P181" i="17" s="1"/>
  <c r="P211" i="17" a="1"/>
  <c r="P211" i="17" s="1"/>
  <c r="R182" i="17" a="1"/>
  <c r="R182" i="17" s="1"/>
  <c r="R56" i="17" a="1"/>
  <c r="R56" i="17" s="1"/>
  <c r="R194" i="17" a="1"/>
  <c r="R194" i="17" s="1"/>
  <c r="R104" i="17" a="1"/>
  <c r="R104" i="17" s="1"/>
  <c r="R128" i="17" a="1"/>
  <c r="R128" i="17" s="1"/>
  <c r="R206" i="17" a="1"/>
  <c r="R206" i="17" s="1"/>
  <c r="R210" i="17" a="1"/>
  <c r="R210" i="17" s="1"/>
  <c r="S21" i="17" a="1"/>
  <c r="S21" i="17" s="1"/>
  <c r="S45" i="17" a="1"/>
  <c r="S45" i="17" s="1"/>
  <c r="S68" i="17" a="1"/>
  <c r="S68" i="17" s="1"/>
  <c r="S92" i="17" a="1"/>
  <c r="S92" i="17" s="1"/>
  <c r="S117" i="17" a="1"/>
  <c r="S117" i="17" s="1"/>
  <c r="S204" i="17" a="1"/>
  <c r="S204" i="17" s="1"/>
  <c r="S167" i="17" a="1"/>
  <c r="S167" i="17" s="1"/>
  <c r="T11" i="17" a="1"/>
  <c r="T11" i="17" s="1"/>
  <c r="T56" i="17" a="1"/>
  <c r="T56" i="17" s="1"/>
  <c r="T79" i="17" a="1"/>
  <c r="T79" i="17" s="1"/>
  <c r="T101" i="17" a="1"/>
  <c r="T101" i="17" s="1"/>
  <c r="T123" i="17" a="1"/>
  <c r="T123" i="17" s="1"/>
  <c r="T147" i="17" a="1"/>
  <c r="T147" i="17" s="1"/>
  <c r="T169" i="17" a="1"/>
  <c r="T169" i="17" s="1"/>
  <c r="U14" i="17" a="1"/>
  <c r="U14" i="17" s="1"/>
  <c r="U187" i="17" a="1"/>
  <c r="U187" i="17" s="1"/>
  <c r="U62" i="17" a="1"/>
  <c r="U62" i="17" s="1"/>
  <c r="U87" i="17" a="1"/>
  <c r="U87" i="17" s="1"/>
  <c r="U110" i="17" a="1"/>
  <c r="U110" i="17" s="1"/>
  <c r="U132" i="17" a="1"/>
  <c r="U132" i="17" s="1"/>
  <c r="U177" i="17" a="1"/>
  <c r="U177" i="17" s="1"/>
  <c r="V184" i="17" a="1"/>
  <c r="V184" i="17" s="1"/>
  <c r="V27" i="17" a="1"/>
  <c r="V27" i="17" s="1"/>
  <c r="V42" i="17" a="1"/>
  <c r="V42" i="17" s="1"/>
  <c r="V51" i="17" a="1"/>
  <c r="V51" i="17" s="1"/>
  <c r="V65" i="17" a="1"/>
  <c r="V65" i="17" s="1"/>
  <c r="V193" i="17" a="1"/>
  <c r="V193" i="17" s="1"/>
  <c r="V75" i="17" a="1"/>
  <c r="V75" i="17" s="1"/>
  <c r="V87" i="17" a="1"/>
  <c r="V87" i="17" s="1"/>
  <c r="V91" i="17" a="1"/>
  <c r="V91" i="17" s="1"/>
  <c r="V94" i="17" a="1"/>
  <c r="V94" i="17" s="1"/>
  <c r="V197" i="17" a="1"/>
  <c r="V197" i="17" s="1"/>
  <c r="V99" i="17" a="1"/>
  <c r="V99" i="17" s="1"/>
  <c r="V113" i="17" a="1"/>
  <c r="V113" i="17" s="1"/>
  <c r="V114" i="17" a="1"/>
  <c r="V114" i="17" s="1"/>
  <c r="V118" i="17" a="1"/>
  <c r="V118" i="17" s="1"/>
  <c r="V201" i="17" a="1"/>
  <c r="V201" i="17" s="1"/>
  <c r="V122" i="17" a="1"/>
  <c r="V122" i="17" s="1"/>
  <c r="V203" i="17" a="1"/>
  <c r="V203" i="17" s="1"/>
  <c r="V134" i="17" a="1"/>
  <c r="V134" i="17" s="1"/>
  <c r="V135" i="17" a="1"/>
  <c r="V135" i="17" s="1"/>
  <c r="V139" i="17" a="1"/>
  <c r="V139" i="17" s="1"/>
  <c r="V142" i="17" a="1"/>
  <c r="V142" i="17" s="1"/>
  <c r="V205" i="17" a="1"/>
  <c r="V205" i="17" s="1"/>
  <c r="V147" i="17" a="1"/>
  <c r="V147" i="17" s="1"/>
  <c r="V148" i="17" a="1"/>
  <c r="V148" i="17" s="1"/>
  <c r="V158" i="17" a="1"/>
  <c r="V158" i="17" s="1"/>
  <c r="V159" i="17" a="1"/>
  <c r="V159" i="17" s="1"/>
  <c r="V160" i="17" a="1"/>
  <c r="V160" i="17" s="1"/>
  <c r="V208" i="17" a="1"/>
  <c r="V208" i="17" s="1"/>
  <c r="V166" i="17" a="1"/>
  <c r="V166" i="17" s="1"/>
  <c r="V167" i="17" a="1"/>
  <c r="V167" i="17" s="1"/>
  <c r="V169" i="17" a="1"/>
  <c r="V169" i="17" s="1"/>
  <c r="V170" i="17" a="1"/>
  <c r="V170" i="17" s="1"/>
  <c r="V172" i="17" a="1"/>
  <c r="V172" i="17" s="1"/>
  <c r="V173" i="17" a="1"/>
  <c r="V173" i="17" s="1"/>
  <c r="V176" i="17" a="1"/>
  <c r="V176" i="17" s="1"/>
  <c r="V180" i="17" a="1"/>
  <c r="V180" i="17" s="1"/>
  <c r="X2" i="17" a="1"/>
  <c r="X2" i="17" s="1"/>
  <c r="X3" i="17" a="1"/>
  <c r="X3" i="17" s="1"/>
  <c r="X6" i="17" a="1"/>
  <c r="X6" i="17" s="1"/>
  <c r="Y6" i="17" s="1"/>
  <c r="X8" i="17" a="1"/>
  <c r="X8" i="17" s="1"/>
  <c r="Y8" i="17" s="1"/>
  <c r="X9" i="17" a="1"/>
  <c r="X9" i="17" s="1"/>
  <c r="Y9" i="17" s="1"/>
  <c r="X11" i="17" a="1"/>
  <c r="X11" i="17" s="1"/>
  <c r="X183" i="17" a="1"/>
  <c r="X183" i="17" s="1"/>
  <c r="Y183" i="17" s="1"/>
  <c r="X15" i="17" a="1"/>
  <c r="X15" i="17" s="1"/>
  <c r="Y15" i="17" s="1"/>
  <c r="X16" i="17" a="1"/>
  <c r="X16" i="17" s="1"/>
  <c r="X17" i="17" a="1"/>
  <c r="X17" i="17" s="1"/>
  <c r="Y17" i="17" s="1"/>
  <c r="X20" i="17" a="1"/>
  <c r="X20" i="17" s="1"/>
  <c r="X21" i="17" a="1"/>
  <c r="X21" i="17" s="1"/>
  <c r="X23" i="17" a="1"/>
  <c r="X23" i="17" s="1"/>
  <c r="Y23" i="17" s="1"/>
  <c r="X24" i="17" a="1"/>
  <c r="X24" i="17" s="1"/>
  <c r="Y24" i="17" s="1"/>
  <c r="X185" i="17" a="1"/>
  <c r="X185" i="17"/>
  <c r="Y185" i="17" s="1"/>
  <c r="X26" i="17" a="1"/>
  <c r="X26" i="17" s="1"/>
  <c r="Y26" i="17" s="1"/>
  <c r="X30" i="17" a="1"/>
  <c r="X30" i="17" s="1"/>
  <c r="X31" i="17" a="1"/>
  <c r="X31" i="17" s="1"/>
  <c r="Y31" i="17" s="1"/>
  <c r="X32" i="17" a="1"/>
  <c r="X32" i="17" s="1"/>
  <c r="Y32" i="17" s="1"/>
  <c r="X33" i="17" a="1"/>
  <c r="X33" i="17" s="1"/>
  <c r="Y33" i="17" s="1"/>
  <c r="X34" i="17" a="1"/>
  <c r="X34" i="17" s="1"/>
  <c r="Y34" i="17" s="1"/>
  <c r="X37" i="17" a="1"/>
  <c r="X37" i="17" s="1"/>
  <c r="Y37" i="17" s="1"/>
  <c r="X38" i="17" a="1"/>
  <c r="X38" i="17" s="1"/>
  <c r="Y38" i="17" s="1"/>
  <c r="X39" i="17" a="1"/>
  <c r="X39" i="17" s="1"/>
  <c r="Y39" i="17" s="1"/>
  <c r="X40" i="17" a="1"/>
  <c r="X40" i="17" s="1"/>
  <c r="X41" i="17" a="1"/>
  <c r="X41" i="17" s="1"/>
  <c r="Y41" i="17" s="1"/>
  <c r="X44" i="17" a="1"/>
  <c r="X44" i="17" s="1"/>
  <c r="X45" i="17" a="1"/>
  <c r="X45" i="17" s="1"/>
  <c r="Y45" i="17" s="1"/>
  <c r="X46" i="17" a="1"/>
  <c r="X46" i="17" s="1"/>
  <c r="X47" i="17" a="1"/>
  <c r="X47" i="17" s="1"/>
  <c r="X48" i="17" a="1"/>
  <c r="X48" i="17" s="1"/>
  <c r="X49" i="17" a="1"/>
  <c r="X49" i="17" s="1"/>
  <c r="Y49" i="17" s="1"/>
  <c r="X189" i="17" a="1"/>
  <c r="X189" i="17"/>
  <c r="Y189" i="17" s="1"/>
  <c r="X50" i="17" a="1"/>
  <c r="X50" i="17" s="1"/>
  <c r="Y50" i="17" s="1"/>
  <c r="Q50" i="17" s="1"/>
  <c r="W50" i="17" s="1"/>
  <c r="X53" i="17" a="1"/>
  <c r="X53" i="17" s="1"/>
  <c r="Y53" i="17" s="1"/>
  <c r="X54" i="17" a="1"/>
  <c r="X54" i="17" s="1"/>
  <c r="Y54" i="17" s="1"/>
  <c r="X55" i="17" a="1"/>
  <c r="X55" i="17" s="1"/>
  <c r="X190" i="17" a="1"/>
  <c r="X190" i="17" s="1"/>
  <c r="Y190" i="17" s="1"/>
  <c r="X56" i="17" a="1"/>
  <c r="X56" i="17" s="1"/>
  <c r="Y56" i="17" s="1"/>
  <c r="X57" i="17" a="1"/>
  <c r="X57" i="17" s="1"/>
  <c r="Y57" i="17" s="1"/>
  <c r="X59" i="17" a="1"/>
  <c r="X59" i="17" s="1"/>
  <c r="Y59" i="17" s="1"/>
  <c r="X191" i="17" a="1"/>
  <c r="X191" i="17" s="1"/>
  <c r="X63" i="17" a="1"/>
  <c r="X63" i="17" s="1"/>
  <c r="Y63" i="17" s="1"/>
  <c r="X64" i="17" a="1"/>
  <c r="X64" i="17" s="1"/>
  <c r="Y64" i="17" s="1"/>
  <c r="X65" i="17" a="1"/>
  <c r="X65" i="17" s="1"/>
  <c r="Y65" i="17" s="1"/>
  <c r="X68" i="17" a="1"/>
  <c r="X68" i="17" s="1"/>
  <c r="Y68" i="17" s="1"/>
  <c r="X69" i="17" a="1"/>
  <c r="X69" i="17" s="1"/>
  <c r="Y69" i="17" s="1"/>
  <c r="X70" i="17" a="1"/>
  <c r="X70" i="17" s="1"/>
  <c r="Y70" i="17" s="1"/>
  <c r="X71" i="17" a="1"/>
  <c r="X71" i="17" s="1"/>
  <c r="Y71" i="17" s="1"/>
  <c r="X72" i="17" a="1"/>
  <c r="X72" i="17" s="1"/>
  <c r="Y72" i="17" s="1"/>
  <c r="X73" i="17" a="1"/>
  <c r="X73" i="17" s="1"/>
  <c r="X193" i="17" a="1"/>
  <c r="X193" i="17" s="1"/>
  <c r="Y193" i="17" s="1"/>
  <c r="X74" i="17" a="1"/>
  <c r="X74" i="17" s="1"/>
  <c r="Y74" i="17" s="1"/>
  <c r="X75" i="17" a="1"/>
  <c r="X75" i="17" s="1"/>
  <c r="Y75" i="17" s="1"/>
  <c r="Q75" i="17" s="1"/>
  <c r="W75" i="17" s="1"/>
  <c r="X76" i="17" a="1"/>
  <c r="X76" i="17" s="1"/>
  <c r="X77" i="17" a="1"/>
  <c r="X77" i="17" s="1"/>
  <c r="Y77" i="17" s="1"/>
  <c r="X79" i="17" a="1"/>
  <c r="X79" i="17" s="1"/>
  <c r="Y79" i="17" s="1"/>
  <c r="X194" i="17" a="1"/>
  <c r="X194" i="17" s="1"/>
  <c r="Y194" i="17" s="1"/>
  <c r="X80" i="17" a="1"/>
  <c r="X80" i="17" s="1"/>
  <c r="Y80" i="17" s="1"/>
  <c r="X81" i="17" a="1"/>
  <c r="X81" i="17" s="1"/>
  <c r="Y81" i="17" s="1"/>
  <c r="X83" i="17" a="1"/>
  <c r="X83" i="17" s="1"/>
  <c r="Y83" i="17" s="1"/>
  <c r="X85" i="17" a="1"/>
  <c r="X85" i="17" s="1"/>
  <c r="Y85" i="17" s="1"/>
  <c r="X195" i="17" a="1"/>
  <c r="X195" i="17" s="1"/>
  <c r="X86" i="17" a="1"/>
  <c r="X86" i="17" s="1"/>
  <c r="Y86" i="17" s="1"/>
  <c r="X87" i="17" a="1"/>
  <c r="X87" i="17" s="1"/>
  <c r="Y87" i="17" s="1"/>
  <c r="X88" i="17" a="1"/>
  <c r="X88" i="17" s="1"/>
  <c r="Y88" i="17" s="1"/>
  <c r="X89" i="17" a="1"/>
  <c r="X89" i="17" s="1"/>
  <c r="Y89" i="17" s="1"/>
  <c r="X196" i="17" a="1"/>
  <c r="X196" i="17" s="1"/>
  <c r="Y196" i="17" s="1"/>
  <c r="X92" i="17" a="1"/>
  <c r="X92" i="17" s="1"/>
  <c r="Y92" i="17" s="1"/>
  <c r="X93" i="17" a="1"/>
  <c r="X93" i="17" s="1"/>
  <c r="Y93" i="17" s="1"/>
  <c r="X94" i="17" a="1"/>
  <c r="X94" i="17" s="1"/>
  <c r="Y94" i="17" s="1"/>
  <c r="X95" i="17" a="1"/>
  <c r="X95" i="17" s="1"/>
  <c r="Y95" i="17" s="1"/>
  <c r="X96" i="17" a="1"/>
  <c r="X96" i="17" s="1"/>
  <c r="Y96" i="17" s="1"/>
  <c r="X97" i="17" a="1"/>
  <c r="X97" i="17" s="1"/>
  <c r="Y97" i="17" s="1"/>
  <c r="X197" i="17" a="1"/>
  <c r="X197" i="17" s="1"/>
  <c r="Y197" i="17" s="1"/>
  <c r="X98" i="17" a="1"/>
  <c r="X98" i="17" s="1"/>
  <c r="Y98" i="17" s="1"/>
  <c r="X99" i="17" a="1"/>
  <c r="X99" i="17" s="1"/>
  <c r="X100" i="17" a="1"/>
  <c r="X100" i="17" s="1"/>
  <c r="Y100" i="17" s="1"/>
  <c r="X101" i="17" a="1"/>
  <c r="X101" i="17" s="1"/>
  <c r="Y101" i="17" s="1"/>
  <c r="X103" i="17" a="1"/>
  <c r="X103" i="17" s="1"/>
  <c r="X198" i="17" a="1"/>
  <c r="X198" i="17" s="1"/>
  <c r="X104" i="17" a="1"/>
  <c r="X104" i="17" s="1"/>
  <c r="Y104" i="17" s="1"/>
  <c r="X105" i="17" a="1"/>
  <c r="X105" i="17" s="1"/>
  <c r="Y105" i="17" s="1"/>
  <c r="X106" i="17" a="1"/>
  <c r="X106" i="17" s="1"/>
  <c r="Y106" i="17" s="1"/>
  <c r="X107" i="17" a="1"/>
  <c r="X107" i="17" s="1"/>
  <c r="X108" i="17" a="1"/>
  <c r="X108" i="17" s="1"/>
  <c r="X109" i="17" a="1"/>
  <c r="X109" i="17" s="1"/>
  <c r="X111" i="17" a="1"/>
  <c r="X111" i="17" s="1"/>
  <c r="Y111" i="17" s="1"/>
  <c r="X112" i="17" a="1"/>
  <c r="X112" i="17" s="1"/>
  <c r="Y112" i="17" s="1"/>
  <c r="X113" i="17" a="1"/>
  <c r="X113" i="17" s="1"/>
  <c r="X114" i="17" a="1"/>
  <c r="X114" i="17" s="1"/>
  <c r="X115" i="17" a="1"/>
  <c r="X115" i="17" s="1"/>
  <c r="Y115" i="17" s="1"/>
  <c r="X200" i="17" a="1"/>
  <c r="X200" i="17" s="1"/>
  <c r="Y200" i="17" s="1"/>
  <c r="X118" i="17" a="1"/>
  <c r="X118" i="17" s="1"/>
  <c r="Y118" i="17" s="1"/>
  <c r="X119" i="17" a="1"/>
  <c r="X119" i="17" s="1"/>
  <c r="Y119" i="17" s="1"/>
  <c r="X120" i="17" a="1"/>
  <c r="X120" i="17" s="1"/>
  <c r="Y120" i="17" s="1"/>
  <c r="X121" i="17" a="1"/>
  <c r="X121" i="17" s="1"/>
  <c r="X201" i="17" a="1"/>
  <c r="X201" i="17" s="1"/>
  <c r="X122" i="17" a="1"/>
  <c r="X122" i="17" s="1"/>
  <c r="X123" i="17" a="1"/>
  <c r="X123" i="17" s="1"/>
  <c r="X124" i="17" a="1"/>
  <c r="X124" i="17" s="1"/>
  <c r="Y124" i="17" s="1"/>
  <c r="X125" i="17" a="1"/>
  <c r="X125" i="17" s="1"/>
  <c r="Y125" i="17" s="1"/>
  <c r="X126" i="17" a="1"/>
  <c r="X126" i="17" s="1"/>
  <c r="Y126" i="17" s="1"/>
  <c r="X127" i="17" a="1"/>
  <c r="X127" i="17" s="1"/>
  <c r="Y127" i="17" s="1"/>
  <c r="X202" i="17" a="1"/>
  <c r="X202" i="17" s="1"/>
  <c r="X128" i="17" a="1"/>
  <c r="X128" i="17" s="1"/>
  <c r="Y128" i="17" s="1"/>
  <c r="X129" i="17" a="1"/>
  <c r="X129" i="17" s="1"/>
  <c r="X130" i="17" a="1"/>
  <c r="X130" i="17" s="1"/>
  <c r="Y130" i="17" s="1"/>
  <c r="X131" i="17" a="1"/>
  <c r="X131" i="17" s="1"/>
  <c r="X132" i="17" a="1"/>
  <c r="X132" i="17" s="1"/>
  <c r="Y132" i="17" s="1"/>
  <c r="X133" i="17" a="1"/>
  <c r="X133" i="17" s="1"/>
  <c r="Y133" i="17" s="1"/>
  <c r="X203" i="17" a="1"/>
  <c r="X203" i="17" s="1"/>
  <c r="Y203" i="17" s="1"/>
  <c r="X134" i="17" a="1"/>
  <c r="X134" i="17" s="1"/>
  <c r="Y134" i="17" s="1"/>
  <c r="X135" i="17" a="1"/>
  <c r="X135" i="17" s="1"/>
  <c r="Y135" i="17" s="1"/>
  <c r="X136" i="17" a="1"/>
  <c r="X136" i="17" s="1"/>
  <c r="Y136" i="17" s="1"/>
  <c r="X139" i="17" a="1"/>
  <c r="X139" i="17" s="1"/>
  <c r="Y139" i="17" s="1"/>
  <c r="X204" i="17" a="1"/>
  <c r="X204" i="17" s="1"/>
  <c r="Y204" i="17" s="1"/>
  <c r="X140" i="17" a="1"/>
  <c r="X140" i="17" s="1"/>
  <c r="Y140" i="17" s="1"/>
  <c r="X141" i="17" a="1"/>
  <c r="X141" i="17" s="1"/>
  <c r="Y141" i="17" s="1"/>
  <c r="X142" i="17" a="1"/>
  <c r="X142" i="17" s="1"/>
  <c r="Y142" i="17" s="1"/>
  <c r="X143" i="17" a="1"/>
  <c r="X143" i="17" s="1"/>
  <c r="Y143" i="17" s="1"/>
  <c r="X144" i="17" a="1"/>
  <c r="X144" i="17" s="1"/>
  <c r="X205" i="17" a="1"/>
  <c r="X205" i="17" s="1"/>
  <c r="Y205" i="17" s="1"/>
  <c r="X146" i="17" a="1"/>
  <c r="X146" i="17" s="1"/>
  <c r="Y146" i="17" s="1"/>
  <c r="X147" i="17" a="1"/>
  <c r="X147" i="17" s="1"/>
  <c r="Y147" i="17" s="1"/>
  <c r="X148" i="17" a="1"/>
  <c r="X148" i="17" s="1"/>
  <c r="Y148" i="17" s="1"/>
  <c r="X149" i="17" a="1"/>
  <c r="X149" i="17" s="1"/>
  <c r="Y149" i="17" s="1"/>
  <c r="X150" i="17" a="1"/>
  <c r="X150" i="17" s="1"/>
  <c r="X151" i="17" a="1"/>
  <c r="X151" i="17" s="1"/>
  <c r="Y151" i="17" s="1"/>
  <c r="X206" i="17" a="1"/>
  <c r="X206" i="17" s="1"/>
  <c r="Y206" i="17" s="1"/>
  <c r="X152" i="17" a="1"/>
  <c r="X152" i="17" s="1"/>
  <c r="Y152" i="17" s="1"/>
  <c r="X153" i="17" a="1"/>
  <c r="X153" i="17" s="1"/>
  <c r="Y153" i="17" s="1"/>
  <c r="X154" i="17" a="1"/>
  <c r="X154" i="17" s="1"/>
  <c r="Y154" i="17" s="1"/>
  <c r="X155" i="17" a="1"/>
  <c r="X155" i="17" s="1"/>
  <c r="X156" i="17" a="1"/>
  <c r="X156" i="17" s="1"/>
  <c r="Y156" i="17" s="1"/>
  <c r="X157" i="17" a="1"/>
  <c r="X157" i="17" s="1"/>
  <c r="Y157" i="17" s="1"/>
  <c r="X207" i="17" a="1"/>
  <c r="X207" i="17" s="1"/>
  <c r="Y207" i="17" s="1"/>
  <c r="X158" i="17" a="1"/>
  <c r="X158" i="17" s="1"/>
  <c r="Y158" i="17" s="1"/>
  <c r="X159" i="17" a="1"/>
  <c r="X159" i="17" s="1"/>
  <c r="Y159" i="17" s="1"/>
  <c r="X160" i="17" a="1"/>
  <c r="X160" i="17" s="1"/>
  <c r="Y160" i="17" s="1"/>
  <c r="X161" i="17" a="1"/>
  <c r="X161" i="17" s="1"/>
  <c r="Y161" i="17" s="1"/>
  <c r="X162" i="17" a="1"/>
  <c r="X162" i="17" s="1"/>
  <c r="Y162" i="17" s="1"/>
  <c r="X163" i="17" a="1"/>
  <c r="X163" i="17" s="1"/>
  <c r="X208" i="17" a="1"/>
  <c r="X208" i="17" s="1"/>
  <c r="Y208" i="17" s="1"/>
  <c r="X166" i="17" a="1"/>
  <c r="X166" i="17" s="1"/>
  <c r="Y166" i="17" s="1"/>
  <c r="X167" i="17" a="1"/>
  <c r="X167" i="17" s="1"/>
  <c r="Y167" i="17" s="1"/>
  <c r="X168" i="17" a="1"/>
  <c r="X168" i="17" s="1"/>
  <c r="Y168" i="17" s="1"/>
  <c r="X169" i="17" a="1"/>
  <c r="X169" i="17" s="1"/>
  <c r="Y169" i="17" s="1"/>
  <c r="X209" i="17" a="1"/>
  <c r="X209" i="17" s="1"/>
  <c r="Y209" i="17" s="1"/>
  <c r="X170" i="17" a="1"/>
  <c r="X170" i="17" s="1"/>
  <c r="X171" i="17" a="1"/>
  <c r="X171" i="17" s="1"/>
  <c r="X173" i="17" a="1"/>
  <c r="X173" i="17" s="1"/>
  <c r="Y173" i="17" s="1"/>
  <c r="X174" i="17" a="1"/>
  <c r="X174" i="17" s="1"/>
  <c r="Y174" i="17" s="1"/>
  <c r="X175" i="17" a="1"/>
  <c r="X175" i="17" s="1"/>
  <c r="Y175" i="17" s="1"/>
  <c r="X210" i="17" a="1"/>
  <c r="X210" i="17" s="1"/>
  <c r="Y210" i="17" s="1"/>
  <c r="X176" i="17" a="1"/>
  <c r="X176" i="17" s="1"/>
  <c r="X177" i="17" a="1"/>
  <c r="X177" i="17" s="1"/>
  <c r="Y177" i="17" s="1"/>
  <c r="X178" i="17" a="1"/>
  <c r="X178" i="17" s="1"/>
  <c r="Y178" i="17" s="1"/>
  <c r="X179" i="17" a="1"/>
  <c r="X179" i="17" s="1"/>
  <c r="Y179" i="17" s="1"/>
  <c r="X180" i="17" a="1"/>
  <c r="X180" i="17" s="1"/>
  <c r="Y180" i="17" s="1"/>
  <c r="X181" i="17" a="1"/>
  <c r="X181" i="17" s="1"/>
  <c r="Y181" i="17" s="1"/>
  <c r="X211" i="17" a="1"/>
  <c r="X211" i="17" s="1"/>
  <c r="Y211" i="17" s="1"/>
  <c r="G2" i="16"/>
  <c r="K84" i="20" l="1" a="1"/>
  <c r="K84" i="20" s="1"/>
  <c r="K52" i="20" a="1"/>
  <c r="K52" i="20" s="1"/>
  <c r="K20" i="20" a="1"/>
  <c r="K20" i="20" s="1"/>
  <c r="N135" i="20"/>
  <c r="N103" i="20"/>
  <c r="N71" i="20"/>
  <c r="N39" i="20"/>
  <c r="N10" i="20"/>
  <c r="K19" i="20" a="1"/>
  <c r="K19" i="20" s="1"/>
  <c r="K18" i="20" a="1"/>
  <c r="K18" i="20" s="1"/>
  <c r="N132" i="20"/>
  <c r="N100" i="20"/>
  <c r="N68" i="20"/>
  <c r="N36" i="20"/>
  <c r="K17" i="20" a="1"/>
  <c r="K17" i="20" s="1"/>
  <c r="K15" i="20" a="1"/>
  <c r="K15" i="20" s="1"/>
  <c r="N131" i="20"/>
  <c r="K14" i="20" a="1"/>
  <c r="K14" i="20" s="1"/>
  <c r="K13" i="20" a="1"/>
  <c r="K13" i="20" s="1"/>
  <c r="K12" i="20" a="1"/>
  <c r="K12" i="20" s="1"/>
  <c r="N128" i="20"/>
  <c r="N96" i="20"/>
  <c r="N64" i="20"/>
  <c r="N32" i="20"/>
  <c r="K3" i="20" a="1"/>
  <c r="K3" i="20" s="1"/>
  <c r="K44" i="20" a="1"/>
  <c r="K44" i="20" s="1"/>
  <c r="K11" i="20" a="1"/>
  <c r="K11" i="20" s="1"/>
  <c r="K10" i="20" a="1"/>
  <c r="K10" i="20" s="1"/>
  <c r="K9" i="20" a="1"/>
  <c r="K9" i="20" s="1"/>
  <c r="K8" i="20" a="1"/>
  <c r="K8" i="20" s="1"/>
  <c r="N124" i="20"/>
  <c r="N92" i="20"/>
  <c r="N60" i="20"/>
  <c r="K40" i="20" a="1"/>
  <c r="K40" i="20" s="1"/>
  <c r="K7" i="20" a="1"/>
  <c r="K7" i="20" s="1"/>
  <c r="K39" i="20" a="1"/>
  <c r="K39" i="20" s="1"/>
  <c r="K6" i="20" a="1"/>
  <c r="K6" i="20" s="1"/>
  <c r="N122" i="20"/>
  <c r="K5" i="20" a="1"/>
  <c r="K5" i="20" s="1"/>
  <c r="N120" i="20"/>
  <c r="N88" i="20"/>
  <c r="K100" i="20" a="1"/>
  <c r="K100" i="20" s="1"/>
  <c r="K68" i="20" a="1"/>
  <c r="K68" i="20" s="1"/>
  <c r="K36" i="20" a="1"/>
  <c r="K36" i="20" s="1"/>
  <c r="K35" i="20" a="1"/>
  <c r="K35" i="20" s="1"/>
  <c r="K34" i="20" a="1"/>
  <c r="K34" i="20" s="1"/>
  <c r="K33" i="20" a="1"/>
  <c r="K33" i="20" s="1"/>
  <c r="K32" i="20" a="1"/>
  <c r="K32" i="20" s="1"/>
  <c r="K31" i="20" a="1"/>
  <c r="K31" i="20" s="1"/>
  <c r="K30" i="20" a="1"/>
  <c r="K30" i="20" s="1"/>
  <c r="K29" i="20" a="1"/>
  <c r="K29" i="20" s="1"/>
  <c r="K60" i="20" a="1"/>
  <c r="K60" i="20" s="1"/>
  <c r="N143" i="20"/>
  <c r="N111" i="20"/>
  <c r="K27" i="20" a="1"/>
  <c r="K27" i="20" s="1"/>
  <c r="L4" i="20" a="1"/>
  <c r="L4" i="20" s="1"/>
  <c r="K58" i="20" a="1"/>
  <c r="K58" i="20" s="1"/>
  <c r="K26" i="20" a="1"/>
  <c r="K26" i="20" s="1"/>
  <c r="N13" i="20"/>
  <c r="K25" i="20" a="1"/>
  <c r="K25" i="20" s="1"/>
  <c r="N140" i="20"/>
  <c r="N108" i="20"/>
  <c r="N76" i="20"/>
  <c r="N44" i="20"/>
  <c r="N14" i="20"/>
  <c r="K56" i="20" a="1"/>
  <c r="K56" i="20" s="1"/>
  <c r="K24" i="20" a="1"/>
  <c r="K24" i="20" s="1"/>
  <c r="K55" i="20" a="1"/>
  <c r="K55" i="20" s="1"/>
  <c r="K23" i="20" a="1"/>
  <c r="K23" i="20" s="1"/>
  <c r="N134" i="20"/>
  <c r="N102" i="20"/>
  <c r="N70" i="20"/>
  <c r="N38" i="20"/>
  <c r="N133" i="20"/>
  <c r="N101" i="20"/>
  <c r="N69" i="20"/>
  <c r="N37" i="20"/>
  <c r="N99" i="20"/>
  <c r="N67" i="20"/>
  <c r="N35" i="20"/>
  <c r="N7" i="20"/>
  <c r="N8" i="20"/>
  <c r="N130" i="20"/>
  <c r="N98" i="20"/>
  <c r="N66" i="20"/>
  <c r="N34" i="20"/>
  <c r="N6" i="20"/>
  <c r="N129" i="20"/>
  <c r="N97" i="20"/>
  <c r="N65" i="20"/>
  <c r="N33" i="20"/>
  <c r="N5" i="20"/>
  <c r="N4" i="20"/>
  <c r="N127" i="20"/>
  <c r="N95" i="20"/>
  <c r="N63" i="20"/>
  <c r="N31" i="20"/>
  <c r="N3" i="20"/>
  <c r="N94" i="20"/>
  <c r="N30" i="20"/>
  <c r="N2" i="20"/>
  <c r="N126" i="20"/>
  <c r="N62" i="20"/>
  <c r="N125" i="20"/>
  <c r="N93" i="20"/>
  <c r="N61" i="20"/>
  <c r="N29" i="20"/>
  <c r="N123" i="20"/>
  <c r="N91" i="20"/>
  <c r="N59" i="20"/>
  <c r="N28" i="20"/>
  <c r="N90" i="20"/>
  <c r="N58" i="20"/>
  <c r="N27" i="20"/>
  <c r="N121" i="20"/>
  <c r="N89" i="20"/>
  <c r="N57" i="20"/>
  <c r="N26" i="20"/>
  <c r="N56" i="20"/>
  <c r="N151" i="20"/>
  <c r="N119" i="20"/>
  <c r="N87" i="20"/>
  <c r="N55" i="20"/>
  <c r="N150" i="20"/>
  <c r="N118" i="20"/>
  <c r="N86" i="20"/>
  <c r="N54" i="20"/>
  <c r="N24" i="20"/>
  <c r="N149" i="20"/>
  <c r="N117" i="20"/>
  <c r="N85" i="20"/>
  <c r="N53" i="20"/>
  <c r="N23" i="20"/>
  <c r="N148" i="20"/>
  <c r="N116" i="20"/>
  <c r="N84" i="20"/>
  <c r="N52" i="20"/>
  <c r="N22" i="20"/>
  <c r="N147" i="20"/>
  <c r="N115" i="20"/>
  <c r="N83" i="20"/>
  <c r="N51" i="20"/>
  <c r="N21" i="20"/>
  <c r="N146" i="20"/>
  <c r="N114" i="20"/>
  <c r="N82" i="20"/>
  <c r="N50" i="20"/>
  <c r="N20" i="20"/>
  <c r="N145" i="20"/>
  <c r="N113" i="20"/>
  <c r="N81" i="20"/>
  <c r="N49" i="20"/>
  <c r="N19" i="20"/>
  <c r="N144" i="20"/>
  <c r="N112" i="20"/>
  <c r="N80" i="20"/>
  <c r="N48" i="20"/>
  <c r="N18" i="20"/>
  <c r="N79" i="20"/>
  <c r="N47" i="20"/>
  <c r="N17" i="20"/>
  <c r="N142" i="20"/>
  <c r="N110" i="20"/>
  <c r="N78" i="20"/>
  <c r="N46" i="20"/>
  <c r="N16" i="20"/>
  <c r="N141" i="20"/>
  <c r="N109" i="20"/>
  <c r="N77" i="20"/>
  <c r="N45" i="20"/>
  <c r="N15" i="20"/>
  <c r="N139" i="20"/>
  <c r="N107" i="20"/>
  <c r="N75" i="20"/>
  <c r="N43" i="20"/>
  <c r="N138" i="20"/>
  <c r="N106" i="20"/>
  <c r="N74" i="20"/>
  <c r="N42" i="20"/>
  <c r="N137" i="20"/>
  <c r="N105" i="20"/>
  <c r="N73" i="20"/>
  <c r="N41" i="20"/>
  <c r="N12" i="20"/>
  <c r="N136" i="20"/>
  <c r="N104" i="20"/>
  <c r="N72" i="20"/>
  <c r="N40" i="20"/>
  <c r="N11" i="20"/>
  <c r="K2" i="20" a="1"/>
  <c r="K2" i="20" s="1"/>
  <c r="M58" i="19"/>
  <c r="M26" i="19"/>
  <c r="K19" i="19" a="1"/>
  <c r="K19" i="19" s="1"/>
  <c r="J45" i="19" a="1"/>
  <c r="J45" i="19" s="1"/>
  <c r="N30" i="19" a="1"/>
  <c r="N30" i="19" s="1"/>
  <c r="M57" i="19"/>
  <c r="M25" i="19"/>
  <c r="K52" i="19" a="1"/>
  <c r="K52" i="19" s="1"/>
  <c r="M52" i="19" s="1"/>
  <c r="K18" i="19" a="1"/>
  <c r="K18" i="19" s="1"/>
  <c r="M18" i="19" s="1"/>
  <c r="J44" i="19" a="1"/>
  <c r="J44" i="19" s="1"/>
  <c r="J43" i="19" a="1"/>
  <c r="J43" i="19" s="1"/>
  <c r="J42" i="19" a="1"/>
  <c r="J42" i="19" s="1"/>
  <c r="M54" i="19"/>
  <c r="M22" i="19"/>
  <c r="J41" i="19" a="1"/>
  <c r="J41" i="19" s="1"/>
  <c r="K28" i="19" a="1"/>
  <c r="K28" i="19" s="1"/>
  <c r="J38" i="19" a="1"/>
  <c r="J38" i="19" s="1"/>
  <c r="J36" i="19" a="1"/>
  <c r="J36" i="19" s="1"/>
  <c r="J56" i="19" a="1"/>
  <c r="J56" i="19" s="1"/>
  <c r="J24" i="19" a="1"/>
  <c r="J24" i="19" s="1"/>
  <c r="J34" i="19" a="1"/>
  <c r="J34" i="19" s="1"/>
  <c r="M15" i="19"/>
  <c r="J31" i="19" a="1"/>
  <c r="J31" i="19" s="1"/>
  <c r="J10" i="19" a="1"/>
  <c r="J10" i="19" s="1"/>
  <c r="M46" i="19"/>
  <c r="K40" i="19" a="1"/>
  <c r="K40" i="19" s="1"/>
  <c r="M40" i="19" s="1"/>
  <c r="K6" i="19" a="1"/>
  <c r="K6" i="19" s="1"/>
  <c r="J9" i="19" a="1"/>
  <c r="J9" i="19" s="1"/>
  <c r="K4" i="19" a="1"/>
  <c r="K4" i="19" s="1"/>
  <c r="J28" i="19" a="1"/>
  <c r="J28" i="19" s="1"/>
  <c r="N6" i="19" a="1"/>
  <c r="N6" i="19" s="1"/>
  <c r="N16" i="19" a="1"/>
  <c r="N16" i="19" s="1"/>
  <c r="M11" i="19"/>
  <c r="K37" i="19" a="1"/>
  <c r="K37" i="19" s="1"/>
  <c r="K3" i="19" a="1"/>
  <c r="K3" i="19" s="1"/>
  <c r="M42" i="19"/>
  <c r="M10" i="19"/>
  <c r="K36" i="19" a="1"/>
  <c r="K36" i="19" s="1"/>
  <c r="N46" i="19" a="1"/>
  <c r="N46" i="19" s="1"/>
  <c r="N14" i="19" a="1"/>
  <c r="N14" i="19" s="1"/>
  <c r="K35" i="19" a="1"/>
  <c r="K35" i="19" s="1"/>
  <c r="M8" i="19"/>
  <c r="K34" i="19" a="1"/>
  <c r="K34" i="19" s="1"/>
  <c r="M34" i="19" s="1"/>
  <c r="J60" i="19" a="1"/>
  <c r="J60" i="19" s="1"/>
  <c r="J22" i="19" a="1"/>
  <c r="J22" i="19" s="1"/>
  <c r="J59" i="19" a="1"/>
  <c r="J59" i="19" s="1"/>
  <c r="J21" i="19" a="1"/>
  <c r="J21" i="19" s="1"/>
  <c r="M6" i="19"/>
  <c r="K32" i="19" a="1"/>
  <c r="K32" i="19" s="1"/>
  <c r="M32" i="19" s="1"/>
  <c r="J20" i="19" a="1"/>
  <c r="J20" i="19" s="1"/>
  <c r="M37" i="19"/>
  <c r="K44" i="19" a="1"/>
  <c r="K44" i="19" s="1"/>
  <c r="K12" i="19" a="1"/>
  <c r="K12" i="19" s="1"/>
  <c r="M12" i="19" s="1"/>
  <c r="M36" i="19"/>
  <c r="J55" i="19" a="1"/>
  <c r="J55" i="19" s="1"/>
  <c r="J18" i="19" a="1"/>
  <c r="J18" i="19" s="1"/>
  <c r="M35" i="19"/>
  <c r="K29" i="19" a="1"/>
  <c r="K29" i="19" s="1"/>
  <c r="M29" i="19" s="1"/>
  <c r="J54" i="19" a="1"/>
  <c r="J54" i="19" s="1"/>
  <c r="J17" i="19" a="1"/>
  <c r="J17" i="19" s="1"/>
  <c r="J53" i="19" a="1"/>
  <c r="J53" i="19" s="1"/>
  <c r="J40" i="19" a="1"/>
  <c r="J40" i="19" s="1"/>
  <c r="J8" i="19" a="1"/>
  <c r="J8" i="19" s="1"/>
  <c r="J51" i="19" a="1"/>
  <c r="J51" i="19" s="1"/>
  <c r="J5" i="19" a="1"/>
  <c r="J5" i="19" s="1"/>
  <c r="J50" i="19" a="1"/>
  <c r="J50" i="19" s="1"/>
  <c r="J4" i="19" a="1"/>
  <c r="J4" i="19" s="1"/>
  <c r="J49" i="19" a="1"/>
  <c r="J49" i="19" s="1"/>
  <c r="J48" i="19" a="1"/>
  <c r="J48" i="19" s="1"/>
  <c r="N34" i="19" a="1"/>
  <c r="N34" i="19" s="1"/>
  <c r="K56" i="19" a="1"/>
  <c r="K56" i="19" s="1"/>
  <c r="M56" i="19" s="1"/>
  <c r="O37" i="19" a="1"/>
  <c r="O37" i="19" s="1"/>
  <c r="O5" i="19" a="1"/>
  <c r="O5" i="19" s="1"/>
  <c r="O36" i="19" a="1"/>
  <c r="O36" i="19" s="1"/>
  <c r="K20" i="19" a="1"/>
  <c r="K20" i="19" s="1"/>
  <c r="M20" i="19" s="1"/>
  <c r="M55" i="19"/>
  <c r="M23" i="19"/>
  <c r="M19" i="19"/>
  <c r="M21" i="19"/>
  <c r="M50" i="19"/>
  <c r="M48" i="19"/>
  <c r="M14" i="19"/>
  <c r="M43" i="19"/>
  <c r="M44" i="19"/>
  <c r="M41" i="19"/>
  <c r="M9" i="19"/>
  <c r="M39" i="19"/>
  <c r="M7" i="19"/>
  <c r="M38" i="19"/>
  <c r="M4" i="19"/>
  <c r="M3" i="19"/>
  <c r="M2" i="19"/>
  <c r="M5" i="19"/>
  <c r="M31" i="19"/>
  <c r="M30" i="19"/>
  <c r="M61" i="19"/>
  <c r="M28" i="19"/>
  <c r="M60" i="19"/>
  <c r="M59" i="19"/>
  <c r="M27" i="19"/>
  <c r="J33" i="19" a="1"/>
  <c r="J33" i="19" s="1"/>
  <c r="J16" i="19" a="1"/>
  <c r="J16" i="19" s="1"/>
  <c r="J32" i="19" a="1"/>
  <c r="J32" i="19" s="1"/>
  <c r="J15" i="19" a="1"/>
  <c r="J15" i="19" s="1"/>
  <c r="J14" i="19" a="1"/>
  <c r="J14" i="19" s="1"/>
  <c r="J13" i="19" a="1"/>
  <c r="J13" i="19" s="1"/>
  <c r="J12" i="19" a="1"/>
  <c r="J12" i="19" s="1"/>
  <c r="J11" i="19" a="1"/>
  <c r="J11" i="19" s="1"/>
  <c r="J25" i="19" a="1"/>
  <c r="J25" i="19" s="1"/>
  <c r="O53" i="18" a="1"/>
  <c r="O53" i="18" s="1"/>
  <c r="O21" i="18" a="1"/>
  <c r="O21" i="18" s="1"/>
  <c r="O20" i="18" a="1"/>
  <c r="O20" i="18" s="1"/>
  <c r="R134" i="18"/>
  <c r="R102" i="18"/>
  <c r="R70" i="18"/>
  <c r="R10" i="18"/>
  <c r="U10" i="18" s="1"/>
  <c r="O19" i="18" a="1"/>
  <c r="O19" i="18" s="1"/>
  <c r="O18" i="18" a="1"/>
  <c r="O18" i="18" s="1"/>
  <c r="O16" i="18" a="1"/>
  <c r="O16" i="18" s="1"/>
  <c r="O17" i="18" a="1"/>
  <c r="O17" i="18" s="1"/>
  <c r="O15" i="18" a="1"/>
  <c r="O15" i="18" s="1"/>
  <c r="O14" i="18" a="1"/>
  <c r="O14" i="18" s="1"/>
  <c r="O13" i="18" a="1"/>
  <c r="O13" i="18" s="1"/>
  <c r="O45" i="18" a="1"/>
  <c r="O45" i="18" s="1"/>
  <c r="O12" i="18" a="1"/>
  <c r="O12" i="18" s="1"/>
  <c r="O11" i="18" a="1"/>
  <c r="O11" i="18" s="1"/>
  <c r="O10" i="18" a="1"/>
  <c r="O10" i="18" s="1"/>
  <c r="O9" i="18" a="1"/>
  <c r="O9" i="18" s="1"/>
  <c r="O8" i="18" a="1"/>
  <c r="O8" i="18" s="1"/>
  <c r="O40" i="18" a="1"/>
  <c r="O40" i="18" s="1"/>
  <c r="O7" i="18" a="1"/>
  <c r="O7" i="18" s="1"/>
  <c r="O6" i="18" a="1"/>
  <c r="O6" i="18" s="1"/>
  <c r="O38" i="18" a="1"/>
  <c r="O38" i="18" s="1"/>
  <c r="O4" i="18" a="1"/>
  <c r="O4" i="18" s="1"/>
  <c r="R120" i="18"/>
  <c r="U120" i="18" s="1"/>
  <c r="R88" i="18"/>
  <c r="U88" i="18" s="1"/>
  <c r="O69" i="18" a="1"/>
  <c r="O69" i="18" s="1"/>
  <c r="O37" i="18" a="1"/>
  <c r="O37" i="18" s="1"/>
  <c r="O68" i="18" a="1"/>
  <c r="O68" i="18" s="1"/>
  <c r="O36" i="18" a="1"/>
  <c r="O36" i="18" s="1"/>
  <c r="O35" i="18" a="1"/>
  <c r="O35" i="18" s="1"/>
  <c r="O34" i="18" a="1"/>
  <c r="O34" i="18" s="1"/>
  <c r="O33" i="18" a="1"/>
  <c r="O33" i="18" s="1"/>
  <c r="O5" i="18" a="1"/>
  <c r="O5" i="18" s="1"/>
  <c r="O31" i="18" a="1"/>
  <c r="O31" i="18" s="1"/>
  <c r="O30" i="18" a="1"/>
  <c r="O30" i="18" s="1"/>
  <c r="R17" i="18"/>
  <c r="O29" i="18" a="1"/>
  <c r="O29" i="18" s="1"/>
  <c r="O28" i="18" a="1"/>
  <c r="O28" i="18" s="1"/>
  <c r="O59" i="18" a="1"/>
  <c r="O59" i="18" s="1"/>
  <c r="O26" i="18" a="1"/>
  <c r="O26" i="18" s="1"/>
  <c r="O24" i="18" a="1"/>
  <c r="O24" i="18" s="1"/>
  <c r="R138" i="18"/>
  <c r="U138" i="18" s="1"/>
  <c r="R106" i="18"/>
  <c r="U106" i="18" s="1"/>
  <c r="R74" i="18"/>
  <c r="U74" i="18" s="1"/>
  <c r="R135" i="18"/>
  <c r="U135" i="18" s="1"/>
  <c r="R103" i="18"/>
  <c r="U103" i="18" s="1"/>
  <c r="R71" i="18"/>
  <c r="U71" i="18" s="1"/>
  <c r="R39" i="18"/>
  <c r="U39" i="18" s="1"/>
  <c r="R11" i="18"/>
  <c r="U11" i="18" s="1"/>
  <c r="R38" i="18"/>
  <c r="U38" i="18" s="1"/>
  <c r="R133" i="18"/>
  <c r="U133" i="18" s="1"/>
  <c r="R101" i="18"/>
  <c r="U101" i="18" s="1"/>
  <c r="R69" i="18"/>
  <c r="U69" i="18" s="1"/>
  <c r="R37" i="18"/>
  <c r="U37" i="18" s="1"/>
  <c r="R9" i="18"/>
  <c r="U9" i="18" s="1"/>
  <c r="R132" i="18"/>
  <c r="U132" i="18" s="1"/>
  <c r="R100" i="18"/>
  <c r="U100" i="18" s="1"/>
  <c r="R68" i="18"/>
  <c r="U68" i="18" s="1"/>
  <c r="R36" i="18"/>
  <c r="U36" i="18" s="1"/>
  <c r="R8" i="18"/>
  <c r="U8" i="18" s="1"/>
  <c r="R130" i="18"/>
  <c r="U130" i="18" s="1"/>
  <c r="R98" i="18"/>
  <c r="U98" i="18"/>
  <c r="R66" i="18"/>
  <c r="U66" i="18" s="1"/>
  <c r="R34" i="18"/>
  <c r="U34" i="18" s="1"/>
  <c r="R6" i="18"/>
  <c r="U6" i="18" s="1"/>
  <c r="R5" i="18"/>
  <c r="U5" i="18" s="1"/>
  <c r="R99" i="18"/>
  <c r="U99" i="18" s="1"/>
  <c r="R129" i="18"/>
  <c r="U129" i="18"/>
  <c r="R97" i="18"/>
  <c r="U97" i="18" s="1"/>
  <c r="R65" i="18"/>
  <c r="U65" i="18" s="1"/>
  <c r="U134" i="18"/>
  <c r="R128" i="18"/>
  <c r="U128" i="18" s="1"/>
  <c r="R96" i="18"/>
  <c r="U96" i="18" s="1"/>
  <c r="R64" i="18"/>
  <c r="U64" i="18" s="1"/>
  <c r="R4" i="18"/>
  <c r="U4" i="18" s="1"/>
  <c r="R127" i="18"/>
  <c r="U127" i="18" s="1"/>
  <c r="R95" i="18"/>
  <c r="U95" i="18" s="1"/>
  <c r="R63" i="18"/>
  <c r="U63" i="18" s="1"/>
  <c r="R32" i="18"/>
  <c r="U32" i="18" s="1"/>
  <c r="R3" i="18"/>
  <c r="U3" i="18" s="1"/>
  <c r="R2" i="18"/>
  <c r="U2" i="18" s="1"/>
  <c r="R125" i="18"/>
  <c r="U125" i="18" s="1"/>
  <c r="R93" i="18"/>
  <c r="U93" i="18" s="1"/>
  <c r="R61" i="18"/>
  <c r="U61" i="18" s="1"/>
  <c r="R124" i="18"/>
  <c r="U124" i="18" s="1"/>
  <c r="R92" i="18"/>
  <c r="U92" i="18" s="1"/>
  <c r="R60" i="18"/>
  <c r="R30" i="18"/>
  <c r="U30" i="18" s="1"/>
  <c r="R94" i="18"/>
  <c r="U94" i="18" s="1"/>
  <c r="R123" i="18"/>
  <c r="U123" i="18" s="1"/>
  <c r="R91" i="18"/>
  <c r="U91" i="18" s="1"/>
  <c r="R59" i="18"/>
  <c r="U59" i="18" s="1"/>
  <c r="R29" i="18"/>
  <c r="U29" i="18"/>
  <c r="R126" i="18"/>
  <c r="U126" i="18"/>
  <c r="R122" i="18"/>
  <c r="U122" i="18" s="1"/>
  <c r="R90" i="18"/>
  <c r="U90" i="18" s="1"/>
  <c r="R58" i="18"/>
  <c r="U58" i="18" s="1"/>
  <c r="R28" i="18"/>
  <c r="U28" i="18" s="1"/>
  <c r="R62" i="18"/>
  <c r="U62" i="18" s="1"/>
  <c r="R121" i="18"/>
  <c r="U121" i="18" s="1"/>
  <c r="R89" i="18"/>
  <c r="U89" i="18" s="1"/>
  <c r="R57" i="18"/>
  <c r="U57" i="18" s="1"/>
  <c r="R27" i="18"/>
  <c r="U27" i="18" s="1"/>
  <c r="R56" i="18"/>
  <c r="U56" i="18" s="1"/>
  <c r="R26" i="18"/>
  <c r="U26" i="18" s="1"/>
  <c r="R151" i="18"/>
  <c r="U151" i="18" s="1"/>
  <c r="R119" i="18"/>
  <c r="U119" i="18" s="1"/>
  <c r="R87" i="18"/>
  <c r="U87" i="18" s="1"/>
  <c r="R55" i="18"/>
  <c r="U55" i="18" s="1"/>
  <c r="R25" i="18"/>
  <c r="U25" i="18" s="1"/>
  <c r="R150" i="18"/>
  <c r="U150" i="18" s="1"/>
  <c r="R118" i="18"/>
  <c r="U118" i="18" s="1"/>
  <c r="R86" i="18"/>
  <c r="U86" i="18" s="1"/>
  <c r="R54" i="18"/>
  <c r="U54" i="18" s="1"/>
  <c r="R24" i="18"/>
  <c r="U24" i="18" s="1"/>
  <c r="R149" i="18"/>
  <c r="U149" i="18" s="1"/>
  <c r="R117" i="18"/>
  <c r="U117" i="18" s="1"/>
  <c r="R85" i="18"/>
  <c r="U85" i="18" s="1"/>
  <c r="R53" i="18"/>
  <c r="U53" i="18" s="1"/>
  <c r="R23" i="18"/>
  <c r="U23" i="18" s="1"/>
  <c r="U102" i="18"/>
  <c r="R148" i="18"/>
  <c r="U148" i="18" s="1"/>
  <c r="R116" i="18"/>
  <c r="U116" i="18" s="1"/>
  <c r="R84" i="18"/>
  <c r="U84" i="18" s="1"/>
  <c r="R52" i="18"/>
  <c r="U52" i="18" s="1"/>
  <c r="R22" i="18"/>
  <c r="U22" i="18" s="1"/>
  <c r="R131" i="18"/>
  <c r="U131" i="18" s="1"/>
  <c r="R147" i="18"/>
  <c r="U147" i="18" s="1"/>
  <c r="R115" i="18"/>
  <c r="U115" i="18" s="1"/>
  <c r="R83" i="18"/>
  <c r="U83" i="18" s="1"/>
  <c r="R51" i="18"/>
  <c r="U51" i="18" s="1"/>
  <c r="R21" i="18"/>
  <c r="U21" i="18" s="1"/>
  <c r="R145" i="18"/>
  <c r="U145" i="18" s="1"/>
  <c r="R113" i="18"/>
  <c r="U113" i="18" s="1"/>
  <c r="R81" i="18"/>
  <c r="U81" i="18" s="1"/>
  <c r="R49" i="18"/>
  <c r="U49" i="18" s="1"/>
  <c r="R19" i="18"/>
  <c r="U19" i="18" s="1"/>
  <c r="R144" i="18"/>
  <c r="U144" i="18" s="1"/>
  <c r="R112" i="18"/>
  <c r="U112" i="18" s="1"/>
  <c r="R80" i="18"/>
  <c r="U80" i="18" s="1"/>
  <c r="R48" i="18"/>
  <c r="U48" i="18" s="1"/>
  <c r="R18" i="18"/>
  <c r="U18" i="18" s="1"/>
  <c r="R35" i="18"/>
  <c r="U35" i="18" s="1"/>
  <c r="R143" i="18"/>
  <c r="U143" i="18" s="1"/>
  <c r="R111" i="18"/>
  <c r="U111" i="18" s="1"/>
  <c r="R79" i="18"/>
  <c r="U79" i="18" s="1"/>
  <c r="R47" i="18"/>
  <c r="U47" i="18" s="1"/>
  <c r="U17" i="18"/>
  <c r="R114" i="18"/>
  <c r="U114" i="18" s="1"/>
  <c r="R142" i="18"/>
  <c r="U142" i="18" s="1"/>
  <c r="R110" i="18"/>
  <c r="U110" i="18" s="1"/>
  <c r="R78" i="18"/>
  <c r="U78" i="18" s="1"/>
  <c r="R46" i="18"/>
  <c r="U46" i="18" s="1"/>
  <c r="R146" i="18"/>
  <c r="U146" i="18" s="1"/>
  <c r="R50" i="18"/>
  <c r="U50" i="18" s="1"/>
  <c r="R141" i="18"/>
  <c r="U141" i="18" s="1"/>
  <c r="R109" i="18"/>
  <c r="U109" i="18" s="1"/>
  <c r="R77" i="18"/>
  <c r="U77" i="18" s="1"/>
  <c r="R45" i="18"/>
  <c r="U45" i="18" s="1"/>
  <c r="R16" i="18"/>
  <c r="U16" i="18" s="1"/>
  <c r="U20" i="18"/>
  <c r="R20" i="18"/>
  <c r="R140" i="18"/>
  <c r="U140" i="18" s="1"/>
  <c r="R108" i="18"/>
  <c r="U108" i="18" s="1"/>
  <c r="R76" i="18"/>
  <c r="U76" i="18" s="1"/>
  <c r="R44" i="18"/>
  <c r="U44" i="18" s="1"/>
  <c r="U82" i="18"/>
  <c r="R82" i="18"/>
  <c r="U70" i="18"/>
  <c r="U60" i="18"/>
  <c r="R139" i="18"/>
  <c r="U139" i="18" s="1"/>
  <c r="R107" i="18"/>
  <c r="U107" i="18" s="1"/>
  <c r="R75" i="18"/>
  <c r="U75" i="18" s="1"/>
  <c r="R43" i="18"/>
  <c r="U43" i="18" s="1"/>
  <c r="R42" i="18"/>
  <c r="U42" i="18" s="1"/>
  <c r="R14" i="18"/>
  <c r="U14" i="18" s="1"/>
  <c r="R67" i="18"/>
  <c r="U67" i="18" s="1"/>
  <c r="R137" i="18"/>
  <c r="U137" i="18"/>
  <c r="R105" i="18"/>
  <c r="U105" i="18" s="1"/>
  <c r="R73" i="18"/>
  <c r="U73" i="18"/>
  <c r="R41" i="18"/>
  <c r="U41" i="18" s="1"/>
  <c r="R13" i="18"/>
  <c r="U13" i="18" s="1"/>
  <c r="R7" i="18"/>
  <c r="U7" i="18"/>
  <c r="R136" i="18"/>
  <c r="U136" i="18" s="1"/>
  <c r="R104" i="18"/>
  <c r="U104" i="18" s="1"/>
  <c r="R72" i="18"/>
  <c r="U72" i="18" s="1"/>
  <c r="R40" i="18"/>
  <c r="U40" i="18" s="1"/>
  <c r="R12" i="18"/>
  <c r="U12" i="18" s="1"/>
  <c r="U33" i="18"/>
  <c r="R15" i="18"/>
  <c r="U15" i="18" s="1"/>
  <c r="O3" i="18" a="1"/>
  <c r="O3" i="18" s="1"/>
  <c r="O2" i="18" a="1"/>
  <c r="O2" i="18" s="1"/>
  <c r="N56" i="17" a="1"/>
  <c r="N56" i="17" s="1"/>
  <c r="N45" i="17" a="1"/>
  <c r="N45" i="17" s="1"/>
  <c r="X29" i="17" a="1"/>
  <c r="X29" i="17" s="1"/>
  <c r="Y29" i="17" s="1"/>
  <c r="V163" i="17" a="1"/>
  <c r="V163" i="17" s="1"/>
  <c r="V138" i="17" a="1"/>
  <c r="V138" i="17" s="1"/>
  <c r="V200" i="17" a="1"/>
  <c r="V200" i="17" s="1"/>
  <c r="V90" i="17" a="1"/>
  <c r="V90" i="17" s="1"/>
  <c r="V192" i="17" a="1"/>
  <c r="V192" i="17" s="1"/>
  <c r="V41" i="17" a="1"/>
  <c r="V41" i="17" s="1"/>
  <c r="V19" i="17" a="1"/>
  <c r="V19" i="17" s="1"/>
  <c r="U154" i="17" a="1"/>
  <c r="U154" i="17" s="1"/>
  <c r="U131" i="17" a="1"/>
  <c r="U131" i="17" s="1"/>
  <c r="U199" i="17" a="1"/>
  <c r="U199" i="17" s="1"/>
  <c r="U86" i="17" a="1"/>
  <c r="U86" i="17" s="1"/>
  <c r="U191" i="17" a="1"/>
  <c r="U191" i="17" s="1"/>
  <c r="U183" i="17" a="1"/>
  <c r="U183" i="17" s="1"/>
  <c r="T168" i="17" a="1"/>
  <c r="T168" i="17" s="1"/>
  <c r="T146" i="17" a="1"/>
  <c r="T146" i="17" s="1"/>
  <c r="T122" i="17" a="1"/>
  <c r="T122" i="17" s="1"/>
  <c r="T78" i="17" a="1"/>
  <c r="T78" i="17" s="1"/>
  <c r="T190" i="17" a="1"/>
  <c r="T190" i="17" s="1"/>
  <c r="T34" i="17" a="1"/>
  <c r="T34" i="17" s="1"/>
  <c r="T10" i="17" a="1"/>
  <c r="T10" i="17" s="1"/>
  <c r="S166" i="17" a="1"/>
  <c r="S166" i="17" s="1"/>
  <c r="S139" i="17" a="1"/>
  <c r="S139" i="17" s="1"/>
  <c r="S116" i="17" a="1"/>
  <c r="S116" i="17" s="1"/>
  <c r="S196" i="17" a="1"/>
  <c r="S196" i="17" s="1"/>
  <c r="S192" i="17" a="1"/>
  <c r="S192" i="17" s="1"/>
  <c r="S44" i="17" a="1"/>
  <c r="S44" i="17" s="1"/>
  <c r="S20" i="17" a="1"/>
  <c r="S20" i="17" s="1"/>
  <c r="R175" i="17" a="1"/>
  <c r="R175" i="17" s="1"/>
  <c r="R151" i="17" a="1"/>
  <c r="R151" i="17" s="1"/>
  <c r="R202" i="17" a="1"/>
  <c r="R202" i="17" s="1"/>
  <c r="R198" i="17" a="1"/>
  <c r="R198" i="17" s="1"/>
  <c r="R79" i="17" a="1"/>
  <c r="R79" i="17" s="1"/>
  <c r="R190" i="17" a="1"/>
  <c r="R190" i="17" s="1"/>
  <c r="R33" i="17" a="1"/>
  <c r="R33" i="17" s="1"/>
  <c r="R7" i="17" a="1"/>
  <c r="R7" i="17" s="1"/>
  <c r="O176" i="17" a="1"/>
  <c r="O176" i="17" s="1"/>
  <c r="O151" i="17" a="1"/>
  <c r="O151" i="17" s="1"/>
  <c r="O124" i="17" a="1"/>
  <c r="O124" i="17" s="1"/>
  <c r="O101" i="17" a="1"/>
  <c r="O101" i="17" s="1"/>
  <c r="O74" i="17" a="1"/>
  <c r="O74" i="17" s="1"/>
  <c r="O189" i="17" a="1"/>
  <c r="O189" i="17" s="1"/>
  <c r="O24" i="17" a="1"/>
  <c r="O24" i="17" s="1"/>
  <c r="Q24" i="17" s="1"/>
  <c r="W24" i="17" s="1"/>
  <c r="N146" i="17" a="1"/>
  <c r="N146" i="17" s="1"/>
  <c r="N112" i="17" a="1"/>
  <c r="N112" i="17" s="1"/>
  <c r="N28" i="17" a="1"/>
  <c r="N28" i="17" s="1"/>
  <c r="Y129" i="17"/>
  <c r="X102" i="17" a="1"/>
  <c r="X102" i="17" s="1"/>
  <c r="X78" i="17" a="1"/>
  <c r="X78" i="17" s="1"/>
  <c r="Y78" i="17" s="1"/>
  <c r="X52" i="17" a="1"/>
  <c r="X52" i="17" s="1"/>
  <c r="Y52" i="17" s="1"/>
  <c r="X28" i="17" a="1"/>
  <c r="X28" i="17" s="1"/>
  <c r="Y28" i="17" s="1"/>
  <c r="X5" i="17" a="1"/>
  <c r="X5" i="17" s="1"/>
  <c r="Y5" i="17" s="1"/>
  <c r="V162" i="17" a="1"/>
  <c r="V162" i="17" s="1"/>
  <c r="V137" i="17" a="1"/>
  <c r="V137" i="17" s="1"/>
  <c r="V115" i="17" a="1"/>
  <c r="V115" i="17" s="1"/>
  <c r="V89" i="17" a="1"/>
  <c r="V89" i="17" s="1"/>
  <c r="V67" i="17" a="1"/>
  <c r="V67" i="17" s="1"/>
  <c r="V40" i="17" a="1"/>
  <c r="V40" i="17" s="1"/>
  <c r="V18" i="17" a="1"/>
  <c r="V18" i="17" s="1"/>
  <c r="U176" i="17" a="1"/>
  <c r="U176" i="17" s="1"/>
  <c r="U153" i="17" a="1"/>
  <c r="U153" i="17" s="1"/>
  <c r="U130" i="17" a="1"/>
  <c r="U130" i="17" s="1"/>
  <c r="U109" i="17" a="1"/>
  <c r="U109" i="17" s="1"/>
  <c r="U195" i="17" a="1"/>
  <c r="U195" i="17" s="1"/>
  <c r="U37" i="17" a="1"/>
  <c r="U37" i="17" s="1"/>
  <c r="U13" i="17" a="1"/>
  <c r="U13" i="17" s="1"/>
  <c r="T167" i="17" a="1"/>
  <c r="T167" i="17" s="1"/>
  <c r="T205" i="17" a="1"/>
  <c r="T205" i="17" s="1"/>
  <c r="T100" i="17" a="1"/>
  <c r="T100" i="17" s="1"/>
  <c r="T77" i="17" a="1"/>
  <c r="T77" i="17" s="1"/>
  <c r="T55" i="17" a="1"/>
  <c r="T55" i="17" s="1"/>
  <c r="T33" i="17" a="1"/>
  <c r="T33" i="17" s="1"/>
  <c r="T9" i="17" a="1"/>
  <c r="T9" i="17" s="1"/>
  <c r="S165" i="17" a="1"/>
  <c r="S165" i="17" s="1"/>
  <c r="S200" i="17" a="1"/>
  <c r="S200" i="17" s="1"/>
  <c r="S91" i="17" a="1"/>
  <c r="S91" i="17" s="1"/>
  <c r="S67" i="17" a="1"/>
  <c r="S67" i="17" s="1"/>
  <c r="S188" i="17" a="1"/>
  <c r="S188" i="17" s="1"/>
  <c r="S184" i="17" a="1"/>
  <c r="S184" i="17" s="1"/>
  <c r="R174" i="17" a="1"/>
  <c r="R174" i="17" s="1"/>
  <c r="R150" i="17" a="1"/>
  <c r="R150" i="17" s="1"/>
  <c r="R127" i="17" a="1"/>
  <c r="R127" i="17" s="1"/>
  <c r="R78" i="17" a="1"/>
  <c r="R78" i="17" s="1"/>
  <c r="R55" i="17" a="1"/>
  <c r="R55" i="17" s="1"/>
  <c r="R32" i="17" a="1"/>
  <c r="R32" i="17" s="1"/>
  <c r="R6" i="17" a="1"/>
  <c r="R6" i="17" s="1"/>
  <c r="O210" i="17" a="1"/>
  <c r="O210" i="17" s="1"/>
  <c r="O150" i="17" a="1"/>
  <c r="O150" i="17" s="1"/>
  <c r="O123" i="17" a="1"/>
  <c r="O123" i="17" s="1"/>
  <c r="O100" i="17" a="1"/>
  <c r="O100" i="17" s="1"/>
  <c r="O193" i="17" a="1"/>
  <c r="O193" i="17" s="1"/>
  <c r="O49" i="17" a="1"/>
  <c r="O49" i="17" s="1"/>
  <c r="O23" i="17" a="1"/>
  <c r="O23" i="17" s="1"/>
  <c r="N176" i="17" a="1"/>
  <c r="N176" i="17" s="1"/>
  <c r="N111" i="17" a="1"/>
  <c r="N111" i="17" s="1"/>
  <c r="Q101" i="17"/>
  <c r="W101" i="17" s="1"/>
  <c r="X51" i="17" a="1"/>
  <c r="X51" i="17" s="1"/>
  <c r="Y51" i="17" s="1"/>
  <c r="X27" i="17" a="1"/>
  <c r="X27" i="17" s="1"/>
  <c r="Y27" i="17" s="1"/>
  <c r="X4" i="17" a="1"/>
  <c r="X4" i="17" s="1"/>
  <c r="Y4" i="17" s="1"/>
  <c r="V161" i="17" a="1"/>
  <c r="V161" i="17" s="1"/>
  <c r="V136" i="17" a="1"/>
  <c r="V136" i="17" s="1"/>
  <c r="V88" i="17" a="1"/>
  <c r="V88" i="17" s="1"/>
  <c r="V66" i="17" a="1"/>
  <c r="V66" i="17" s="1"/>
  <c r="V39" i="17" a="1"/>
  <c r="V39" i="17" s="1"/>
  <c r="V17" i="17" a="1"/>
  <c r="V17" i="17" s="1"/>
  <c r="U210" i="17" a="1"/>
  <c r="U210" i="17" s="1"/>
  <c r="U108" i="17" a="1"/>
  <c r="U108" i="17" s="1"/>
  <c r="U85" i="17" a="1"/>
  <c r="U85" i="17" s="1"/>
  <c r="U61" i="17" a="1"/>
  <c r="U61" i="17" s="1"/>
  <c r="U36" i="17" a="1"/>
  <c r="U36" i="17" s="1"/>
  <c r="U12" i="17" a="1"/>
  <c r="U12" i="17" s="1"/>
  <c r="T166" i="17" a="1"/>
  <c r="T166" i="17" s="1"/>
  <c r="T145" i="17" a="1"/>
  <c r="T145" i="17" s="1"/>
  <c r="T201" i="17" a="1"/>
  <c r="T201" i="17" s="1"/>
  <c r="T76" i="17" a="1"/>
  <c r="T76" i="17" s="1"/>
  <c r="T32" i="17" a="1"/>
  <c r="T32" i="17" s="1"/>
  <c r="S164" i="17" a="1"/>
  <c r="S164" i="17" s="1"/>
  <c r="S138" i="17" a="1"/>
  <c r="S138" i="17" s="1"/>
  <c r="S115" i="17" a="1"/>
  <c r="S115" i="17" s="1"/>
  <c r="S90" i="17" a="1"/>
  <c r="S90" i="17" s="1"/>
  <c r="S66" i="17" a="1"/>
  <c r="S66" i="17" s="1"/>
  <c r="S43" i="17" a="1"/>
  <c r="S43" i="17" s="1"/>
  <c r="S19" i="17" a="1"/>
  <c r="S19" i="17" s="1"/>
  <c r="R173" i="17" a="1"/>
  <c r="R173" i="17" s="1"/>
  <c r="R149" i="17" a="1"/>
  <c r="R149" i="17" s="1"/>
  <c r="R103" i="17" a="1"/>
  <c r="R103" i="17" s="1"/>
  <c r="R77" i="17" a="1"/>
  <c r="R77" i="17" s="1"/>
  <c r="R186" i="17" a="1"/>
  <c r="R186" i="17" s="1"/>
  <c r="R5" i="17" a="1"/>
  <c r="R5" i="17" s="1"/>
  <c r="O175" i="17" a="1"/>
  <c r="O175" i="17" s="1"/>
  <c r="O149" i="17" a="1"/>
  <c r="O149" i="17" s="1"/>
  <c r="O122" i="17" a="1"/>
  <c r="O122" i="17" s="1"/>
  <c r="O99" i="17" a="1"/>
  <c r="O99" i="17" s="1"/>
  <c r="O73" i="17" a="1"/>
  <c r="O73" i="17" s="1"/>
  <c r="O48" i="17" a="1"/>
  <c r="O48" i="17" s="1"/>
  <c r="O22" i="17" a="1"/>
  <c r="O22" i="17" s="1"/>
  <c r="N210" i="17" a="1"/>
  <c r="N210" i="17" s="1"/>
  <c r="N145" i="17" a="1"/>
  <c r="N145" i="17" s="1"/>
  <c r="V38" i="17" a="1"/>
  <c r="V38" i="17" s="1"/>
  <c r="V16" i="17" a="1"/>
  <c r="V16" i="17" s="1"/>
  <c r="U152" i="17" a="1"/>
  <c r="U152" i="17" s="1"/>
  <c r="U129" i="17" a="1"/>
  <c r="U129" i="17" s="1"/>
  <c r="U107" i="17" a="1"/>
  <c r="U107" i="17" s="1"/>
  <c r="U84" i="17" a="1"/>
  <c r="U84" i="17" s="1"/>
  <c r="U60" i="17" a="1"/>
  <c r="U60" i="17" s="1"/>
  <c r="U11" i="17" a="1"/>
  <c r="U11" i="17" s="1"/>
  <c r="T165" i="17" a="1"/>
  <c r="T165" i="17" s="1"/>
  <c r="T144" i="17" a="1"/>
  <c r="T144" i="17" s="1"/>
  <c r="T121" i="17" a="1"/>
  <c r="T121" i="17" s="1"/>
  <c r="T99" i="17" a="1"/>
  <c r="T99" i="17" s="1"/>
  <c r="T54" i="17" a="1"/>
  <c r="T54" i="17" s="1"/>
  <c r="T186" i="17" a="1"/>
  <c r="T186" i="17" s="1"/>
  <c r="T8" i="17" a="1"/>
  <c r="T8" i="17" s="1"/>
  <c r="S208" i="17" a="1"/>
  <c r="S208" i="17" s="1"/>
  <c r="S137" i="17" a="1"/>
  <c r="S137" i="17" s="1"/>
  <c r="S114" i="17" a="1"/>
  <c r="S114" i="17" s="1"/>
  <c r="S89" i="17" a="1"/>
  <c r="S89" i="17" s="1"/>
  <c r="S65" i="17" a="1"/>
  <c r="S65" i="17" s="1"/>
  <c r="S42" i="17" a="1"/>
  <c r="S42" i="17" s="1"/>
  <c r="S18" i="17" a="1"/>
  <c r="S18" i="17" s="1"/>
  <c r="R172" i="17" a="1"/>
  <c r="R172" i="17" s="1"/>
  <c r="R148" i="17" a="1"/>
  <c r="R148" i="17" s="1"/>
  <c r="R126" i="17" a="1"/>
  <c r="R126" i="17" s="1"/>
  <c r="R76" i="17" a="1"/>
  <c r="R76" i="17" s="1"/>
  <c r="R54" i="17" a="1"/>
  <c r="R54" i="17" s="1"/>
  <c r="R31" i="17" a="1"/>
  <c r="R31" i="17" s="1"/>
  <c r="R4" i="17" a="1"/>
  <c r="R4" i="17" s="1"/>
  <c r="O174" i="17" a="1"/>
  <c r="O174" i="17" s="1"/>
  <c r="O148" i="17" a="1"/>
  <c r="O148" i="17" s="1"/>
  <c r="O201" i="17" a="1"/>
  <c r="O201" i="17" s="1"/>
  <c r="O98" i="17" a="1"/>
  <c r="O98" i="17" s="1"/>
  <c r="O72" i="17" a="1"/>
  <c r="O72" i="17" s="1"/>
  <c r="O47" i="17" a="1"/>
  <c r="O47" i="17" s="1"/>
  <c r="O21" i="17" a="1"/>
  <c r="O21" i="17" s="1"/>
  <c r="N175" i="17" a="1"/>
  <c r="N175" i="17" s="1"/>
  <c r="N144" i="17" a="1"/>
  <c r="N144" i="17" s="1"/>
  <c r="N199" i="17" a="1"/>
  <c r="N199" i="17" s="1"/>
  <c r="N71" i="17" a="1"/>
  <c r="N71" i="17" s="1"/>
  <c r="N52" i="17" a="1"/>
  <c r="N52" i="17" s="1"/>
  <c r="V64" i="17" a="1"/>
  <c r="V64" i="17" s="1"/>
  <c r="V187" i="17" a="1"/>
  <c r="V187" i="17" s="1"/>
  <c r="V15" i="17" a="1"/>
  <c r="V15" i="17" s="1"/>
  <c r="U175" i="17" a="1"/>
  <c r="U175" i="17" s="1"/>
  <c r="U128" i="17" a="1"/>
  <c r="U128" i="17" s="1"/>
  <c r="U106" i="17" a="1"/>
  <c r="U106" i="17" s="1"/>
  <c r="U83" i="17" a="1"/>
  <c r="U83" i="17" s="1"/>
  <c r="U59" i="17" a="1"/>
  <c r="U59" i="17" s="1"/>
  <c r="U35" i="17" a="1"/>
  <c r="U35" i="17" s="1"/>
  <c r="U10" i="17" a="1"/>
  <c r="U10" i="17" s="1"/>
  <c r="T164" i="17" a="1"/>
  <c r="T164" i="17" s="1"/>
  <c r="T143" i="17" a="1"/>
  <c r="T143" i="17" s="1"/>
  <c r="T120" i="17" a="1"/>
  <c r="T120" i="17" s="1"/>
  <c r="T75" i="17" a="1"/>
  <c r="T75" i="17" s="1"/>
  <c r="T53" i="17" a="1"/>
  <c r="T53" i="17" s="1"/>
  <c r="T31" i="17" a="1"/>
  <c r="T31" i="17" s="1"/>
  <c r="T182" i="17" a="1"/>
  <c r="T182" i="17" s="1"/>
  <c r="S163" i="17" a="1"/>
  <c r="S163" i="17" s="1"/>
  <c r="S136" i="17" a="1"/>
  <c r="S136" i="17" s="1"/>
  <c r="S113" i="17" a="1"/>
  <c r="S113" i="17" s="1"/>
  <c r="S88" i="17" a="1"/>
  <c r="S88" i="17" s="1"/>
  <c r="S64" i="17" a="1"/>
  <c r="S64" i="17" s="1"/>
  <c r="S41" i="17" a="1"/>
  <c r="S41" i="17" s="1"/>
  <c r="S17" i="17" a="1"/>
  <c r="S17" i="17" s="1"/>
  <c r="R171" i="17" a="1"/>
  <c r="R171" i="17" s="1"/>
  <c r="R147" i="17" a="1"/>
  <c r="R147" i="17" s="1"/>
  <c r="R125" i="17" a="1"/>
  <c r="R125" i="17" s="1"/>
  <c r="R102" i="17" a="1"/>
  <c r="R102" i="17" s="1"/>
  <c r="R30" i="17" a="1"/>
  <c r="R30" i="17" s="1"/>
  <c r="R3" i="17" a="1"/>
  <c r="R3" i="17" s="1"/>
  <c r="O147" i="17" a="1"/>
  <c r="O147" i="17" s="1"/>
  <c r="O121" i="17" a="1"/>
  <c r="O121" i="17" s="1"/>
  <c r="O197" i="17" a="1"/>
  <c r="O197" i="17" s="1"/>
  <c r="O71" i="17" a="1"/>
  <c r="O71" i="17" s="1"/>
  <c r="O46" i="17" a="1"/>
  <c r="O46" i="17" s="1"/>
  <c r="O20" i="17" a="1"/>
  <c r="O20" i="17" s="1"/>
  <c r="N174" i="17" a="1"/>
  <c r="N174" i="17" s="1"/>
  <c r="N143" i="17" a="1"/>
  <c r="N143" i="17" s="1"/>
  <c r="N109" i="17" a="1"/>
  <c r="N109" i="17" s="1"/>
  <c r="N204" i="17" a="1"/>
  <c r="N204" i="17" s="1"/>
  <c r="Q74" i="17"/>
  <c r="W74" i="17" s="1"/>
  <c r="Y2" i="17"/>
  <c r="V112" i="17" a="1"/>
  <c r="V112" i="17" s="1"/>
  <c r="V86" i="17" a="1"/>
  <c r="V86" i="17" s="1"/>
  <c r="V63" i="17" a="1"/>
  <c r="V63" i="17" s="1"/>
  <c r="V37" i="17" a="1"/>
  <c r="V37" i="17" s="1"/>
  <c r="V14" i="17" a="1"/>
  <c r="V14" i="17" s="1"/>
  <c r="U206" i="17" a="1"/>
  <c r="U206" i="17" s="1"/>
  <c r="U202" i="17" a="1"/>
  <c r="U202" i="17" s="1"/>
  <c r="U105" i="17" a="1"/>
  <c r="U105" i="17" s="1"/>
  <c r="U82" i="17" a="1"/>
  <c r="U82" i="17" s="1"/>
  <c r="U58" i="17" a="1"/>
  <c r="U58" i="17" s="1"/>
  <c r="U34" i="17" a="1"/>
  <c r="U34" i="17" s="1"/>
  <c r="U9" i="17" a="1"/>
  <c r="U9" i="17" s="1"/>
  <c r="T208" i="17" a="1"/>
  <c r="T208" i="17" s="1"/>
  <c r="T142" i="17" a="1"/>
  <c r="T142" i="17" s="1"/>
  <c r="T98" i="17" a="1"/>
  <c r="T98" i="17" s="1"/>
  <c r="T74" i="17" a="1"/>
  <c r="T74" i="17" s="1"/>
  <c r="T52" i="17" a="1"/>
  <c r="T52" i="17" s="1"/>
  <c r="T30" i="17" a="1"/>
  <c r="T30" i="17" s="1"/>
  <c r="T7" i="17" a="1"/>
  <c r="T7" i="17" s="1"/>
  <c r="S162" i="17" a="1"/>
  <c r="S162" i="17" s="1"/>
  <c r="S135" i="17" a="1"/>
  <c r="S135" i="17" s="1"/>
  <c r="S112" i="17" a="1"/>
  <c r="S112" i="17" s="1"/>
  <c r="S63" i="17" a="1"/>
  <c r="S63" i="17" s="1"/>
  <c r="S40" i="17" a="1"/>
  <c r="S40" i="17" s="1"/>
  <c r="S16" i="17" a="1"/>
  <c r="S16" i="17" s="1"/>
  <c r="R146" i="17" a="1"/>
  <c r="R146" i="17" s="1"/>
  <c r="R124" i="17" a="1"/>
  <c r="R124" i="17" s="1"/>
  <c r="R101" i="17" a="1"/>
  <c r="R101" i="17" s="1"/>
  <c r="R75" i="17" a="1"/>
  <c r="R75" i="17" s="1"/>
  <c r="R53" i="17" a="1"/>
  <c r="R53" i="17" s="1"/>
  <c r="R29" i="17" a="1"/>
  <c r="R29" i="17" s="1"/>
  <c r="R2" i="17" a="1"/>
  <c r="R2" i="17" s="1"/>
  <c r="O173" i="17" a="1"/>
  <c r="O173" i="17" s="1"/>
  <c r="O146" i="17" a="1"/>
  <c r="O146" i="17" s="1"/>
  <c r="O120" i="17" a="1"/>
  <c r="O120" i="17" s="1"/>
  <c r="O97" i="17" a="1"/>
  <c r="O97" i="17" s="1"/>
  <c r="O70" i="17" a="1"/>
  <c r="O70" i="17" s="1"/>
  <c r="Q70" i="17" s="1"/>
  <c r="W70" i="17" s="1"/>
  <c r="O45" i="17" a="1"/>
  <c r="O45" i="17" s="1"/>
  <c r="O184" i="17" a="1"/>
  <c r="O184" i="17" s="1"/>
  <c r="N173" i="17" a="1"/>
  <c r="N173" i="17" s="1"/>
  <c r="N142" i="17" a="1"/>
  <c r="N142" i="17" s="1"/>
  <c r="N108" i="17" a="1"/>
  <c r="N108" i="17" s="1"/>
  <c r="Q125" i="17"/>
  <c r="W125" i="17" s="1"/>
  <c r="Q193" i="17"/>
  <c r="W193" i="17" s="1"/>
  <c r="X25" i="17" a="1"/>
  <c r="X25" i="17" s="1"/>
  <c r="Y25" i="17" s="1"/>
  <c r="V211" i="17" a="1"/>
  <c r="V211" i="17" s="1"/>
  <c r="V207" i="17" a="1"/>
  <c r="V207" i="17" s="1"/>
  <c r="V133" i="17" a="1"/>
  <c r="V133" i="17" s="1"/>
  <c r="V111" i="17" a="1"/>
  <c r="V111" i="17" s="1"/>
  <c r="V62" i="17" a="1"/>
  <c r="V62" i="17" s="1"/>
  <c r="V36" i="17" a="1"/>
  <c r="V36" i="17" s="1"/>
  <c r="V183" i="17" a="1"/>
  <c r="V183" i="17" s="1"/>
  <c r="U174" i="17" a="1"/>
  <c r="U174" i="17" s="1"/>
  <c r="U151" i="17" a="1"/>
  <c r="U151" i="17" s="1"/>
  <c r="U127" i="17" a="1"/>
  <c r="U127" i="17" s="1"/>
  <c r="U104" i="17" a="1"/>
  <c r="U104" i="17" s="1"/>
  <c r="U81" i="17" a="1"/>
  <c r="U81" i="17" s="1"/>
  <c r="U57" i="17" a="1"/>
  <c r="U57" i="17" s="1"/>
  <c r="U33" i="17" a="1"/>
  <c r="U33" i="17" s="1"/>
  <c r="T141" i="17" a="1"/>
  <c r="T141" i="17" s="1"/>
  <c r="T119" i="17" a="1"/>
  <c r="T119" i="17" s="1"/>
  <c r="T197" i="17" a="1"/>
  <c r="T197" i="17" s="1"/>
  <c r="T193" i="17" a="1"/>
  <c r="T193" i="17" s="1"/>
  <c r="T51" i="17" a="1"/>
  <c r="T51" i="17" s="1"/>
  <c r="T29" i="17" a="1"/>
  <c r="T29" i="17" s="1"/>
  <c r="T6" i="17" a="1"/>
  <c r="T6" i="17" s="1"/>
  <c r="S161" i="17" a="1"/>
  <c r="S161" i="17" s="1"/>
  <c r="S134" i="17" a="1"/>
  <c r="S134" i="17" s="1"/>
  <c r="S111" i="17" a="1"/>
  <c r="S111" i="17" s="1"/>
  <c r="S87" i="17" a="1"/>
  <c r="S87" i="17" s="1"/>
  <c r="S62" i="17" a="1"/>
  <c r="S62" i="17" s="1"/>
  <c r="S39" i="17" a="1"/>
  <c r="S39" i="17" s="1"/>
  <c r="S15" i="17" a="1"/>
  <c r="S15" i="17" s="1"/>
  <c r="R170" i="17" a="1"/>
  <c r="R170" i="17" s="1"/>
  <c r="R205" i="17" a="1"/>
  <c r="R205" i="17" s="1"/>
  <c r="R123" i="17" a="1"/>
  <c r="R123" i="17" s="1"/>
  <c r="R100" i="17" a="1"/>
  <c r="R100" i="17" s="1"/>
  <c r="R28" i="17" a="1"/>
  <c r="R28" i="17" s="1"/>
  <c r="O172" i="17" a="1"/>
  <c r="O172" i="17" s="1"/>
  <c r="O205" i="17" a="1"/>
  <c r="O205" i="17" s="1"/>
  <c r="O96" i="17" a="1"/>
  <c r="O96" i="17" s="1"/>
  <c r="O69" i="17" a="1"/>
  <c r="O69" i="17" s="1"/>
  <c r="O44" i="17" a="1"/>
  <c r="O44" i="17" s="1"/>
  <c r="O19" i="17" a="1"/>
  <c r="O19" i="17" s="1"/>
  <c r="N171" i="17" a="1"/>
  <c r="N171" i="17" s="1"/>
  <c r="N140" i="17" a="1"/>
  <c r="N140" i="17" s="1"/>
  <c r="N107" i="17" a="1"/>
  <c r="N107" i="17" s="1"/>
  <c r="N115" i="17" a="1"/>
  <c r="N115" i="17" s="1"/>
  <c r="Q124" i="17"/>
  <c r="W124" i="17" s="1"/>
  <c r="V181" i="17" a="1"/>
  <c r="V181" i="17" s="1"/>
  <c r="V132" i="17" a="1"/>
  <c r="V132" i="17" s="1"/>
  <c r="V110" i="17" a="1"/>
  <c r="V110" i="17" s="1"/>
  <c r="V195" i="17" a="1"/>
  <c r="V195" i="17" s="1"/>
  <c r="V191" i="17" a="1"/>
  <c r="V191" i="17" s="1"/>
  <c r="V35" i="17" a="1"/>
  <c r="V35" i="17" s="1"/>
  <c r="U173" i="17" a="1"/>
  <c r="U173" i="17" s="1"/>
  <c r="U150" i="17" a="1"/>
  <c r="U150" i="17" s="1"/>
  <c r="U198" i="17" a="1"/>
  <c r="U198" i="17" s="1"/>
  <c r="U80" i="17" a="1"/>
  <c r="U80" i="17" s="1"/>
  <c r="U56" i="17" a="1"/>
  <c r="U56" i="17" s="1"/>
  <c r="U32" i="17" a="1"/>
  <c r="U32" i="17" s="1"/>
  <c r="U8" i="17" a="1"/>
  <c r="U8" i="17" s="1"/>
  <c r="T163" i="17" a="1"/>
  <c r="T163" i="17" s="1"/>
  <c r="T140" i="17" a="1"/>
  <c r="T140" i="17" s="1"/>
  <c r="T118" i="17" a="1"/>
  <c r="T118" i="17" s="1"/>
  <c r="T97" i="17" a="1"/>
  <c r="T97" i="17" s="1"/>
  <c r="T73" i="17" a="1"/>
  <c r="T73" i="17" s="1"/>
  <c r="T50" i="17" a="1"/>
  <c r="T50" i="17" s="1"/>
  <c r="T28" i="17" a="1"/>
  <c r="T28" i="17" s="1"/>
  <c r="T5" i="17" a="1"/>
  <c r="T5" i="17" s="1"/>
  <c r="S160" i="17" a="1"/>
  <c r="S160" i="17" s="1"/>
  <c r="S203" i="17" a="1"/>
  <c r="S203" i="17" s="1"/>
  <c r="S110" i="17" a="1"/>
  <c r="S110" i="17" s="1"/>
  <c r="S191" i="17" a="1"/>
  <c r="S191" i="17" s="1"/>
  <c r="S38" i="17" a="1"/>
  <c r="S38" i="17" s="1"/>
  <c r="S14" i="17" a="1"/>
  <c r="S14" i="17" s="1"/>
  <c r="R209" i="17" a="1"/>
  <c r="R209" i="17" s="1"/>
  <c r="R145" i="17" a="1"/>
  <c r="R145" i="17" s="1"/>
  <c r="R122" i="17" a="1"/>
  <c r="R122" i="17" s="1"/>
  <c r="R99" i="17" a="1"/>
  <c r="R99" i="17" s="1"/>
  <c r="R74" i="17" a="1"/>
  <c r="R74" i="17" s="1"/>
  <c r="R52" i="17" a="1"/>
  <c r="R52" i="17" s="1"/>
  <c r="R27" i="17" a="1"/>
  <c r="R27" i="17" s="1"/>
  <c r="O171" i="17" a="1"/>
  <c r="O171" i="17" s="1"/>
  <c r="O145" i="17" a="1"/>
  <c r="O145" i="17" s="1"/>
  <c r="O119" i="17" a="1"/>
  <c r="O119" i="17" s="1"/>
  <c r="O95" i="17" a="1"/>
  <c r="O95" i="17" s="1"/>
  <c r="O188" i="17" a="1"/>
  <c r="O188" i="17" s="1"/>
  <c r="O18" i="17" a="1"/>
  <c r="O18" i="17" s="1"/>
  <c r="N170" i="17" a="1"/>
  <c r="N170" i="17" s="1"/>
  <c r="N139" i="17" a="1"/>
  <c r="N139" i="17" s="1"/>
  <c r="N106" i="17" a="1"/>
  <c r="N106" i="17" s="1"/>
  <c r="Q100" i="17"/>
  <c r="W100" i="17" s="1"/>
  <c r="Q72" i="17"/>
  <c r="V157" i="17" a="1"/>
  <c r="V157" i="17" s="1"/>
  <c r="V131" i="17" a="1"/>
  <c r="V131" i="17" s="1"/>
  <c r="V199" i="17" a="1"/>
  <c r="V199" i="17" s="1"/>
  <c r="V85" i="17" a="1"/>
  <c r="V85" i="17" s="1"/>
  <c r="V61" i="17" a="1"/>
  <c r="V61" i="17" s="1"/>
  <c r="V13" i="17" a="1"/>
  <c r="V13" i="17" s="1"/>
  <c r="U172" i="17" a="1"/>
  <c r="U172" i="17" s="1"/>
  <c r="U149" i="17" a="1"/>
  <c r="U149" i="17" s="1"/>
  <c r="U126" i="17" a="1"/>
  <c r="U126" i="17" s="1"/>
  <c r="U103" i="17" a="1"/>
  <c r="U103" i="17" s="1"/>
  <c r="U194" i="17" a="1"/>
  <c r="U194" i="17" s="1"/>
  <c r="U190" i="17" a="1"/>
  <c r="U190" i="17" s="1"/>
  <c r="U182" i="17" a="1"/>
  <c r="U182" i="17" s="1"/>
  <c r="T162" i="17" a="1"/>
  <c r="T162" i="17" s="1"/>
  <c r="T117" i="17" a="1"/>
  <c r="T117" i="17" s="1"/>
  <c r="T96" i="17" a="1"/>
  <c r="T96" i="17" s="1"/>
  <c r="T27" i="17" a="1"/>
  <c r="T27" i="17" s="1"/>
  <c r="T4" i="17" a="1"/>
  <c r="T4" i="17" s="1"/>
  <c r="S159" i="17" a="1"/>
  <c r="S159" i="17" s="1"/>
  <c r="S133" i="17" a="1"/>
  <c r="S133" i="17" s="1"/>
  <c r="S86" i="17" a="1"/>
  <c r="S86" i="17" s="1"/>
  <c r="S61" i="17" a="1"/>
  <c r="S61" i="17" s="1"/>
  <c r="S187" i="17" a="1"/>
  <c r="S187" i="17" s="1"/>
  <c r="S183" i="17" a="1"/>
  <c r="S183" i="17" s="1"/>
  <c r="R169" i="17" a="1"/>
  <c r="R169" i="17" s="1"/>
  <c r="R144" i="17" a="1"/>
  <c r="R144" i="17" s="1"/>
  <c r="R201" i="17" a="1"/>
  <c r="R201" i="17" s="1"/>
  <c r="R98" i="17" a="1"/>
  <c r="R98" i="17" s="1"/>
  <c r="R193" i="17" a="1"/>
  <c r="R193" i="17" s="1"/>
  <c r="R51" i="17" a="1"/>
  <c r="R51" i="17" s="1"/>
  <c r="R26" i="17" a="1"/>
  <c r="R26" i="17" s="1"/>
  <c r="O170" i="17" a="1"/>
  <c r="O170" i="17" s="1"/>
  <c r="O144" i="17" a="1"/>
  <c r="O144" i="17" s="1"/>
  <c r="O94" i="17" a="1"/>
  <c r="O94" i="17" s="1"/>
  <c r="O68" i="17" a="1"/>
  <c r="O68" i="17" s="1"/>
  <c r="O43" i="17" a="1"/>
  <c r="O43" i="17" s="1"/>
  <c r="O17" i="17" a="1"/>
  <c r="O17" i="17" s="1"/>
  <c r="N209" i="17" a="1"/>
  <c r="N209" i="17" s="1"/>
  <c r="N137" i="17" a="1"/>
  <c r="N137" i="17" s="1"/>
  <c r="N102" i="17" a="1"/>
  <c r="N102" i="17" s="1"/>
  <c r="N198" i="17" a="1"/>
  <c r="N198" i="17" s="1"/>
  <c r="N103" i="17" a="1"/>
  <c r="N103" i="17" s="1"/>
  <c r="Q96" i="17"/>
  <c r="W96" i="17" s="1"/>
  <c r="Q23" i="17"/>
  <c r="W23" i="17" s="1"/>
  <c r="V179" i="17" a="1"/>
  <c r="V179" i="17" s="1"/>
  <c r="V156" i="17" a="1"/>
  <c r="V156" i="17" s="1"/>
  <c r="V130" i="17" a="1"/>
  <c r="V130" i="17" s="1"/>
  <c r="V109" i="17" a="1"/>
  <c r="V109" i="17" s="1"/>
  <c r="V84" i="17" a="1"/>
  <c r="V84" i="17" s="1"/>
  <c r="V60" i="17" a="1"/>
  <c r="V60" i="17" s="1"/>
  <c r="V34" i="17" a="1"/>
  <c r="V34" i="17" s="1"/>
  <c r="V12" i="17" a="1"/>
  <c r="V12" i="17" s="1"/>
  <c r="U171" i="17" a="1"/>
  <c r="U171" i="17" s="1"/>
  <c r="U148" i="17" a="1"/>
  <c r="U148" i="17" s="1"/>
  <c r="U125" i="17" a="1"/>
  <c r="U125" i="17" s="1"/>
  <c r="U102" i="17" a="1"/>
  <c r="U102" i="17" s="1"/>
  <c r="U79" i="17" a="1"/>
  <c r="U79" i="17" s="1"/>
  <c r="U55" i="17" a="1"/>
  <c r="U55" i="17" s="1"/>
  <c r="U186" i="17" a="1"/>
  <c r="U186" i="17" s="1"/>
  <c r="U7" i="17" a="1"/>
  <c r="U7" i="17" s="1"/>
  <c r="T161" i="17" a="1"/>
  <c r="T161" i="17" s="1"/>
  <c r="T204" i="17" a="1"/>
  <c r="T204" i="17" s="1"/>
  <c r="T116" i="17" a="1"/>
  <c r="T116" i="17" s="1"/>
  <c r="T95" i="17" a="1"/>
  <c r="T95" i="17" s="1"/>
  <c r="T72" i="17" a="1"/>
  <c r="T72" i="17" s="1"/>
  <c r="T189" i="17" a="1"/>
  <c r="T189" i="17" s="1"/>
  <c r="T26" i="17" a="1"/>
  <c r="T26" i="17" s="1"/>
  <c r="T3" i="17" a="1"/>
  <c r="T3" i="17" s="1"/>
  <c r="S158" i="17" a="1"/>
  <c r="S158" i="17" s="1"/>
  <c r="S132" i="17" a="1"/>
  <c r="S132" i="17" s="1"/>
  <c r="S199" i="17" a="1"/>
  <c r="S199" i="17" s="1"/>
  <c r="S37" i="17" a="1"/>
  <c r="S37" i="17" s="1"/>
  <c r="S13" i="17" a="1"/>
  <c r="S13" i="17" s="1"/>
  <c r="R168" i="17" a="1"/>
  <c r="R168" i="17" s="1"/>
  <c r="R143" i="17" a="1"/>
  <c r="R143" i="17" s="1"/>
  <c r="R121" i="17" a="1"/>
  <c r="R121" i="17" s="1"/>
  <c r="R50" i="17" a="1"/>
  <c r="R50" i="17" s="1"/>
  <c r="R185" i="17" a="1"/>
  <c r="R185" i="17" s="1"/>
  <c r="O209" i="17" a="1"/>
  <c r="O209" i="17" s="1"/>
  <c r="O143" i="17" a="1"/>
  <c r="O143" i="17" s="1"/>
  <c r="O118" i="17" a="1"/>
  <c r="O118" i="17" s="1"/>
  <c r="O93" i="17" a="1"/>
  <c r="O93" i="17" s="1"/>
  <c r="O42" i="17" a="1"/>
  <c r="O42" i="17" s="1"/>
  <c r="O16" i="17" a="1"/>
  <c r="O16" i="17" s="1"/>
  <c r="N136" i="17" a="1"/>
  <c r="N136" i="17" s="1"/>
  <c r="N100" i="17" a="1"/>
  <c r="N100" i="17" s="1"/>
  <c r="Y122" i="17"/>
  <c r="Q122" i="17" s="1"/>
  <c r="W122" i="17" s="1"/>
  <c r="Q149" i="17"/>
  <c r="W149" i="17" s="1"/>
  <c r="V155" i="17" a="1"/>
  <c r="V155" i="17" s="1"/>
  <c r="V129" i="17" a="1"/>
  <c r="V129" i="17" s="1"/>
  <c r="V108" i="17" a="1"/>
  <c r="V108" i="17" s="1"/>
  <c r="V83" i="17" a="1"/>
  <c r="V83" i="17" s="1"/>
  <c r="V59" i="17" a="1"/>
  <c r="V59" i="17" s="1"/>
  <c r="V33" i="17" a="1"/>
  <c r="V33" i="17" s="1"/>
  <c r="V11" i="17" a="1"/>
  <c r="V11" i="17" s="1"/>
  <c r="U170" i="17" a="1"/>
  <c r="U170" i="17" s="1"/>
  <c r="U147" i="17" a="1"/>
  <c r="U147" i="17" s="1"/>
  <c r="U101" i="17" a="1"/>
  <c r="U101" i="17" s="1"/>
  <c r="U78" i="17" a="1"/>
  <c r="U78" i="17" s="1"/>
  <c r="U54" i="17" a="1"/>
  <c r="U54" i="17" s="1"/>
  <c r="U31" i="17" a="1"/>
  <c r="U31" i="17" s="1"/>
  <c r="U6" i="17" a="1"/>
  <c r="U6" i="17" s="1"/>
  <c r="T160" i="17" a="1"/>
  <c r="T160" i="17" s="1"/>
  <c r="T139" i="17" a="1"/>
  <c r="T139" i="17" s="1"/>
  <c r="T200" i="17" a="1"/>
  <c r="T200" i="17" s="1"/>
  <c r="T49" i="17" a="1"/>
  <c r="T49" i="17" s="1"/>
  <c r="T185" i="17" a="1"/>
  <c r="T185" i="17" s="1"/>
  <c r="T2" i="17" a="1"/>
  <c r="T2" i="17" s="1"/>
  <c r="S207" i="17" a="1"/>
  <c r="S207" i="17" s="1"/>
  <c r="S131" i="17" a="1"/>
  <c r="S131" i="17" s="1"/>
  <c r="S109" i="17" a="1"/>
  <c r="S109" i="17" s="1"/>
  <c r="S195" i="17" a="1"/>
  <c r="S195" i="17" s="1"/>
  <c r="S60" i="17" a="1"/>
  <c r="S60" i="17" s="1"/>
  <c r="S36" i="17" a="1"/>
  <c r="S36" i="17" s="1"/>
  <c r="S12" i="17" a="1"/>
  <c r="S12" i="17" s="1"/>
  <c r="R167" i="17" a="1"/>
  <c r="R167" i="17" s="1"/>
  <c r="R142" i="17" a="1"/>
  <c r="R142" i="17" s="1"/>
  <c r="R120" i="17" a="1"/>
  <c r="R120" i="17" s="1"/>
  <c r="R197" i="17" a="1"/>
  <c r="R197" i="17" s="1"/>
  <c r="R73" i="17" a="1"/>
  <c r="R73" i="17" s="1"/>
  <c r="R189" i="17" a="1"/>
  <c r="R189" i="17" s="1"/>
  <c r="R25" i="17" a="1"/>
  <c r="R25" i="17" s="1"/>
  <c r="O169" i="17" a="1"/>
  <c r="O169" i="17" s="1"/>
  <c r="O142" i="17" a="1"/>
  <c r="O142" i="17" s="1"/>
  <c r="O117" i="17" a="1"/>
  <c r="O117" i="17" s="1"/>
  <c r="O92" i="17" a="1"/>
  <c r="O92" i="17" s="1"/>
  <c r="O192" i="17" a="1"/>
  <c r="O192" i="17" s="1"/>
  <c r="O41" i="17" a="1"/>
  <c r="O41" i="17" s="1"/>
  <c r="N169" i="17" a="1"/>
  <c r="N169" i="17" s="1"/>
  <c r="N99" i="17" a="1"/>
  <c r="N99" i="17" s="1"/>
  <c r="Q45" i="17"/>
  <c r="W45" i="17" s="1"/>
  <c r="X22" i="17" a="1"/>
  <c r="X22" i="17" s="1"/>
  <c r="Y22" i="17" s="1"/>
  <c r="V178" i="17" a="1"/>
  <c r="V178" i="17" s="1"/>
  <c r="V154" i="17" a="1"/>
  <c r="V154" i="17" s="1"/>
  <c r="V107" i="17" a="1"/>
  <c r="V107" i="17" s="1"/>
  <c r="V82" i="17" a="1"/>
  <c r="V82" i="17" s="1"/>
  <c r="V58" i="17" a="1"/>
  <c r="V58" i="17" s="1"/>
  <c r="V10" i="17" a="1"/>
  <c r="V10" i="17" s="1"/>
  <c r="U209" i="17" a="1"/>
  <c r="U209" i="17" s="1"/>
  <c r="U146" i="17" a="1"/>
  <c r="U146" i="17" s="1"/>
  <c r="U124" i="17" a="1"/>
  <c r="U124" i="17" s="1"/>
  <c r="U100" i="17" a="1"/>
  <c r="U100" i="17" s="1"/>
  <c r="U77" i="17" a="1"/>
  <c r="U77" i="17" s="1"/>
  <c r="U53" i="17" a="1"/>
  <c r="U53" i="17" s="1"/>
  <c r="U30" i="17" a="1"/>
  <c r="U30" i="17" s="1"/>
  <c r="T159" i="17" a="1"/>
  <c r="T159" i="17" s="1"/>
  <c r="T138" i="17" a="1"/>
  <c r="T138" i="17" s="1"/>
  <c r="T115" i="17" a="1"/>
  <c r="T115" i="17" s="1"/>
  <c r="T94" i="17" a="1"/>
  <c r="T94" i="17" s="1"/>
  <c r="T71" i="17" a="1"/>
  <c r="T71" i="17" s="1"/>
  <c r="T48" i="17" a="1"/>
  <c r="T48" i="17" s="1"/>
  <c r="T25" i="17" a="1"/>
  <c r="T25" i="17" s="1"/>
  <c r="S211" i="17" a="1"/>
  <c r="S211" i="17" s="1"/>
  <c r="S157" i="17" a="1"/>
  <c r="S157" i="17" s="1"/>
  <c r="S130" i="17" a="1"/>
  <c r="S130" i="17" s="1"/>
  <c r="S108" i="17" a="1"/>
  <c r="S108" i="17" s="1"/>
  <c r="S85" i="17" a="1"/>
  <c r="S85" i="17" s="1"/>
  <c r="S35" i="17" a="1"/>
  <c r="S35" i="17" s="1"/>
  <c r="R166" i="17" a="1"/>
  <c r="R166" i="17" s="1"/>
  <c r="R141" i="17" a="1"/>
  <c r="R141" i="17" s="1"/>
  <c r="R119" i="17" a="1"/>
  <c r="R119" i="17" s="1"/>
  <c r="R97" i="17" a="1"/>
  <c r="R97" i="17" s="1"/>
  <c r="R49" i="17" a="1"/>
  <c r="R49" i="17" s="1"/>
  <c r="R24" i="17" a="1"/>
  <c r="R24" i="17" s="1"/>
  <c r="O168" i="17" a="1"/>
  <c r="O168" i="17" s="1"/>
  <c r="O141" i="17" a="1"/>
  <c r="O141" i="17" s="1"/>
  <c r="O116" i="17" a="1"/>
  <c r="O116" i="17" s="1"/>
  <c r="O196" i="17" a="1"/>
  <c r="O196" i="17" s="1"/>
  <c r="O67" i="17" a="1"/>
  <c r="O67" i="17" s="1"/>
  <c r="O40" i="17" a="1"/>
  <c r="O40" i="17" s="1"/>
  <c r="O15" i="17" a="1"/>
  <c r="O15" i="17" s="1"/>
  <c r="Q15" i="17" s="1"/>
  <c r="W15" i="17" s="1"/>
  <c r="N168" i="17" a="1"/>
  <c r="N168" i="17" s="1"/>
  <c r="N98" i="17" a="1"/>
  <c r="N98" i="17" s="1"/>
  <c r="Q147" i="17"/>
  <c r="W147" i="17" s="1"/>
  <c r="Q93" i="17"/>
  <c r="W93" i="17" s="1"/>
  <c r="Q69" i="17"/>
  <c r="W69" i="17" s="1"/>
  <c r="Y21" i="17"/>
  <c r="Q21" i="17" s="1"/>
  <c r="W21" i="17" s="1"/>
  <c r="V177" i="17" a="1"/>
  <c r="V177" i="17" s="1"/>
  <c r="V153" i="17" a="1"/>
  <c r="V153" i="17" s="1"/>
  <c r="V128" i="17" a="1"/>
  <c r="V128" i="17" s="1"/>
  <c r="V106" i="17" a="1"/>
  <c r="V106" i="17" s="1"/>
  <c r="V81" i="17" a="1"/>
  <c r="V81" i="17" s="1"/>
  <c r="V32" i="17" a="1"/>
  <c r="V32" i="17" s="1"/>
  <c r="V9" i="17" a="1"/>
  <c r="V9" i="17" s="1"/>
  <c r="U169" i="17" a="1"/>
  <c r="U169" i="17" s="1"/>
  <c r="U99" i="17" a="1"/>
  <c r="U99" i="17" s="1"/>
  <c r="U76" i="17" a="1"/>
  <c r="U76" i="17" s="1"/>
  <c r="U52" i="17" a="1"/>
  <c r="U52" i="17" s="1"/>
  <c r="U29" i="17" a="1"/>
  <c r="U29" i="17" s="1"/>
  <c r="U5" i="17" a="1"/>
  <c r="U5" i="17" s="1"/>
  <c r="T137" i="17" a="1"/>
  <c r="T137" i="17" s="1"/>
  <c r="T114" i="17" a="1"/>
  <c r="T114" i="17" s="1"/>
  <c r="T47" i="17" a="1"/>
  <c r="T47" i="17" s="1"/>
  <c r="T24" i="17" a="1"/>
  <c r="T24" i="17" s="1"/>
  <c r="S181" i="17" a="1"/>
  <c r="S181" i="17" s="1"/>
  <c r="S156" i="17" a="1"/>
  <c r="S156" i="17" s="1"/>
  <c r="S129" i="17" a="1"/>
  <c r="S129" i="17" s="1"/>
  <c r="S107" i="17" a="1"/>
  <c r="S107" i="17" s="1"/>
  <c r="S84" i="17" a="1"/>
  <c r="S84" i="17" s="1"/>
  <c r="S59" i="17" a="1"/>
  <c r="S59" i="17" s="1"/>
  <c r="S34" i="17" a="1"/>
  <c r="S34" i="17" s="1"/>
  <c r="S11" i="17" a="1"/>
  <c r="S11" i="17" s="1"/>
  <c r="R165" i="17" a="1"/>
  <c r="R165" i="17" s="1"/>
  <c r="R140" i="17" a="1"/>
  <c r="R140" i="17" s="1"/>
  <c r="R118" i="17" a="1"/>
  <c r="R118" i="17" s="1"/>
  <c r="R96" i="17" a="1"/>
  <c r="R96" i="17" s="1"/>
  <c r="R72" i="17" a="1"/>
  <c r="R72" i="17" s="1"/>
  <c r="R48" i="17" a="1"/>
  <c r="R48" i="17" s="1"/>
  <c r="R23" i="17" a="1"/>
  <c r="R23" i="17" s="1"/>
  <c r="O167" i="17" a="1"/>
  <c r="O167" i="17" s="1"/>
  <c r="O140" i="17" a="1"/>
  <c r="O140" i="17" s="1"/>
  <c r="O200" i="17" a="1"/>
  <c r="O200" i="17" s="1"/>
  <c r="O91" i="17" a="1"/>
  <c r="O91" i="17" s="1"/>
  <c r="O66" i="17" a="1"/>
  <c r="O66" i="17" s="1"/>
  <c r="O39" i="17" a="1"/>
  <c r="O39" i="17" s="1"/>
  <c r="O183" i="17" a="1"/>
  <c r="O183" i="17" s="1"/>
  <c r="N167" i="17" a="1"/>
  <c r="N167" i="17" s="1"/>
  <c r="N203" i="17" a="1"/>
  <c r="N203" i="17" s="1"/>
  <c r="N197" i="17" a="1"/>
  <c r="N197" i="17" s="1"/>
  <c r="Y155" i="17"/>
  <c r="Q148" i="17"/>
  <c r="W148" i="17" s="1"/>
  <c r="V202" i="17" a="1"/>
  <c r="V202" i="17" s="1"/>
  <c r="V105" i="17" a="1"/>
  <c r="V105" i="17" s="1"/>
  <c r="V80" i="17" a="1"/>
  <c r="V80" i="17" s="1"/>
  <c r="V57" i="17" a="1"/>
  <c r="V57" i="17" s="1"/>
  <c r="V8" i="17" a="1"/>
  <c r="V8" i="17" s="1"/>
  <c r="U168" i="17" a="1"/>
  <c r="U168" i="17" s="1"/>
  <c r="U205" i="17" a="1"/>
  <c r="U205" i="17" s="1"/>
  <c r="U123" i="17" a="1"/>
  <c r="U123" i="17" s="1"/>
  <c r="U75" i="17" a="1"/>
  <c r="U75" i="17" s="1"/>
  <c r="U51" i="17" a="1"/>
  <c r="U51" i="17" s="1"/>
  <c r="U28" i="17" a="1"/>
  <c r="U28" i="17" s="1"/>
  <c r="U4" i="17" a="1"/>
  <c r="U4" i="17" s="1"/>
  <c r="T158" i="17" a="1"/>
  <c r="T158" i="17" s="1"/>
  <c r="T136" i="17" a="1"/>
  <c r="T136" i="17" s="1"/>
  <c r="T113" i="17" a="1"/>
  <c r="T113" i="17" s="1"/>
  <c r="T93" i="17" a="1"/>
  <c r="T93" i="17" s="1"/>
  <c r="T70" i="17" a="1"/>
  <c r="T70" i="17" s="1"/>
  <c r="T46" i="17" a="1"/>
  <c r="T46" i="17" s="1"/>
  <c r="T23" i="17" a="1"/>
  <c r="T23" i="17" s="1"/>
  <c r="S180" i="17" a="1"/>
  <c r="S180" i="17" s="1"/>
  <c r="S155" i="17" a="1"/>
  <c r="S155" i="17" s="1"/>
  <c r="S128" i="17" a="1"/>
  <c r="S128" i="17" s="1"/>
  <c r="S106" i="17" a="1"/>
  <c r="S106" i="17" s="1"/>
  <c r="S83" i="17" a="1"/>
  <c r="S83" i="17" s="1"/>
  <c r="S58" i="17" a="1"/>
  <c r="S58" i="17" s="1"/>
  <c r="S33" i="17" a="1"/>
  <c r="S33" i="17" s="1"/>
  <c r="R164" i="17" a="1"/>
  <c r="R164" i="17" s="1"/>
  <c r="R204" i="17" a="1"/>
  <c r="R204" i="17" s="1"/>
  <c r="R117" i="17" a="1"/>
  <c r="R117" i="17" s="1"/>
  <c r="R95" i="17" a="1"/>
  <c r="R95" i="17" s="1"/>
  <c r="R71" i="17" a="1"/>
  <c r="R71" i="17" s="1"/>
  <c r="R47" i="17" a="1"/>
  <c r="R47" i="17" s="1"/>
  <c r="R22" i="17" a="1"/>
  <c r="R22" i="17" s="1"/>
  <c r="O166" i="17" a="1"/>
  <c r="O166" i="17" s="1"/>
  <c r="O204" i="17" a="1"/>
  <c r="O204" i="17" s="1"/>
  <c r="O115" i="17" a="1"/>
  <c r="O115" i="17" s="1"/>
  <c r="O90" i="17" a="1"/>
  <c r="O90" i="17" s="1"/>
  <c r="O65" i="17" a="1"/>
  <c r="O65" i="17" s="1"/>
  <c r="O38" i="17" a="1"/>
  <c r="O38" i="17" s="1"/>
  <c r="O13" i="17" a="1"/>
  <c r="O13" i="17" s="1"/>
  <c r="N166" i="17" a="1"/>
  <c r="N166" i="17" s="1"/>
  <c r="N133" i="17" a="1"/>
  <c r="N133" i="17" s="1"/>
  <c r="N97" i="17" a="1"/>
  <c r="N97" i="17" s="1"/>
  <c r="Q98" i="17"/>
  <c r="W98" i="17" s="1"/>
  <c r="Y176" i="17"/>
  <c r="Q176" i="17" s="1"/>
  <c r="W176" i="17" s="1"/>
  <c r="Q174" i="17"/>
  <c r="W174" i="17" s="1"/>
  <c r="Q196" i="17"/>
  <c r="W196" i="17" s="1"/>
  <c r="X188" i="17" a="1"/>
  <c r="X188" i="17" s="1"/>
  <c r="Y188" i="17" s="1"/>
  <c r="Q188" i="17" s="1"/>
  <c r="W188" i="17" s="1"/>
  <c r="V210" i="17" a="1"/>
  <c r="V210" i="17" s="1"/>
  <c r="V152" i="17" a="1"/>
  <c r="V152" i="17" s="1"/>
  <c r="V127" i="17" a="1"/>
  <c r="V127" i="17" s="1"/>
  <c r="V104" i="17" a="1"/>
  <c r="V104" i="17" s="1"/>
  <c r="V194" i="17" a="1"/>
  <c r="V194" i="17" s="1"/>
  <c r="V56" i="17" a="1"/>
  <c r="V56" i="17" s="1"/>
  <c r="V186" i="17" a="1"/>
  <c r="V186" i="17" s="1"/>
  <c r="V182" i="17" a="1"/>
  <c r="V182" i="17" s="1"/>
  <c r="U122" i="17" a="1"/>
  <c r="U122" i="17" s="1"/>
  <c r="U98" i="17" a="1"/>
  <c r="U98" i="17" s="1"/>
  <c r="U74" i="17" a="1"/>
  <c r="U74" i="17" s="1"/>
  <c r="U50" i="17" a="1"/>
  <c r="U50" i="17" s="1"/>
  <c r="U27" i="17" a="1"/>
  <c r="U27" i="17" s="1"/>
  <c r="U3" i="17" a="1"/>
  <c r="U3" i="17" s="1"/>
  <c r="T207" i="17" a="1"/>
  <c r="T207" i="17" s="1"/>
  <c r="T135" i="17" a="1"/>
  <c r="T135" i="17" s="1"/>
  <c r="T112" i="17" a="1"/>
  <c r="T112" i="17" s="1"/>
  <c r="T92" i="17" a="1"/>
  <c r="T92" i="17" s="1"/>
  <c r="T69" i="17" a="1"/>
  <c r="T69" i="17" s="1"/>
  <c r="T45" i="17" a="1"/>
  <c r="T45" i="17" s="1"/>
  <c r="T22" i="17" a="1"/>
  <c r="T22" i="17" s="1"/>
  <c r="S179" i="17" a="1"/>
  <c r="S179" i="17" s="1"/>
  <c r="S154" i="17" a="1"/>
  <c r="S154" i="17" s="1"/>
  <c r="S202" i="17" a="1"/>
  <c r="S202" i="17" s="1"/>
  <c r="S105" i="17" a="1"/>
  <c r="S105" i="17" s="1"/>
  <c r="S82" i="17" a="1"/>
  <c r="S82" i="17" s="1"/>
  <c r="S57" i="17" a="1"/>
  <c r="S57" i="17" s="1"/>
  <c r="S10" i="17" a="1"/>
  <c r="S10" i="17" s="1"/>
  <c r="R139" i="17" a="1"/>
  <c r="R139" i="17" s="1"/>
  <c r="R116" i="17" a="1"/>
  <c r="R116" i="17" s="1"/>
  <c r="R94" i="17" a="1"/>
  <c r="R94" i="17" s="1"/>
  <c r="R70" i="17" a="1"/>
  <c r="R70" i="17" s="1"/>
  <c r="R46" i="17" a="1"/>
  <c r="R46" i="17" s="1"/>
  <c r="R21" i="17" a="1"/>
  <c r="R21" i="17" s="1"/>
  <c r="O165" i="17" a="1"/>
  <c r="O165" i="17" s="1"/>
  <c r="O139" i="17" a="1"/>
  <c r="O139" i="17" s="1"/>
  <c r="O114" i="17" a="1"/>
  <c r="O114" i="17" s="1"/>
  <c r="O89" i="17" a="1"/>
  <c r="O89" i="17" s="1"/>
  <c r="O64" i="17" a="1"/>
  <c r="O64" i="17" s="1"/>
  <c r="Q64" i="17" s="1"/>
  <c r="W64" i="17" s="1"/>
  <c r="O187" i="17" a="1"/>
  <c r="O187" i="17" s="1"/>
  <c r="O12" i="17" a="1"/>
  <c r="O12" i="17" s="1"/>
  <c r="N164" i="17" a="1"/>
  <c r="N164" i="17" s="1"/>
  <c r="N132" i="17" a="1"/>
  <c r="N132" i="17" s="1"/>
  <c r="N196" i="17" a="1"/>
  <c r="N196" i="17" s="1"/>
  <c r="Q119" i="17"/>
  <c r="W119" i="17" s="1"/>
  <c r="Q173" i="17"/>
  <c r="W173" i="17" s="1"/>
  <c r="Q118" i="17"/>
  <c r="W118" i="17" s="1"/>
  <c r="X192" i="17" a="1"/>
  <c r="X192" i="17" s="1"/>
  <c r="Y192" i="17" s="1"/>
  <c r="Q192" i="17" s="1"/>
  <c r="W192" i="17" s="1"/>
  <c r="X184" i="17" a="1"/>
  <c r="X184" i="17" s="1"/>
  <c r="X172" i="17" a="1"/>
  <c r="X172" i="17" s="1"/>
  <c r="Y172" i="17" s="1"/>
  <c r="X145" i="17" a="1"/>
  <c r="X145" i="17" s="1"/>
  <c r="Y145" i="17" s="1"/>
  <c r="X117" i="17" a="1"/>
  <c r="X117" i="17" s="1"/>
  <c r="Y117" i="17" s="1"/>
  <c r="X91" i="17" a="1"/>
  <c r="X91" i="17" s="1"/>
  <c r="Y91" i="17" s="1"/>
  <c r="X67" i="17" a="1"/>
  <c r="X67" i="17" s="1"/>
  <c r="Y67" i="17" s="1"/>
  <c r="X43" i="17" a="1"/>
  <c r="X43" i="17" s="1"/>
  <c r="Y43" i="17" s="1"/>
  <c r="Q43" i="17" s="1"/>
  <c r="W43" i="17" s="1"/>
  <c r="V175" i="17" a="1"/>
  <c r="V175" i="17" s="1"/>
  <c r="V206" i="17" a="1"/>
  <c r="V206" i="17" s="1"/>
  <c r="V198" i="17" a="1"/>
  <c r="V198" i="17" s="1"/>
  <c r="V190" i="17" a="1"/>
  <c r="V190" i="17" s="1"/>
  <c r="V31" i="17" a="1"/>
  <c r="V31" i="17" s="1"/>
  <c r="V7" i="17" a="1"/>
  <c r="V7" i="17" s="1"/>
  <c r="U167" i="17" a="1"/>
  <c r="U167" i="17" s="1"/>
  <c r="U145" i="17" a="1"/>
  <c r="U145" i="17" s="1"/>
  <c r="U193" i="17" a="1"/>
  <c r="U193" i="17" s="1"/>
  <c r="U189" i="17" a="1"/>
  <c r="U189" i="17" s="1"/>
  <c r="U26" i="17" a="1"/>
  <c r="U26" i="17" s="1"/>
  <c r="U2" i="17" a="1"/>
  <c r="U2" i="17" s="1"/>
  <c r="T134" i="17" a="1"/>
  <c r="T134" i="17" s="1"/>
  <c r="T196" i="17" a="1"/>
  <c r="T196" i="17" s="1"/>
  <c r="T44" i="17" a="1"/>
  <c r="T44" i="17" s="1"/>
  <c r="T21" i="17" a="1"/>
  <c r="T21" i="17" s="1"/>
  <c r="S178" i="17" a="1"/>
  <c r="S178" i="17" s="1"/>
  <c r="S153" i="17" a="1"/>
  <c r="S153" i="17" s="1"/>
  <c r="S104" i="17" a="1"/>
  <c r="S104" i="17" s="1"/>
  <c r="S81" i="17" a="1"/>
  <c r="S81" i="17" s="1"/>
  <c r="S56" i="17" a="1"/>
  <c r="S56" i="17" s="1"/>
  <c r="S32" i="17" a="1"/>
  <c r="S32" i="17" s="1"/>
  <c r="S9" i="17" a="1"/>
  <c r="S9" i="17" s="1"/>
  <c r="R208" i="17" a="1"/>
  <c r="R208" i="17" s="1"/>
  <c r="R138" i="17" a="1"/>
  <c r="R138" i="17" s="1"/>
  <c r="R200" i="17" a="1"/>
  <c r="R200" i="17" s="1"/>
  <c r="R93" i="17" a="1"/>
  <c r="R93" i="17" s="1"/>
  <c r="R69" i="17" a="1"/>
  <c r="R69" i="17" s="1"/>
  <c r="R45" i="17" a="1"/>
  <c r="R45" i="17" s="1"/>
  <c r="O164" i="17" a="1"/>
  <c r="O164" i="17" s="1"/>
  <c r="O138" i="17" a="1"/>
  <c r="O138" i="17" s="1"/>
  <c r="O88" i="17" a="1"/>
  <c r="O88" i="17" s="1"/>
  <c r="Q88" i="17" s="1"/>
  <c r="W88" i="17" s="1"/>
  <c r="O63" i="17" a="1"/>
  <c r="O63" i="17" s="1"/>
  <c r="O37" i="17" a="1"/>
  <c r="O37" i="17" s="1"/>
  <c r="O11" i="17" a="1"/>
  <c r="O11" i="17" s="1"/>
  <c r="N208" i="17" a="1"/>
  <c r="N208" i="17" s="1"/>
  <c r="N90" i="17" a="1"/>
  <c r="N90" i="17" s="1"/>
  <c r="Q151" i="17"/>
  <c r="W151" i="17" s="1"/>
  <c r="Q68" i="17"/>
  <c r="W68" i="17" s="1"/>
  <c r="X116" i="17" a="1"/>
  <c r="X116" i="17" s="1"/>
  <c r="Y116" i="17" s="1"/>
  <c r="X90" i="17" a="1"/>
  <c r="X90" i="17" s="1"/>
  <c r="Y90" i="17" s="1"/>
  <c r="X66" i="17" a="1"/>
  <c r="X66" i="17" s="1"/>
  <c r="Y66" i="17" s="1"/>
  <c r="Q66" i="17" s="1"/>
  <c r="W66" i="17" s="1"/>
  <c r="X42" i="17" a="1"/>
  <c r="X42" i="17" s="1"/>
  <c r="Y42" i="17" s="1"/>
  <c r="Q42" i="17" s="1"/>
  <c r="W42" i="17" s="1"/>
  <c r="X19" i="17" a="1"/>
  <c r="X19" i="17" s="1"/>
  <c r="V151" i="17" a="1"/>
  <c r="V151" i="17" s="1"/>
  <c r="V126" i="17" a="1"/>
  <c r="V126" i="17" s="1"/>
  <c r="V103" i="17" a="1"/>
  <c r="V103" i="17" s="1"/>
  <c r="V79" i="17" a="1"/>
  <c r="V79" i="17" s="1"/>
  <c r="V55" i="17" a="1"/>
  <c r="V55" i="17" s="1"/>
  <c r="V30" i="17" a="1"/>
  <c r="V30" i="17" s="1"/>
  <c r="U144" i="17" a="1"/>
  <c r="U144" i="17" s="1"/>
  <c r="U201" i="17" a="1"/>
  <c r="U201" i="17" s="1"/>
  <c r="U197" i="17" a="1"/>
  <c r="U197" i="17" s="1"/>
  <c r="U73" i="17" a="1"/>
  <c r="U73" i="17" s="1"/>
  <c r="U49" i="17" a="1"/>
  <c r="U49" i="17" s="1"/>
  <c r="U185" i="17" a="1"/>
  <c r="U185" i="17" s="1"/>
  <c r="T211" i="17" a="1"/>
  <c r="T211" i="17" s="1"/>
  <c r="T157" i="17" a="1"/>
  <c r="T157" i="17" s="1"/>
  <c r="T203" i="17" a="1"/>
  <c r="T203" i="17" s="1"/>
  <c r="T111" i="17" a="1"/>
  <c r="T111" i="17" s="1"/>
  <c r="T91" i="17" a="1"/>
  <c r="T91" i="17" s="1"/>
  <c r="T68" i="17" a="1"/>
  <c r="T68" i="17" s="1"/>
  <c r="T188" i="17" a="1"/>
  <c r="T188" i="17" s="1"/>
  <c r="T20" i="17" a="1"/>
  <c r="T20" i="17" s="1"/>
  <c r="S177" i="17" a="1"/>
  <c r="S177" i="17" s="1"/>
  <c r="S152" i="17" a="1"/>
  <c r="S152" i="17" s="1"/>
  <c r="S127" i="17" a="1"/>
  <c r="S127" i="17" s="1"/>
  <c r="S198" i="17" a="1"/>
  <c r="S198" i="17" s="1"/>
  <c r="S80" i="17" a="1"/>
  <c r="S80" i="17" s="1"/>
  <c r="S190" i="17" a="1"/>
  <c r="S190" i="17" s="1"/>
  <c r="S8" i="17" a="1"/>
  <c r="S8" i="17" s="1"/>
  <c r="R137" i="17" a="1"/>
  <c r="R137" i="17" s="1"/>
  <c r="R115" i="17" a="1"/>
  <c r="R115" i="17" s="1"/>
  <c r="R92" i="17" a="1"/>
  <c r="R92" i="17" s="1"/>
  <c r="R68" i="17" a="1"/>
  <c r="R68" i="17" s="1"/>
  <c r="R44" i="17" a="1"/>
  <c r="R44" i="17" s="1"/>
  <c r="R20" i="17" a="1"/>
  <c r="R20" i="17" s="1"/>
  <c r="O208" i="17" a="1"/>
  <c r="O208" i="17" s="1"/>
  <c r="O137" i="17" a="1"/>
  <c r="O137" i="17" s="1"/>
  <c r="O113" i="17" a="1"/>
  <c r="O113" i="17" s="1"/>
  <c r="O87" i="17" a="1"/>
  <c r="O87" i="17" s="1"/>
  <c r="O62" i="17" a="1"/>
  <c r="O62" i="17" s="1"/>
  <c r="N130" i="17" a="1"/>
  <c r="N130" i="17" s="1"/>
  <c r="Y198" i="17"/>
  <c r="Q143" i="17"/>
  <c r="W143" i="17" s="1"/>
  <c r="Q89" i="17"/>
  <c r="W89" i="17" s="1"/>
  <c r="Q65" i="17"/>
  <c r="W65" i="17" s="1"/>
  <c r="Q41" i="17"/>
  <c r="W41" i="17" s="1"/>
  <c r="X18" i="17" a="1"/>
  <c r="X18" i="17" s="1"/>
  <c r="Y18" i="17" s="1"/>
  <c r="V174" i="17" a="1"/>
  <c r="V174" i="17" s="1"/>
  <c r="V150" i="17" a="1"/>
  <c r="V150" i="17" s="1"/>
  <c r="V125" i="17" a="1"/>
  <c r="V125" i="17" s="1"/>
  <c r="V102" i="17" a="1"/>
  <c r="V102" i="17" s="1"/>
  <c r="V78" i="17" a="1"/>
  <c r="V78" i="17" s="1"/>
  <c r="V54" i="17" a="1"/>
  <c r="V54" i="17" s="1"/>
  <c r="V29" i="17" a="1"/>
  <c r="V29" i="17" s="1"/>
  <c r="V6" i="17" a="1"/>
  <c r="V6" i="17" s="1"/>
  <c r="U165" i="17" a="1"/>
  <c r="U165" i="17" s="1"/>
  <c r="U143" i="17" a="1"/>
  <c r="U143" i="17" s="1"/>
  <c r="U121" i="17" a="1"/>
  <c r="U121" i="17" s="1"/>
  <c r="U97" i="17" a="1"/>
  <c r="U97" i="17" s="1"/>
  <c r="U72" i="17" a="1"/>
  <c r="U72" i="17" s="1"/>
  <c r="U48" i="17" a="1"/>
  <c r="U48" i="17" s="1"/>
  <c r="T181" i="17" a="1"/>
  <c r="T181" i="17" s="1"/>
  <c r="T156" i="17" a="1"/>
  <c r="T156" i="17" s="1"/>
  <c r="T133" i="17" a="1"/>
  <c r="T133" i="17" s="1"/>
  <c r="T110" i="17" a="1"/>
  <c r="T110" i="17" s="1"/>
  <c r="T90" i="17" a="1"/>
  <c r="T90" i="17" s="1"/>
  <c r="T192" i="17" a="1"/>
  <c r="T192" i="17" s="1"/>
  <c r="T184" i="17" a="1"/>
  <c r="T184" i="17" s="1"/>
  <c r="S176" i="17" a="1"/>
  <c r="S176" i="17" s="1"/>
  <c r="S206" i="17" a="1"/>
  <c r="S206" i="17" s="1"/>
  <c r="S103" i="17" a="1"/>
  <c r="S103" i="17" s="1"/>
  <c r="S194" i="17" a="1"/>
  <c r="S194" i="17" s="1"/>
  <c r="S186" i="17" a="1"/>
  <c r="S186" i="17" s="1"/>
  <c r="S182" i="17" a="1"/>
  <c r="S182" i="17" s="1"/>
  <c r="R163" i="17" a="1"/>
  <c r="R163" i="17" s="1"/>
  <c r="R114" i="17" a="1"/>
  <c r="R114" i="17" s="1"/>
  <c r="R196" i="17" a="1"/>
  <c r="R196" i="17" s="1"/>
  <c r="R192" i="17" a="1"/>
  <c r="R192" i="17" s="1"/>
  <c r="R188" i="17" a="1"/>
  <c r="R188" i="17" s="1"/>
  <c r="R184" i="17" a="1"/>
  <c r="R184" i="17" s="1"/>
  <c r="O136" i="17" a="1"/>
  <c r="O136" i="17" s="1"/>
  <c r="O86" i="17" a="1"/>
  <c r="O86" i="17" s="1"/>
  <c r="O191" i="17" a="1"/>
  <c r="O191" i="17" s="1"/>
  <c r="O35" i="17" a="1"/>
  <c r="O35" i="17" s="1"/>
  <c r="O10" i="17" a="1"/>
  <c r="O10" i="17" s="1"/>
  <c r="N162" i="17" a="1"/>
  <c r="N162" i="17" s="1"/>
  <c r="N129" i="17" a="1"/>
  <c r="N129" i="17" s="1"/>
  <c r="N86" i="17" a="1"/>
  <c r="N86" i="17" s="1"/>
  <c r="Q142" i="17"/>
  <c r="W142" i="17" s="1"/>
  <c r="Q115" i="17"/>
  <c r="W115" i="17" s="1"/>
  <c r="Q17" i="17"/>
  <c r="V149" i="17" a="1"/>
  <c r="V149" i="17" s="1"/>
  <c r="V124" i="17" a="1"/>
  <c r="V124" i="17" s="1"/>
  <c r="V101" i="17" a="1"/>
  <c r="V101" i="17" s="1"/>
  <c r="V77" i="17" a="1"/>
  <c r="V77" i="17" s="1"/>
  <c r="V53" i="17" a="1"/>
  <c r="V53" i="17" s="1"/>
  <c r="V5" i="17" a="1"/>
  <c r="V5" i="17" s="1"/>
  <c r="U164" i="17" a="1"/>
  <c r="U164" i="17" s="1"/>
  <c r="U142" i="17" a="1"/>
  <c r="U142" i="17" s="1"/>
  <c r="U96" i="17" a="1"/>
  <c r="U96" i="17" s="1"/>
  <c r="U47" i="17" a="1"/>
  <c r="U47" i="17" s="1"/>
  <c r="U25" i="17" a="1"/>
  <c r="U25" i="17" s="1"/>
  <c r="T180" i="17" a="1"/>
  <c r="T180" i="17" s="1"/>
  <c r="T199" i="17" a="1"/>
  <c r="T199" i="17" s="1"/>
  <c r="T89" i="17" a="1"/>
  <c r="T89" i="17" s="1"/>
  <c r="T67" i="17" a="1"/>
  <c r="T67" i="17" s="1"/>
  <c r="T43" i="17" a="1"/>
  <c r="T43" i="17" s="1"/>
  <c r="S151" i="17" a="1"/>
  <c r="S151" i="17" s="1"/>
  <c r="S126" i="17" a="1"/>
  <c r="S126" i="17" s="1"/>
  <c r="S102" i="17" a="1"/>
  <c r="S102" i="17" s="1"/>
  <c r="S79" i="17" a="1"/>
  <c r="S79" i="17" s="1"/>
  <c r="S55" i="17" a="1"/>
  <c r="S55" i="17" s="1"/>
  <c r="S31" i="17" a="1"/>
  <c r="S31" i="17" s="1"/>
  <c r="S7" i="17" a="1"/>
  <c r="S7" i="17" s="1"/>
  <c r="R136" i="17" a="1"/>
  <c r="R136" i="17" s="1"/>
  <c r="R113" i="17" a="1"/>
  <c r="R113" i="17" s="1"/>
  <c r="R91" i="17" a="1"/>
  <c r="R91" i="17" s="1"/>
  <c r="R67" i="17" a="1"/>
  <c r="R67" i="17" s="1"/>
  <c r="R43" i="17" a="1"/>
  <c r="R43" i="17" s="1"/>
  <c r="R19" i="17" a="1"/>
  <c r="R19" i="17" s="1"/>
  <c r="O163" i="17" a="1"/>
  <c r="O163" i="17" s="1"/>
  <c r="O135" i="17" a="1"/>
  <c r="O135" i="17" s="1"/>
  <c r="O112" i="17" a="1"/>
  <c r="O112" i="17" s="1"/>
  <c r="O195" i="17" a="1"/>
  <c r="O195" i="17" s="1"/>
  <c r="O61" i="17" a="1"/>
  <c r="O61" i="17" s="1"/>
  <c r="O34" i="17" a="1"/>
  <c r="O34" i="17" s="1"/>
  <c r="N161" i="17" a="1"/>
  <c r="N161" i="17" s="1"/>
  <c r="N128" i="17" a="1"/>
  <c r="N128" i="17" s="1"/>
  <c r="N82" i="17" a="1"/>
  <c r="N82" i="17" s="1"/>
  <c r="N95" i="17" a="1"/>
  <c r="N95" i="17" s="1"/>
  <c r="N192" i="17" a="1"/>
  <c r="N192" i="17" s="1"/>
  <c r="Y114" i="17"/>
  <c r="Q114" i="17" s="1"/>
  <c r="W114" i="17" s="1"/>
  <c r="Q87" i="17"/>
  <c r="W87" i="17" s="1"/>
  <c r="Q39" i="17"/>
  <c r="W39" i="17" s="1"/>
  <c r="Y16" i="17"/>
  <c r="Q16" i="17" s="1"/>
  <c r="W16" i="17" s="1"/>
  <c r="V123" i="17" a="1"/>
  <c r="V123" i="17" s="1"/>
  <c r="V100" i="17" a="1"/>
  <c r="V100" i="17" s="1"/>
  <c r="V76" i="17" a="1"/>
  <c r="V76" i="17" s="1"/>
  <c r="V52" i="17" a="1"/>
  <c r="V52" i="17" s="1"/>
  <c r="V28" i="17" a="1"/>
  <c r="V28" i="17" s="1"/>
  <c r="U208" i="17" a="1"/>
  <c r="U208" i="17" s="1"/>
  <c r="U141" i="17" a="1"/>
  <c r="U141" i="17" s="1"/>
  <c r="U120" i="17" a="1"/>
  <c r="U120" i="17" s="1"/>
  <c r="U95" i="17" a="1"/>
  <c r="U95" i="17" s="1"/>
  <c r="U71" i="17" a="1"/>
  <c r="U71" i="17" s="1"/>
  <c r="U46" i="17" a="1"/>
  <c r="U46" i="17" s="1"/>
  <c r="T179" i="17" a="1"/>
  <c r="T179" i="17" s="1"/>
  <c r="T155" i="17" a="1"/>
  <c r="T155" i="17" s="1"/>
  <c r="T132" i="17" a="1"/>
  <c r="T132" i="17" s="1"/>
  <c r="T109" i="17" a="1"/>
  <c r="T109" i="17" s="1"/>
  <c r="T88" i="17" a="1"/>
  <c r="T88" i="17" s="1"/>
  <c r="T66" i="17" a="1"/>
  <c r="T66" i="17" s="1"/>
  <c r="T42" i="17" a="1"/>
  <c r="T42" i="17" s="1"/>
  <c r="T19" i="17" a="1"/>
  <c r="T19" i="17" s="1"/>
  <c r="S210" i="17" a="1"/>
  <c r="S210" i="17" s="1"/>
  <c r="S150" i="17" a="1"/>
  <c r="S150" i="17" s="1"/>
  <c r="S125" i="17" a="1"/>
  <c r="S125" i="17" s="1"/>
  <c r="S101" i="17" a="1"/>
  <c r="S101" i="17" s="1"/>
  <c r="S78" i="17" a="1"/>
  <c r="S78" i="17" s="1"/>
  <c r="S54" i="17" a="1"/>
  <c r="S54" i="17" s="1"/>
  <c r="S6" i="17" a="1"/>
  <c r="S6" i="17" s="1"/>
  <c r="R162" i="17" a="1"/>
  <c r="R162" i="17" s="1"/>
  <c r="R112" i="17" a="1"/>
  <c r="R112" i="17" s="1"/>
  <c r="R90" i="17" a="1"/>
  <c r="R90" i="17" s="1"/>
  <c r="R66" i="17" a="1"/>
  <c r="R66" i="17" s="1"/>
  <c r="R18" i="17" a="1"/>
  <c r="R18" i="17" s="1"/>
  <c r="O162" i="17" a="1"/>
  <c r="O162" i="17" s="1"/>
  <c r="O134" i="17" a="1"/>
  <c r="O134" i="17" s="1"/>
  <c r="O111" i="17" a="1"/>
  <c r="O111" i="17" s="1"/>
  <c r="O85" i="17" a="1"/>
  <c r="O85" i="17" s="1"/>
  <c r="O60" i="17" a="1"/>
  <c r="O60" i="17" s="1"/>
  <c r="O33" i="17" a="1"/>
  <c r="O33" i="17" s="1"/>
  <c r="Q33" i="17" s="1"/>
  <c r="W33" i="17" s="1"/>
  <c r="O9" i="17" a="1"/>
  <c r="O9" i="17" s="1"/>
  <c r="N160" i="17" a="1"/>
  <c r="N160" i="17" s="1"/>
  <c r="N126" i="17" a="1"/>
  <c r="N126" i="17" s="1"/>
  <c r="N78" i="17" a="1"/>
  <c r="N78" i="17" s="1"/>
  <c r="V4" i="17" a="1"/>
  <c r="V4" i="17" s="1"/>
  <c r="U163" i="17" a="1"/>
  <c r="U163" i="17" s="1"/>
  <c r="U140" i="17" a="1"/>
  <c r="U140" i="17" s="1"/>
  <c r="U119" i="17" a="1"/>
  <c r="U119" i="17" s="1"/>
  <c r="U94" i="17" a="1"/>
  <c r="U94" i="17" s="1"/>
  <c r="U70" i="17" a="1"/>
  <c r="U70" i="17" s="1"/>
  <c r="U45" i="17" a="1"/>
  <c r="U45" i="17" s="1"/>
  <c r="U24" i="17" a="1"/>
  <c r="U24" i="17" s="1"/>
  <c r="T178" i="17" a="1"/>
  <c r="T178" i="17" s="1"/>
  <c r="T154" i="17" a="1"/>
  <c r="T154" i="17" s="1"/>
  <c r="T131" i="17" a="1"/>
  <c r="T131" i="17" s="1"/>
  <c r="T108" i="17" a="1"/>
  <c r="T108" i="17" s="1"/>
  <c r="T87" i="17" a="1"/>
  <c r="T87" i="17" s="1"/>
  <c r="T65" i="17" a="1"/>
  <c r="T65" i="17" s="1"/>
  <c r="T41" i="17" a="1"/>
  <c r="T41" i="17" s="1"/>
  <c r="T18" i="17" a="1"/>
  <c r="T18" i="17" s="1"/>
  <c r="S175" i="17" a="1"/>
  <c r="S175" i="17" s="1"/>
  <c r="S149" i="17" a="1"/>
  <c r="S149" i="17" s="1"/>
  <c r="S124" i="17" a="1"/>
  <c r="S124" i="17" s="1"/>
  <c r="S100" i="17" a="1"/>
  <c r="S100" i="17" s="1"/>
  <c r="S77" i="17" a="1"/>
  <c r="S77" i="17" s="1"/>
  <c r="S53" i="17" a="1"/>
  <c r="S53" i="17" s="1"/>
  <c r="S30" i="17" a="1"/>
  <c r="S30" i="17" s="1"/>
  <c r="S5" i="17" a="1"/>
  <c r="S5" i="17" s="1"/>
  <c r="R161" i="17" a="1"/>
  <c r="R161" i="17" s="1"/>
  <c r="R135" i="17" a="1"/>
  <c r="R135" i="17" s="1"/>
  <c r="R111" i="17" a="1"/>
  <c r="R111" i="17" s="1"/>
  <c r="R89" i="17" a="1"/>
  <c r="R89" i="17" s="1"/>
  <c r="R65" i="17" a="1"/>
  <c r="R65" i="17" s="1"/>
  <c r="R42" i="17" a="1"/>
  <c r="R42" i="17" s="1"/>
  <c r="R17" i="17" a="1"/>
  <c r="R17" i="17" s="1"/>
  <c r="O161" i="17" a="1"/>
  <c r="O161" i="17" s="1"/>
  <c r="O203" i="17" a="1"/>
  <c r="O203" i="17" s="1"/>
  <c r="O110" i="17" a="1"/>
  <c r="O110" i="17" s="1"/>
  <c r="O84" i="17" a="1"/>
  <c r="O84" i="17" s="1"/>
  <c r="O59" i="17" a="1"/>
  <c r="O59" i="17" s="1"/>
  <c r="O32" i="17" a="1"/>
  <c r="O32" i="17" s="1"/>
  <c r="O8" i="17" a="1"/>
  <c r="O8" i="17" s="1"/>
  <c r="N159" i="17" a="1"/>
  <c r="N159" i="17" s="1"/>
  <c r="N125" i="17" a="1"/>
  <c r="N125" i="17" s="1"/>
  <c r="N75" i="17" a="1"/>
  <c r="N75" i="17" s="1"/>
  <c r="Q38" i="17"/>
  <c r="W38" i="17" s="1"/>
  <c r="Q204" i="17"/>
  <c r="W204" i="17" s="1"/>
  <c r="Q112" i="17"/>
  <c r="W112" i="17" s="1"/>
  <c r="X62" i="17" a="1"/>
  <c r="X62" i="17" s="1"/>
  <c r="Y62" i="17" s="1"/>
  <c r="X187" i="17" a="1"/>
  <c r="X187" i="17" s="1"/>
  <c r="Y187" i="17" s="1"/>
  <c r="Q187" i="17" s="1"/>
  <c r="W187" i="17" s="1"/>
  <c r="X14" i="17" a="1"/>
  <c r="X14" i="17" s="1"/>
  <c r="Y14" i="17" s="1"/>
  <c r="V171" i="17" a="1"/>
  <c r="V171" i="17" s="1"/>
  <c r="V146" i="17" a="1"/>
  <c r="V146" i="17" s="1"/>
  <c r="V98" i="17" a="1"/>
  <c r="V98" i="17" s="1"/>
  <c r="V74" i="17" a="1"/>
  <c r="V74" i="17" s="1"/>
  <c r="V50" i="17" a="1"/>
  <c r="V50" i="17" s="1"/>
  <c r="V26" i="17" a="1"/>
  <c r="V26" i="17" s="1"/>
  <c r="U162" i="17" a="1"/>
  <c r="U162" i="17" s="1"/>
  <c r="U204" i="17" a="1"/>
  <c r="U204" i="17" s="1"/>
  <c r="U118" i="17" a="1"/>
  <c r="U118" i="17" s="1"/>
  <c r="U69" i="17" a="1"/>
  <c r="U69" i="17" s="1"/>
  <c r="U23" i="17" a="1"/>
  <c r="U23" i="17" s="1"/>
  <c r="T177" i="17" a="1"/>
  <c r="T177" i="17" s="1"/>
  <c r="T153" i="17" a="1"/>
  <c r="T153" i="17" s="1"/>
  <c r="T130" i="17" a="1"/>
  <c r="T130" i="17" s="1"/>
  <c r="T107" i="17" a="1"/>
  <c r="T107" i="17" s="1"/>
  <c r="T86" i="17" a="1"/>
  <c r="T86" i="17" s="1"/>
  <c r="T64" i="17" a="1"/>
  <c r="T64" i="17" s="1"/>
  <c r="T40" i="17" a="1"/>
  <c r="T40" i="17" s="1"/>
  <c r="S174" i="17" a="1"/>
  <c r="S174" i="17" s="1"/>
  <c r="S148" i="17" a="1"/>
  <c r="S148" i="17" s="1"/>
  <c r="S123" i="17" a="1"/>
  <c r="S123" i="17" s="1"/>
  <c r="S76" i="17" a="1"/>
  <c r="S76" i="17" s="1"/>
  <c r="S29" i="17" a="1"/>
  <c r="S29" i="17" s="1"/>
  <c r="S4" i="17" a="1"/>
  <c r="S4" i="17" s="1"/>
  <c r="R160" i="17" a="1"/>
  <c r="R160" i="17" s="1"/>
  <c r="R88" i="17" a="1"/>
  <c r="R88" i="17" s="1"/>
  <c r="R64" i="17" a="1"/>
  <c r="R64" i="17" s="1"/>
  <c r="R41" i="17" a="1"/>
  <c r="R41" i="17" s="1"/>
  <c r="R16" i="17" a="1"/>
  <c r="R16" i="17" s="1"/>
  <c r="O160" i="17" a="1"/>
  <c r="O160" i="17" s="1"/>
  <c r="O133" i="17" a="1"/>
  <c r="O133" i="17" s="1"/>
  <c r="O199" i="17" a="1"/>
  <c r="O199" i="17" s="1"/>
  <c r="O83" i="17" a="1"/>
  <c r="O83" i="17" s="1"/>
  <c r="O58" i="17" a="1"/>
  <c r="O58" i="17" s="1"/>
  <c r="O7" i="17" a="1"/>
  <c r="O7" i="17" s="1"/>
  <c r="N158" i="17" a="1"/>
  <c r="N158" i="17" s="1"/>
  <c r="N124" i="17" a="1"/>
  <c r="N124" i="17" s="1"/>
  <c r="N193" i="17" a="1"/>
  <c r="N193" i="17" s="1"/>
  <c r="Y44" i="17"/>
  <c r="Q44" i="17" s="1"/>
  <c r="W44" i="17" s="1"/>
  <c r="Y19" i="17"/>
  <c r="Q19" i="17" s="1"/>
  <c r="W19" i="17" s="1"/>
  <c r="Q86" i="17"/>
  <c r="W86" i="17" s="1"/>
  <c r="Q111" i="17"/>
  <c r="W111" i="17" s="1"/>
  <c r="Q37" i="17"/>
  <c r="W37" i="17" s="1"/>
  <c r="V185" i="17" a="1"/>
  <c r="V185" i="17" s="1"/>
  <c r="V3" i="17" a="1"/>
  <c r="V3" i="17" s="1"/>
  <c r="U161" i="17" a="1"/>
  <c r="U161" i="17" s="1"/>
  <c r="U117" i="17" a="1"/>
  <c r="U117" i="17" s="1"/>
  <c r="U93" i="17" a="1"/>
  <c r="U93" i="17" s="1"/>
  <c r="U68" i="17" a="1"/>
  <c r="U68" i="17" s="1"/>
  <c r="U44" i="17" a="1"/>
  <c r="U44" i="17" s="1"/>
  <c r="U22" i="17" a="1"/>
  <c r="U22" i="17" s="1"/>
  <c r="T176" i="17" a="1"/>
  <c r="T176" i="17" s="1"/>
  <c r="T152" i="17" a="1"/>
  <c r="T152" i="17" s="1"/>
  <c r="T129" i="17" a="1"/>
  <c r="T129" i="17" s="1"/>
  <c r="T195" i="17" a="1"/>
  <c r="T195" i="17" s="1"/>
  <c r="T63" i="17" a="1"/>
  <c r="T63" i="17" s="1"/>
  <c r="T39" i="17" a="1"/>
  <c r="T39" i="17" s="1"/>
  <c r="T17" i="17" a="1"/>
  <c r="T17" i="17" s="1"/>
  <c r="S173" i="17" a="1"/>
  <c r="S173" i="17" s="1"/>
  <c r="S147" i="17" a="1"/>
  <c r="S147" i="17" s="1"/>
  <c r="S122" i="17" a="1"/>
  <c r="S122" i="17" s="1"/>
  <c r="S99" i="17" a="1"/>
  <c r="S99" i="17" s="1"/>
  <c r="S75" i="17" a="1"/>
  <c r="S75" i="17" s="1"/>
  <c r="S52" i="17" a="1"/>
  <c r="S52" i="17" s="1"/>
  <c r="S28" i="17" a="1"/>
  <c r="S28" i="17" s="1"/>
  <c r="S3" i="17" a="1"/>
  <c r="S3" i="17" s="1"/>
  <c r="R159" i="17" a="1"/>
  <c r="R159" i="17" s="1"/>
  <c r="R134" i="17" a="1"/>
  <c r="R134" i="17" s="1"/>
  <c r="R110" i="17" a="1"/>
  <c r="R110" i="17" s="1"/>
  <c r="R87" i="17" a="1"/>
  <c r="R87" i="17" s="1"/>
  <c r="R63" i="17" a="1"/>
  <c r="R63" i="17" s="1"/>
  <c r="R40" i="17" a="1"/>
  <c r="R40" i="17" s="1"/>
  <c r="R15" i="17" a="1"/>
  <c r="R15" i="17" s="1"/>
  <c r="O159" i="17" a="1"/>
  <c r="O159" i="17" s="1"/>
  <c r="O132" i="17" a="1"/>
  <c r="O132" i="17" s="1"/>
  <c r="O109" i="17" a="1"/>
  <c r="O109" i="17" s="1"/>
  <c r="O82" i="17" a="1"/>
  <c r="O82" i="17" s="1"/>
  <c r="O57" i="17" a="1"/>
  <c r="O57" i="17" s="1"/>
  <c r="O186" i="17" a="1"/>
  <c r="O186" i="17" s="1"/>
  <c r="O6" i="17" a="1"/>
  <c r="O6" i="17" s="1"/>
  <c r="Q6" i="17" s="1"/>
  <c r="W6" i="17" s="1"/>
  <c r="N207" i="17" a="1"/>
  <c r="N207" i="17" s="1"/>
  <c r="N123" i="17" a="1"/>
  <c r="N123" i="17" s="1"/>
  <c r="N65" i="17" a="1"/>
  <c r="N65" i="17" s="1"/>
  <c r="Q209" i="17"/>
  <c r="W209" i="17" s="1"/>
  <c r="Q139" i="17"/>
  <c r="W139" i="17" s="1"/>
  <c r="X165" i="17" a="1"/>
  <c r="X165" i="17" s="1"/>
  <c r="Y165" i="17" s="1"/>
  <c r="Q165" i="17" s="1"/>
  <c r="W165" i="17" s="1"/>
  <c r="X110" i="17" a="1"/>
  <c r="X110" i="17" s="1"/>
  <c r="Y110" i="17" s="1"/>
  <c r="X61" i="17" a="1"/>
  <c r="X61" i="17" s="1"/>
  <c r="Y61" i="17" s="1"/>
  <c r="Q61" i="17" s="1"/>
  <c r="W61" i="17" s="1"/>
  <c r="X36" i="17" a="1"/>
  <c r="X36" i="17" s="1"/>
  <c r="Y36" i="17" s="1"/>
  <c r="Q36" i="17" s="1"/>
  <c r="W36" i="17" s="1"/>
  <c r="X13" i="17" a="1"/>
  <c r="X13" i="17" s="1"/>
  <c r="Y13" i="17" s="1"/>
  <c r="Q13" i="17" s="1"/>
  <c r="W13" i="17" s="1"/>
  <c r="V121" i="17" a="1"/>
  <c r="V121" i="17" s="1"/>
  <c r="V97" i="17" a="1"/>
  <c r="V97" i="17" s="1"/>
  <c r="V73" i="17" a="1"/>
  <c r="V73" i="17" s="1"/>
  <c r="V49" i="17" a="1"/>
  <c r="V49" i="17" s="1"/>
  <c r="V25" i="17" a="1"/>
  <c r="V25" i="17" s="1"/>
  <c r="U160" i="17" a="1"/>
  <c r="U160" i="17" s="1"/>
  <c r="U92" i="17" a="1"/>
  <c r="U92" i="17" s="1"/>
  <c r="U192" i="17" a="1"/>
  <c r="U192" i="17" s="1"/>
  <c r="U188" i="17" a="1"/>
  <c r="U188" i="17" s="1"/>
  <c r="U21" i="17" a="1"/>
  <c r="U21" i="17" s="1"/>
  <c r="T210" i="17" a="1"/>
  <c r="T210" i="17" s="1"/>
  <c r="T206" i="17" a="1"/>
  <c r="T206" i="17" s="1"/>
  <c r="T106" i="17" a="1"/>
  <c r="T106" i="17" s="1"/>
  <c r="T85" i="17" a="1"/>
  <c r="T85" i="17" s="1"/>
  <c r="T16" i="17" a="1"/>
  <c r="T16" i="17" s="1"/>
  <c r="S146" i="17" a="1"/>
  <c r="S146" i="17" s="1"/>
  <c r="S201" i="17" a="1"/>
  <c r="S201" i="17" s="1"/>
  <c r="S98" i="17" a="1"/>
  <c r="S98" i="17" s="1"/>
  <c r="S74" i="17" a="1"/>
  <c r="S74" i="17" s="1"/>
  <c r="S51" i="17" a="1"/>
  <c r="S51" i="17" s="1"/>
  <c r="S27" i="17" a="1"/>
  <c r="S27" i="17" s="1"/>
  <c r="S2" i="17" a="1"/>
  <c r="S2" i="17" s="1"/>
  <c r="R158" i="17" a="1"/>
  <c r="R158" i="17" s="1"/>
  <c r="R199" i="17" a="1"/>
  <c r="R199" i="17" s="1"/>
  <c r="R86" i="17" a="1"/>
  <c r="R86" i="17" s="1"/>
  <c r="R62" i="17" a="1"/>
  <c r="R62" i="17" s="1"/>
  <c r="R39" i="17" a="1"/>
  <c r="R39" i="17" s="1"/>
  <c r="R14" i="17" a="1"/>
  <c r="R14" i="17" s="1"/>
  <c r="O158" i="17" a="1"/>
  <c r="O158" i="17" s="1"/>
  <c r="O108" i="17" a="1"/>
  <c r="O108" i="17" s="1"/>
  <c r="O81" i="17" a="1"/>
  <c r="O81" i="17" s="1"/>
  <c r="O56" i="17" a="1"/>
  <c r="O56" i="17" s="1"/>
  <c r="O31" i="17" a="1"/>
  <c r="O31" i="17" s="1"/>
  <c r="O5" i="17" a="1"/>
  <c r="O5" i="17" s="1"/>
  <c r="N157" i="17" a="1"/>
  <c r="N157" i="17" s="1"/>
  <c r="N64" i="17" a="1"/>
  <c r="N64" i="17" s="1"/>
  <c r="N69" i="17" a="1"/>
  <c r="N69" i="17" s="1"/>
  <c r="Q140" i="17"/>
  <c r="W140" i="17" s="1"/>
  <c r="Q166" i="17"/>
  <c r="W166" i="17" s="1"/>
  <c r="Q85" i="17"/>
  <c r="W85" i="17" s="1"/>
  <c r="Q183" i="17"/>
  <c r="W183" i="17" s="1"/>
  <c r="V189" i="17" a="1"/>
  <c r="V189" i="17" s="1"/>
  <c r="X138" i="17" a="1"/>
  <c r="X138" i="17" s="1"/>
  <c r="Y138" i="17" s="1"/>
  <c r="Q138" i="17" s="1"/>
  <c r="W138" i="17" s="1"/>
  <c r="X164" i="17" a="1"/>
  <c r="X164" i="17" s="1"/>
  <c r="Y164" i="17" s="1"/>
  <c r="Q164" i="17" s="1"/>
  <c r="W164" i="17" s="1"/>
  <c r="X137" i="17" a="1"/>
  <c r="X137" i="17" s="1"/>
  <c r="Y137" i="17" s="1"/>
  <c r="Q137" i="17" s="1"/>
  <c r="W137" i="17" s="1"/>
  <c r="X199" i="17" a="1"/>
  <c r="X199" i="17" s="1"/>
  <c r="Y199" i="17" s="1"/>
  <c r="Q199" i="17" s="1"/>
  <c r="W199" i="17" s="1"/>
  <c r="X84" i="17" a="1"/>
  <c r="X84" i="17" s="1"/>
  <c r="Y84" i="17" s="1"/>
  <c r="X60" i="17" a="1"/>
  <c r="X60" i="17" s="1"/>
  <c r="X35" i="17" a="1"/>
  <c r="X35" i="17" s="1"/>
  <c r="X12" i="17" a="1"/>
  <c r="X12" i="17" s="1"/>
  <c r="Y12" i="17" s="1"/>
  <c r="V209" i="17" a="1"/>
  <c r="V209" i="17" s="1"/>
  <c r="V145" i="17" a="1"/>
  <c r="V145" i="17" s="1"/>
  <c r="V120" i="17" a="1"/>
  <c r="V120" i="17" s="1"/>
  <c r="V96" i="17" a="1"/>
  <c r="V96" i="17" s="1"/>
  <c r="V48" i="17" a="1"/>
  <c r="V48" i="17" s="1"/>
  <c r="V24" i="17" a="1"/>
  <c r="V24" i="17" s="1"/>
  <c r="V2" i="17" a="1"/>
  <c r="V2" i="17" s="1"/>
  <c r="U159" i="17" a="1"/>
  <c r="U159" i="17" s="1"/>
  <c r="U138" i="17" a="1"/>
  <c r="U138" i="17" s="1"/>
  <c r="U116" i="17" a="1"/>
  <c r="U116" i="17" s="1"/>
  <c r="U67" i="17" a="1"/>
  <c r="U67" i="17" s="1"/>
  <c r="U20" i="17" a="1"/>
  <c r="U20" i="17" s="1"/>
  <c r="T175" i="17" a="1"/>
  <c r="T175" i="17" s="1"/>
  <c r="T128" i="17" a="1"/>
  <c r="T128" i="17" s="1"/>
  <c r="T105" i="17" a="1"/>
  <c r="T105" i="17" s="1"/>
  <c r="T84" i="17" a="1"/>
  <c r="T84" i="17" s="1"/>
  <c r="T62" i="17" a="1"/>
  <c r="T62" i="17" s="1"/>
  <c r="T38" i="17" a="1"/>
  <c r="T38" i="17" s="1"/>
  <c r="S172" i="17" a="1"/>
  <c r="S172" i="17" s="1"/>
  <c r="S205" i="17" a="1"/>
  <c r="S205" i="17" s="1"/>
  <c r="S26" i="17" a="1"/>
  <c r="S26" i="17" s="1"/>
  <c r="R211" i="17" a="1"/>
  <c r="R211" i="17" s="1"/>
  <c r="R207" i="17" a="1"/>
  <c r="R207" i="17" s="1"/>
  <c r="R203" i="17" a="1"/>
  <c r="R203" i="17" s="1"/>
  <c r="R109" i="17" a="1"/>
  <c r="R109" i="17" s="1"/>
  <c r="R195" i="17" a="1"/>
  <c r="R195" i="17" s="1"/>
  <c r="R38" i="17" a="1"/>
  <c r="R38" i="17" s="1"/>
  <c r="R183" i="17" a="1"/>
  <c r="R183" i="17" s="1"/>
  <c r="O207" i="17" a="1"/>
  <c r="O207" i="17" s="1"/>
  <c r="O131" i="17" a="1"/>
  <c r="O131" i="17" s="1"/>
  <c r="O107" i="17" a="1"/>
  <c r="O107" i="17" s="1"/>
  <c r="O80" i="17" a="1"/>
  <c r="O80" i="17" s="1"/>
  <c r="O190" i="17" a="1"/>
  <c r="O190" i="17" s="1"/>
  <c r="O30" i="17" a="1"/>
  <c r="O30" i="17" s="1"/>
  <c r="N156" i="17" a="1"/>
  <c r="N156" i="17" s="1"/>
  <c r="N201" i="17" a="1"/>
  <c r="N201" i="17" s="1"/>
  <c r="Q168" i="17"/>
  <c r="W168" i="17" s="1"/>
  <c r="Q34" i="17"/>
  <c r="W34" i="17" s="1"/>
  <c r="V144" i="17" a="1"/>
  <c r="V144" i="17" s="1"/>
  <c r="V95" i="17" a="1"/>
  <c r="V95" i="17" s="1"/>
  <c r="V72" i="17" a="1"/>
  <c r="V72" i="17" s="1"/>
  <c r="V47" i="17" a="1"/>
  <c r="V47" i="17" s="1"/>
  <c r="U211" i="17" a="1"/>
  <c r="U211" i="17" s="1"/>
  <c r="U158" i="17" a="1"/>
  <c r="U158" i="17" s="1"/>
  <c r="U137" i="17" a="1"/>
  <c r="U137" i="17" s="1"/>
  <c r="U200" i="17" a="1"/>
  <c r="U200" i="17" s="1"/>
  <c r="U196" i="17" a="1"/>
  <c r="U196" i="17" s="1"/>
  <c r="U66" i="17" a="1"/>
  <c r="U66" i="17" s="1"/>
  <c r="U43" i="17" a="1"/>
  <c r="U43" i="17" s="1"/>
  <c r="U184" i="17" a="1"/>
  <c r="U184" i="17" s="1"/>
  <c r="T174" i="17" a="1"/>
  <c r="T174" i="17" s="1"/>
  <c r="T151" i="17" a="1"/>
  <c r="T151" i="17" s="1"/>
  <c r="T202" i="17" a="1"/>
  <c r="T202" i="17" s="1"/>
  <c r="T104" i="17" a="1"/>
  <c r="T104" i="17" s="1"/>
  <c r="T83" i="17" a="1"/>
  <c r="T83" i="17" s="1"/>
  <c r="T191" i="17" a="1"/>
  <c r="T191" i="17" s="1"/>
  <c r="T187" i="17" a="1"/>
  <c r="T187" i="17" s="1"/>
  <c r="T15" i="17" a="1"/>
  <c r="T15" i="17" s="1"/>
  <c r="S171" i="17" a="1"/>
  <c r="S171" i="17" s="1"/>
  <c r="S145" i="17" a="1"/>
  <c r="S145" i="17" s="1"/>
  <c r="S121" i="17" a="1"/>
  <c r="S121" i="17" s="1"/>
  <c r="S197" i="17" a="1"/>
  <c r="S197" i="17" s="1"/>
  <c r="S193" i="17" a="1"/>
  <c r="S193" i="17" s="1"/>
  <c r="S50" i="17" a="1"/>
  <c r="S50" i="17" s="1"/>
  <c r="S185" i="17" a="1"/>
  <c r="S185" i="17" s="1"/>
  <c r="R181" i="17" a="1"/>
  <c r="R181" i="17" s="1"/>
  <c r="R157" i="17" a="1"/>
  <c r="R157" i="17" s="1"/>
  <c r="R108" i="17" a="1"/>
  <c r="R108" i="17" s="1"/>
  <c r="R85" i="17" a="1"/>
  <c r="R85" i="17" s="1"/>
  <c r="R191" i="17" a="1"/>
  <c r="R191" i="17" s="1"/>
  <c r="R187" i="17" a="1"/>
  <c r="R187" i="17" s="1"/>
  <c r="R13" i="17" a="1"/>
  <c r="R13" i="17" s="1"/>
  <c r="O211" i="17" a="1"/>
  <c r="O211" i="17" s="1"/>
  <c r="Q211" i="17" s="1"/>
  <c r="W211" i="17" s="1"/>
  <c r="O157" i="17" a="1"/>
  <c r="O157" i="17" s="1"/>
  <c r="Q157" i="17" s="1"/>
  <c r="W157" i="17" s="1"/>
  <c r="O130" i="17" a="1"/>
  <c r="O130" i="17" s="1"/>
  <c r="Q130" i="17" s="1"/>
  <c r="W130" i="17" s="1"/>
  <c r="O194" i="17" a="1"/>
  <c r="O194" i="17" s="1"/>
  <c r="Q194" i="17" s="1"/>
  <c r="W194" i="17" s="1"/>
  <c r="O55" i="17" a="1"/>
  <c r="O55" i="17" s="1"/>
  <c r="O29" i="17" a="1"/>
  <c r="O29" i="17" s="1"/>
  <c r="O4" i="17" a="1"/>
  <c r="O4" i="17" s="1"/>
  <c r="N155" i="17" a="1"/>
  <c r="N155" i="17" s="1"/>
  <c r="N121" i="17" a="1"/>
  <c r="N121" i="17" s="1"/>
  <c r="N38" i="17" a="1"/>
  <c r="N38" i="17" s="1"/>
  <c r="Q169" i="17"/>
  <c r="W169" i="17" s="1"/>
  <c r="Q208" i="17"/>
  <c r="W208" i="17" s="1"/>
  <c r="Q59" i="17"/>
  <c r="W59" i="17" s="1"/>
  <c r="Q135" i="17"/>
  <c r="W135" i="17" s="1"/>
  <c r="Y108" i="17"/>
  <c r="Q108" i="17" s="1"/>
  <c r="W108" i="17" s="1"/>
  <c r="X82" i="17" a="1"/>
  <c r="X82" i="17" s="1"/>
  <c r="Y82" i="17" s="1"/>
  <c r="X58" i="17" a="1"/>
  <c r="X58" i="17" s="1"/>
  <c r="Y58" i="17" s="1"/>
  <c r="Q58" i="17" s="1"/>
  <c r="W58" i="17" s="1"/>
  <c r="X10" i="17" a="1"/>
  <c r="X10" i="17" s="1"/>
  <c r="Y10" i="17" s="1"/>
  <c r="Q10" i="17" s="1"/>
  <c r="W10" i="17" s="1"/>
  <c r="V168" i="17" a="1"/>
  <c r="V168" i="17" s="1"/>
  <c r="V143" i="17" a="1"/>
  <c r="V143" i="17" s="1"/>
  <c r="V119" i="17" a="1"/>
  <c r="V119" i="17" s="1"/>
  <c r="V71" i="17" a="1"/>
  <c r="V71" i="17" s="1"/>
  <c r="V46" i="17" a="1"/>
  <c r="V46" i="17" s="1"/>
  <c r="V23" i="17" a="1"/>
  <c r="V23" i="17" s="1"/>
  <c r="U207" i="17" a="1"/>
  <c r="U207" i="17" s="1"/>
  <c r="U136" i="17" a="1"/>
  <c r="U136" i="17" s="1"/>
  <c r="U115" i="17" a="1"/>
  <c r="U115" i="17" s="1"/>
  <c r="U91" i="17" a="1"/>
  <c r="U91" i="17" s="1"/>
  <c r="U42" i="17" a="1"/>
  <c r="U42" i="17" s="1"/>
  <c r="U19" i="17" a="1"/>
  <c r="U19" i="17" s="1"/>
  <c r="T173" i="17" a="1"/>
  <c r="T173" i="17" s="1"/>
  <c r="T127" i="17" a="1"/>
  <c r="T127" i="17" s="1"/>
  <c r="T61" i="17" a="1"/>
  <c r="T61" i="17" s="1"/>
  <c r="T14" i="17" a="1"/>
  <c r="T14" i="17" s="1"/>
  <c r="S170" i="17" a="1"/>
  <c r="S170" i="17" s="1"/>
  <c r="S144" i="17" a="1"/>
  <c r="S144" i="17" s="1"/>
  <c r="S120" i="17" a="1"/>
  <c r="S120" i="17" s="1"/>
  <c r="S97" i="17" a="1"/>
  <c r="S97" i="17" s="1"/>
  <c r="S73" i="17" a="1"/>
  <c r="S73" i="17" s="1"/>
  <c r="S189" i="17" a="1"/>
  <c r="S189" i="17" s="1"/>
  <c r="S25" i="17" a="1"/>
  <c r="S25" i="17" s="1"/>
  <c r="R180" i="17" a="1"/>
  <c r="R180" i="17" s="1"/>
  <c r="R156" i="17" a="1"/>
  <c r="R156" i="17" s="1"/>
  <c r="R133" i="17" a="1"/>
  <c r="R133" i="17" s="1"/>
  <c r="R107" i="17" a="1"/>
  <c r="R107" i="17" s="1"/>
  <c r="R84" i="17" a="1"/>
  <c r="R84" i="17" s="1"/>
  <c r="R61" i="17" a="1"/>
  <c r="R61" i="17" s="1"/>
  <c r="R37" i="17" a="1"/>
  <c r="R37" i="17" s="1"/>
  <c r="R12" i="17" a="1"/>
  <c r="R12" i="17" s="1"/>
  <c r="O181" i="17" a="1"/>
  <c r="O181" i="17" s="1"/>
  <c r="Q181" i="17" s="1"/>
  <c r="W181" i="17" s="1"/>
  <c r="O156" i="17" a="1"/>
  <c r="O156" i="17" s="1"/>
  <c r="Q156" i="17" s="1"/>
  <c r="W156" i="17" s="1"/>
  <c r="O129" i="17" a="1"/>
  <c r="O129" i="17" s="1"/>
  <c r="O106" i="17" a="1"/>
  <c r="O106" i="17" s="1"/>
  <c r="O79" i="17" a="1"/>
  <c r="O79" i="17" s="1"/>
  <c r="Q79" i="17" s="1"/>
  <c r="W79" i="17" s="1"/>
  <c r="O54" i="17" a="1"/>
  <c r="O54" i="17" s="1"/>
  <c r="Q54" i="17" s="1"/>
  <c r="W54" i="17" s="1"/>
  <c r="O3" i="17" a="1"/>
  <c r="O3" i="17" s="1"/>
  <c r="Q3" i="17" s="1"/>
  <c r="W3" i="17" s="1"/>
  <c r="N154" i="17" a="1"/>
  <c r="N154" i="17" s="1"/>
  <c r="Q9" i="17"/>
  <c r="W9" i="17" s="1"/>
  <c r="V70" i="17" a="1"/>
  <c r="V70" i="17" s="1"/>
  <c r="V45" i="17" a="1"/>
  <c r="V45" i="17" s="1"/>
  <c r="V22" i="17" a="1"/>
  <c r="V22" i="17" s="1"/>
  <c r="U181" i="17" a="1"/>
  <c r="U181" i="17" s="1"/>
  <c r="U157" i="17" a="1"/>
  <c r="U157" i="17" s="1"/>
  <c r="U135" i="17" a="1"/>
  <c r="U135" i="17" s="1"/>
  <c r="U114" i="17" a="1"/>
  <c r="U114" i="17" s="1"/>
  <c r="U90" i="17" a="1"/>
  <c r="U90" i="17" s="1"/>
  <c r="U65" i="17" a="1"/>
  <c r="U65" i="17" s="1"/>
  <c r="U41" i="17" a="1"/>
  <c r="U41" i="17" s="1"/>
  <c r="U18" i="17" a="1"/>
  <c r="U18" i="17" s="1"/>
  <c r="T172" i="17" a="1"/>
  <c r="T172" i="17" s="1"/>
  <c r="T150" i="17" a="1"/>
  <c r="T150" i="17" s="1"/>
  <c r="T126" i="17" a="1"/>
  <c r="T126" i="17" s="1"/>
  <c r="T198" i="17" a="1"/>
  <c r="T198" i="17" s="1"/>
  <c r="T82" i="17" a="1"/>
  <c r="T82" i="17" s="1"/>
  <c r="T60" i="17" a="1"/>
  <c r="T60" i="17" s="1"/>
  <c r="T37" i="17" a="1"/>
  <c r="T37" i="17" s="1"/>
  <c r="T183" i="17" a="1"/>
  <c r="T183" i="17" s="1"/>
  <c r="S209" i="17" a="1"/>
  <c r="S209" i="17" s="1"/>
  <c r="S143" i="17" a="1"/>
  <c r="S143" i="17" s="1"/>
  <c r="S119" i="17" a="1"/>
  <c r="S119" i="17" s="1"/>
  <c r="S96" i="17" a="1"/>
  <c r="S96" i="17" s="1"/>
  <c r="S72" i="17" a="1"/>
  <c r="S72" i="17" s="1"/>
  <c r="S49" i="17" a="1"/>
  <c r="S49" i="17" s="1"/>
  <c r="S24" i="17" a="1"/>
  <c r="S24" i="17" s="1"/>
  <c r="R179" i="17" a="1"/>
  <c r="R179" i="17" s="1"/>
  <c r="R155" i="17" a="1"/>
  <c r="R155" i="17" s="1"/>
  <c r="R132" i="17" a="1"/>
  <c r="R132" i="17" s="1"/>
  <c r="R83" i="17" a="1"/>
  <c r="R83" i="17" s="1"/>
  <c r="R60" i="17" a="1"/>
  <c r="R60" i="17" s="1"/>
  <c r="R36" i="17" a="1"/>
  <c r="R36" i="17" s="1"/>
  <c r="R11" i="17" a="1"/>
  <c r="R11" i="17" s="1"/>
  <c r="O180" i="17" a="1"/>
  <c r="O180" i="17" s="1"/>
  <c r="O155" i="17" a="1"/>
  <c r="O155" i="17" s="1"/>
  <c r="O128" i="17" a="1"/>
  <c r="O128" i="17" s="1"/>
  <c r="Q128" i="17" s="1"/>
  <c r="W128" i="17" s="1"/>
  <c r="O105" i="17" a="1"/>
  <c r="O105" i="17" s="1"/>
  <c r="O78" i="17" a="1"/>
  <c r="O78" i="17" s="1"/>
  <c r="O27" i="17" a="1"/>
  <c r="O27" i="17" s="1"/>
  <c r="N211" i="17" a="1"/>
  <c r="N211" i="17" s="1"/>
  <c r="N153" i="17" a="1"/>
  <c r="N153" i="17" s="1"/>
  <c r="N120" i="17" a="1"/>
  <c r="N120" i="17" s="1"/>
  <c r="Q162" i="17"/>
  <c r="W162" i="17" s="1"/>
  <c r="Q57" i="17"/>
  <c r="W57" i="17" s="1"/>
  <c r="Q56" i="17"/>
  <c r="W56" i="17" s="1"/>
  <c r="Q32" i="17"/>
  <c r="W32" i="17" s="1"/>
  <c r="V141" i="17" a="1"/>
  <c r="V141" i="17" s="1"/>
  <c r="V93" i="17" a="1"/>
  <c r="V93" i="17" s="1"/>
  <c r="V44" i="17" a="1"/>
  <c r="V44" i="17" s="1"/>
  <c r="U180" i="17" a="1"/>
  <c r="U180" i="17" s="1"/>
  <c r="U156" i="17" a="1"/>
  <c r="U156" i="17" s="1"/>
  <c r="U134" i="17" a="1"/>
  <c r="U134" i="17" s="1"/>
  <c r="U113" i="17" a="1"/>
  <c r="U113" i="17" s="1"/>
  <c r="U89" i="17" a="1"/>
  <c r="U89" i="17" s="1"/>
  <c r="U64" i="17" a="1"/>
  <c r="U64" i="17" s="1"/>
  <c r="U40" i="17" a="1"/>
  <c r="U40" i="17" s="1"/>
  <c r="U17" i="17" a="1"/>
  <c r="U17" i="17" s="1"/>
  <c r="T171" i="17" a="1"/>
  <c r="T171" i="17" s="1"/>
  <c r="T149" i="17" a="1"/>
  <c r="T149" i="17" s="1"/>
  <c r="T125" i="17" a="1"/>
  <c r="T125" i="17" s="1"/>
  <c r="T103" i="17" a="1"/>
  <c r="T103" i="17" s="1"/>
  <c r="T81" i="17" a="1"/>
  <c r="T81" i="17" s="1"/>
  <c r="T59" i="17" a="1"/>
  <c r="T59" i="17" s="1"/>
  <c r="T36" i="17" a="1"/>
  <c r="T36" i="17" s="1"/>
  <c r="T13" i="17" a="1"/>
  <c r="T13" i="17" s="1"/>
  <c r="S169" i="17" a="1"/>
  <c r="S169" i="17" s="1"/>
  <c r="S142" i="17" a="1"/>
  <c r="S142" i="17" s="1"/>
  <c r="S95" i="17" a="1"/>
  <c r="S95" i="17" s="1"/>
  <c r="S71" i="17" a="1"/>
  <c r="S71" i="17" s="1"/>
  <c r="S48" i="17" a="1"/>
  <c r="S48" i="17" s="1"/>
  <c r="S23" i="17" a="1"/>
  <c r="S23" i="17" s="1"/>
  <c r="R178" i="17" a="1"/>
  <c r="R178" i="17" s="1"/>
  <c r="R154" i="17" a="1"/>
  <c r="R154" i="17" s="1"/>
  <c r="R131" i="17" a="1"/>
  <c r="R131" i="17" s="1"/>
  <c r="R106" i="17" a="1"/>
  <c r="R106" i="17" s="1"/>
  <c r="R82" i="17" a="1"/>
  <c r="R82" i="17" s="1"/>
  <c r="R59" i="17" a="1"/>
  <c r="R59" i="17" s="1"/>
  <c r="R35" i="17" a="1"/>
  <c r="R35" i="17" s="1"/>
  <c r="R10" i="17" a="1"/>
  <c r="R10" i="17" s="1"/>
  <c r="O179" i="17" a="1"/>
  <c r="O179" i="17" s="1"/>
  <c r="O154" i="17" a="1"/>
  <c r="O154" i="17" s="1"/>
  <c r="Q154" i="17" s="1"/>
  <c r="W154" i="17" s="1"/>
  <c r="O202" i="17" a="1"/>
  <c r="O202" i="17" s="1"/>
  <c r="O104" i="17" a="1"/>
  <c r="O104" i="17" s="1"/>
  <c r="O53" i="17" a="1"/>
  <c r="O53" i="17" s="1"/>
  <c r="Q53" i="17" s="1"/>
  <c r="W53" i="17" s="1"/>
  <c r="O26" i="17" a="1"/>
  <c r="O26" i="17" s="1"/>
  <c r="Q26" i="17" s="1"/>
  <c r="W26" i="17" s="1"/>
  <c r="N181" i="17" a="1"/>
  <c r="N181" i="17" s="1"/>
  <c r="Q81" i="17"/>
  <c r="W81" i="17" s="1"/>
  <c r="Q161" i="17"/>
  <c r="W161" i="17" s="1"/>
  <c r="Q80" i="17"/>
  <c r="W80" i="17" s="1"/>
  <c r="Q160" i="17"/>
  <c r="W160" i="17" s="1"/>
  <c r="X186" i="17" a="1"/>
  <c r="X186" i="17" s="1"/>
  <c r="Y186" i="17" s="1"/>
  <c r="Q186" i="17" s="1"/>
  <c r="W186" i="17" s="1"/>
  <c r="X182" i="17" a="1"/>
  <c r="X182" i="17" s="1"/>
  <c r="Y182" i="17" s="1"/>
  <c r="V165" i="17" a="1"/>
  <c r="V165" i="17" s="1"/>
  <c r="V140" i="17" a="1"/>
  <c r="V140" i="17" s="1"/>
  <c r="V117" i="17" a="1"/>
  <c r="V117" i="17" s="1"/>
  <c r="V92" i="17" a="1"/>
  <c r="V92" i="17" s="1"/>
  <c r="V69" i="17" a="1"/>
  <c r="V69" i="17" s="1"/>
  <c r="V188" i="17" a="1"/>
  <c r="V188" i="17" s="1"/>
  <c r="V21" i="17" a="1"/>
  <c r="V21" i="17" s="1"/>
  <c r="U179" i="17" a="1"/>
  <c r="U179" i="17" s="1"/>
  <c r="U203" i="17" a="1"/>
  <c r="U203" i="17" s="1"/>
  <c r="U112" i="17" a="1"/>
  <c r="U112" i="17" s="1"/>
  <c r="U39" i="17" a="1"/>
  <c r="U39" i="17" s="1"/>
  <c r="U16" i="17" a="1"/>
  <c r="U16" i="17" s="1"/>
  <c r="T170" i="17" a="1"/>
  <c r="T170" i="17" s="1"/>
  <c r="T124" i="17" a="1"/>
  <c r="T124" i="17" s="1"/>
  <c r="T80" i="17" a="1"/>
  <c r="T80" i="17" s="1"/>
  <c r="T58" i="17" a="1"/>
  <c r="T58" i="17" s="1"/>
  <c r="S168" i="17" a="1"/>
  <c r="S168" i="17" s="1"/>
  <c r="S141" i="17" a="1"/>
  <c r="S141" i="17" s="1"/>
  <c r="S118" i="17" a="1"/>
  <c r="S118" i="17" s="1"/>
  <c r="S94" i="17" a="1"/>
  <c r="S94" i="17" s="1"/>
  <c r="S70" i="17" a="1"/>
  <c r="S70" i="17" s="1"/>
  <c r="S47" i="17" a="1"/>
  <c r="S47" i="17" s="1"/>
  <c r="S22" i="17" a="1"/>
  <c r="S22" i="17" s="1"/>
  <c r="R177" i="17" a="1"/>
  <c r="R177" i="17" s="1"/>
  <c r="R153" i="17" a="1"/>
  <c r="R153" i="17" s="1"/>
  <c r="R130" i="17" a="1"/>
  <c r="R130" i="17" s="1"/>
  <c r="R81" i="17" a="1"/>
  <c r="R81" i="17" s="1"/>
  <c r="R58" i="17" a="1"/>
  <c r="R58" i="17" s="1"/>
  <c r="R9" i="17" a="1"/>
  <c r="R9" i="17" s="1"/>
  <c r="O178" i="17" a="1"/>
  <c r="O178" i="17" s="1"/>
  <c r="O153" i="17" a="1"/>
  <c r="O153" i="17" s="1"/>
  <c r="Q153" i="17" s="1"/>
  <c r="W153" i="17" s="1"/>
  <c r="O127" i="17" a="1"/>
  <c r="O127" i="17" s="1"/>
  <c r="Q127" i="17" s="1"/>
  <c r="W127" i="17" s="1"/>
  <c r="O198" i="17" a="1"/>
  <c r="O198" i="17" s="1"/>
  <c r="O77" i="17" a="1"/>
  <c r="O77" i="17" s="1"/>
  <c r="Q77" i="17" s="1"/>
  <c r="W77" i="17" s="1"/>
  <c r="O52" i="17" a="1"/>
  <c r="O52" i="17" s="1"/>
  <c r="O185" i="17" a="1"/>
  <c r="O185" i="17" s="1"/>
  <c r="Q185" i="17" s="1"/>
  <c r="W185" i="17" s="1"/>
  <c r="N180" i="17" a="1"/>
  <c r="N180" i="17" s="1"/>
  <c r="N149" i="17" a="1"/>
  <c r="N149" i="17" s="1"/>
  <c r="Q134" i="17"/>
  <c r="W134" i="17" s="1"/>
  <c r="Q31" i="17"/>
  <c r="W31" i="17" s="1"/>
  <c r="V164" i="17" a="1"/>
  <c r="V164" i="17" s="1"/>
  <c r="V204" i="17" a="1"/>
  <c r="V204" i="17" s="1"/>
  <c r="V116" i="17" a="1"/>
  <c r="V116" i="17" s="1"/>
  <c r="V196" i="17" a="1"/>
  <c r="V196" i="17" s="1"/>
  <c r="V68" i="17" a="1"/>
  <c r="V68" i="17" s="1"/>
  <c r="V43" i="17" a="1"/>
  <c r="V43" i="17" s="1"/>
  <c r="V20" i="17" a="1"/>
  <c r="V20" i="17" s="1"/>
  <c r="U178" i="17" a="1"/>
  <c r="U178" i="17" s="1"/>
  <c r="U155" i="17" a="1"/>
  <c r="U155" i="17" s="1"/>
  <c r="U133" i="17" a="1"/>
  <c r="U133" i="17" s="1"/>
  <c r="U88" i="17" a="1"/>
  <c r="U88" i="17" s="1"/>
  <c r="U63" i="17" a="1"/>
  <c r="U63" i="17" s="1"/>
  <c r="U38" i="17" a="1"/>
  <c r="U38" i="17" s="1"/>
  <c r="U15" i="17" a="1"/>
  <c r="U15" i="17" s="1"/>
  <c r="T209" i="17" a="1"/>
  <c r="T209" i="17" s="1"/>
  <c r="T148" i="17" a="1"/>
  <c r="T148" i="17" s="1"/>
  <c r="T102" i="17" a="1"/>
  <c r="T102" i="17" s="1"/>
  <c r="T194" i="17" a="1"/>
  <c r="T194" i="17" s="1"/>
  <c r="T57" i="17" a="1"/>
  <c r="T57" i="17" s="1"/>
  <c r="T35" i="17" a="1"/>
  <c r="T35" i="17" s="1"/>
  <c r="T12" i="17" a="1"/>
  <c r="T12" i="17" s="1"/>
  <c r="S140" i="17" a="1"/>
  <c r="S140" i="17" s="1"/>
  <c r="S93" i="17" a="1"/>
  <c r="S93" i="17" s="1"/>
  <c r="S69" i="17" a="1"/>
  <c r="S69" i="17" s="1"/>
  <c r="S46" i="17" a="1"/>
  <c r="S46" i="17" s="1"/>
  <c r="R176" i="17" a="1"/>
  <c r="R176" i="17" s="1"/>
  <c r="R152" i="17" a="1"/>
  <c r="R152" i="17" s="1"/>
  <c r="R129" i="17" a="1"/>
  <c r="R129" i="17" s="1"/>
  <c r="R105" i="17" a="1"/>
  <c r="R105" i="17" s="1"/>
  <c r="R80" i="17" a="1"/>
  <c r="R80" i="17" s="1"/>
  <c r="R57" i="17" a="1"/>
  <c r="R57" i="17" s="1"/>
  <c r="R34" i="17" a="1"/>
  <c r="R34" i="17" s="1"/>
  <c r="R8" i="17" a="1"/>
  <c r="R8" i="17" s="1"/>
  <c r="O177" i="17" a="1"/>
  <c r="O177" i="17" s="1"/>
  <c r="Q177" i="17" s="1"/>
  <c r="W177" i="17" s="1"/>
  <c r="O152" i="17" a="1"/>
  <c r="O152" i="17" s="1"/>
  <c r="Q152" i="17" s="1"/>
  <c r="W152" i="17" s="1"/>
  <c r="O126" i="17" a="1"/>
  <c r="O126" i="17" s="1"/>
  <c r="O103" i="17" a="1"/>
  <c r="O103" i="17" s="1"/>
  <c r="O76" i="17" a="1"/>
  <c r="O76" i="17" s="1"/>
  <c r="O51" i="17" a="1"/>
  <c r="O51" i="17" s="1"/>
  <c r="O25" i="17" a="1"/>
  <c r="O25" i="17" s="1"/>
  <c r="N179" i="17" a="1"/>
  <c r="N179" i="17" s="1"/>
  <c r="N148" i="17" a="1"/>
  <c r="N148" i="17" s="1"/>
  <c r="Q49" i="17"/>
  <c r="W49" i="17" s="1"/>
  <c r="Y47" i="17"/>
  <c r="Q47" i="17" s="1"/>
  <c r="W47" i="17" s="1"/>
  <c r="Y20" i="17"/>
  <c r="Q20" i="17" s="1"/>
  <c r="W20" i="17" s="1"/>
  <c r="Q63" i="17"/>
  <c r="W63" i="17" s="1"/>
  <c r="Y171" i="17"/>
  <c r="Q171" i="17" s="1"/>
  <c r="W171" i="17" s="1"/>
  <c r="Q178" i="17"/>
  <c r="W178" i="17" s="1"/>
  <c r="Q175" i="17"/>
  <c r="W175" i="17" s="1"/>
  <c r="Y121" i="17"/>
  <c r="Q121" i="17" s="1"/>
  <c r="W121" i="17" s="1"/>
  <c r="N68" i="17" a="1"/>
  <c r="N68" i="17" s="1"/>
  <c r="N43" i="17" a="1"/>
  <c r="N43" i="17" s="1"/>
  <c r="Q210" i="17"/>
  <c r="W210" i="17" s="1"/>
  <c r="Q95" i="17"/>
  <c r="W95" i="17" s="1"/>
  <c r="Q146" i="17"/>
  <c r="W146" i="17" s="1"/>
  <c r="Q120" i="17"/>
  <c r="W120" i="17" s="1"/>
  <c r="Q94" i="17"/>
  <c r="W94" i="17" s="1"/>
  <c r="Y73" i="17"/>
  <c r="Q73" i="17" s="1"/>
  <c r="W73" i="17" s="1"/>
  <c r="O2" i="17" a="1"/>
  <c r="O2" i="17" s="1"/>
  <c r="Q2" i="17" s="1"/>
  <c r="W2" i="17" s="1"/>
  <c r="N138" i="17" a="1"/>
  <c r="N138" i="17" s="1"/>
  <c r="N91" i="17" a="1"/>
  <c r="N91" i="17" s="1"/>
  <c r="N42" i="17" a="1"/>
  <c r="N42" i="17" s="1"/>
  <c r="N41" i="17" a="1"/>
  <c r="N41" i="17" s="1"/>
  <c r="N17" i="17" a="1"/>
  <c r="N17" i="17" s="1"/>
  <c r="N89" i="17" a="1"/>
  <c r="N89" i="17" s="1"/>
  <c r="N40" i="17" a="1"/>
  <c r="N40" i="17" s="1"/>
  <c r="N39" i="17" a="1"/>
  <c r="N39" i="17" s="1"/>
  <c r="N2" i="17" a="1"/>
  <c r="N2" i="17" s="1"/>
  <c r="Y11" i="17"/>
  <c r="Q11" i="17" s="1"/>
  <c r="W11" i="17" s="1"/>
  <c r="N134" i="17" a="1"/>
  <c r="N134" i="17" s="1"/>
  <c r="N83" i="17" a="1"/>
  <c r="N83" i="17" s="1"/>
  <c r="Q200" i="17"/>
  <c r="W200" i="17" s="1"/>
  <c r="N87" i="17" a="1"/>
  <c r="N87" i="17" s="1"/>
  <c r="N62" i="17" a="1"/>
  <c r="N62" i="17" s="1"/>
  <c r="N187" i="17" a="1"/>
  <c r="N187" i="17" s="1"/>
  <c r="Q141" i="17"/>
  <c r="W141" i="17" s="1"/>
  <c r="Q91" i="17"/>
  <c r="W91" i="17" s="1"/>
  <c r="N191" i="17" a="1"/>
  <c r="N191" i="17" s="1"/>
  <c r="N36" i="17" a="1"/>
  <c r="N36" i="17" s="1"/>
  <c r="N50" i="17" a="1"/>
  <c r="N50" i="17" s="1"/>
  <c r="Q92" i="17"/>
  <c r="W92" i="17" s="1"/>
  <c r="Y30" i="17"/>
  <c r="Q30" i="17" s="1"/>
  <c r="W30" i="17" s="1"/>
  <c r="Q90" i="17"/>
  <c r="W90" i="17" s="1"/>
  <c r="Q8" i="17"/>
  <c r="W8" i="17" s="1"/>
  <c r="N61" i="17" a="1"/>
  <c r="N61" i="17" s="1"/>
  <c r="N35" i="17" a="1"/>
  <c r="N35" i="17" s="1"/>
  <c r="Q71" i="17"/>
  <c r="W71" i="17" s="1"/>
  <c r="Y113" i="17"/>
  <c r="Q113" i="17" s="1"/>
  <c r="W113" i="17" s="1"/>
  <c r="N195" i="17" a="1"/>
  <c r="N195" i="17" s="1"/>
  <c r="N34" i="17" a="1"/>
  <c r="N34" i="17" s="1"/>
  <c r="N49" i="17" a="1"/>
  <c r="N49" i="17" s="1"/>
  <c r="Q67" i="17"/>
  <c r="W67" i="17" s="1"/>
  <c r="Y48" i="17"/>
  <c r="Q48" i="17" s="1"/>
  <c r="W48" i="17" s="1"/>
  <c r="Q27" i="17"/>
  <c r="W27" i="17" s="1"/>
  <c r="Q7" i="17"/>
  <c r="W7" i="17" s="1"/>
  <c r="N85" i="17" a="1"/>
  <c r="N85" i="17" s="1"/>
  <c r="N60" i="17" a="1"/>
  <c r="N60" i="17" s="1"/>
  <c r="N33" i="17" a="1"/>
  <c r="N33" i="17" s="1"/>
  <c r="Q12" i="17"/>
  <c r="W12" i="17" s="1"/>
  <c r="Q189" i="17"/>
  <c r="W189" i="17" s="1"/>
  <c r="N84" i="17" a="1"/>
  <c r="N84" i="17" s="1"/>
  <c r="N59" i="17" a="1"/>
  <c r="N59" i="17" s="1"/>
  <c r="N32" i="17" a="1"/>
  <c r="N32" i="17" s="1"/>
  <c r="Y144" i="17"/>
  <c r="Q144" i="17" s="1"/>
  <c r="W144" i="17" s="1"/>
  <c r="N58" i="17" a="1"/>
  <c r="N58" i="17" s="1"/>
  <c r="N186" i="17" a="1"/>
  <c r="N186" i="17" s="1"/>
  <c r="Q167" i="17"/>
  <c r="W167" i="17" s="1"/>
  <c r="Q136" i="17"/>
  <c r="W136" i="17" s="1"/>
  <c r="Q110" i="17"/>
  <c r="W110" i="17" s="1"/>
  <c r="Y195" i="17"/>
  <c r="Q195" i="17" s="1"/>
  <c r="W195" i="17" s="1"/>
  <c r="Y46" i="17"/>
  <c r="Q46" i="17" s="1"/>
  <c r="W46" i="17" s="1"/>
  <c r="N105" i="17" a="1"/>
  <c r="N105" i="17" s="1"/>
  <c r="N81" i="17" a="1"/>
  <c r="N81" i="17" s="1"/>
  <c r="N31" i="17" a="1"/>
  <c r="N31" i="17" s="1"/>
  <c r="Y170" i="17"/>
  <c r="Q170" i="17" s="1"/>
  <c r="W170" i="17" s="1"/>
  <c r="N202" i="17" a="1"/>
  <c r="N202" i="17" s="1"/>
  <c r="N104" i="17" a="1"/>
  <c r="N104" i="17" s="1"/>
  <c r="N57" i="17" a="1"/>
  <c r="N57" i="17" s="1"/>
  <c r="Q117" i="17"/>
  <c r="W117" i="17" s="1"/>
  <c r="Y109" i="17"/>
  <c r="Q109" i="17" s="1"/>
  <c r="W109" i="17" s="1"/>
  <c r="O14" i="17" a="1"/>
  <c r="O14" i="17" s="1"/>
  <c r="Q14" i="17" s="1"/>
  <c r="W14" i="17" s="1"/>
  <c r="N172" i="17" a="1"/>
  <c r="N172" i="17" s="1"/>
  <c r="N152" i="17" a="1"/>
  <c r="N152" i="17" s="1"/>
  <c r="N80" i="17" a="1"/>
  <c r="N80" i="17" s="1"/>
  <c r="N29" i="17" a="1"/>
  <c r="N29" i="17" s="1"/>
  <c r="Q145" i="17"/>
  <c r="W145" i="17" s="1"/>
  <c r="Q116" i="17"/>
  <c r="W116" i="17" s="1"/>
  <c r="Y163" i="17"/>
  <c r="Q163" i="17" s="1"/>
  <c r="W163" i="17" s="1"/>
  <c r="Q203" i="17"/>
  <c r="W203" i="17" s="1"/>
  <c r="N206" i="17" a="1"/>
  <c r="N206" i="17" s="1"/>
  <c r="N127" i="17" a="1"/>
  <c r="N127" i="17" s="1"/>
  <c r="N194" i="17" a="1"/>
  <c r="N194" i="17" s="1"/>
  <c r="N190" i="17" a="1"/>
  <c r="N190" i="17" s="1"/>
  <c r="Q205" i="17"/>
  <c r="W205" i="17" s="1"/>
  <c r="Q83" i="17"/>
  <c r="W83" i="17" s="1"/>
  <c r="N79" i="17" a="1"/>
  <c r="N79" i="17" s="1"/>
  <c r="N55" i="17" a="1"/>
  <c r="N55" i="17" s="1"/>
  <c r="N26" i="17" a="1"/>
  <c r="N26" i="17" s="1"/>
  <c r="Q132" i="17"/>
  <c r="W132" i="17" s="1"/>
  <c r="Q82" i="17"/>
  <c r="W82" i="17" s="1"/>
  <c r="Q22" i="17"/>
  <c r="W22" i="17" s="1"/>
  <c r="N101" i="17" a="1"/>
  <c r="N101" i="17" s="1"/>
  <c r="N54" i="17" a="1"/>
  <c r="N54" i="17" s="1"/>
  <c r="N185" i="17" a="1"/>
  <c r="N185" i="17" s="1"/>
  <c r="Q172" i="17"/>
  <c r="W172" i="17" s="1"/>
  <c r="Q106" i="17"/>
  <c r="W106" i="17" s="1"/>
  <c r="Q62" i="17"/>
  <c r="W62" i="17" s="1"/>
  <c r="Q158" i="17"/>
  <c r="W158" i="17" s="1"/>
  <c r="Y131" i="17"/>
  <c r="Q131" i="17" s="1"/>
  <c r="W131" i="17" s="1"/>
  <c r="Q105" i="17"/>
  <c r="W105" i="17" s="1"/>
  <c r="Y191" i="17"/>
  <c r="Q191" i="17" s="1"/>
  <c r="W191" i="17" s="1"/>
  <c r="N53" i="17" a="1"/>
  <c r="N53" i="17" s="1"/>
  <c r="N25" i="17" a="1"/>
  <c r="N25" i="17" s="1"/>
  <c r="N15" i="17" a="1"/>
  <c r="N15" i="17" s="1"/>
  <c r="Q207" i="17"/>
  <c r="W207" i="17" s="1"/>
  <c r="Q104" i="17"/>
  <c r="W104" i="17" s="1"/>
  <c r="N77" i="17" a="1"/>
  <c r="N77" i="17" s="1"/>
  <c r="N22" i="17" a="1"/>
  <c r="N22" i="17" s="1"/>
  <c r="Q198" i="17"/>
  <c r="W198" i="17" s="1"/>
  <c r="N76" i="17" a="1"/>
  <c r="N76" i="17" s="1"/>
  <c r="N184" i="17" a="1"/>
  <c r="N184" i="17" s="1"/>
  <c r="Q133" i="17"/>
  <c r="W133" i="17" s="1"/>
  <c r="Y103" i="17"/>
  <c r="Q103" i="17" s="1"/>
  <c r="W103" i="17" s="1"/>
  <c r="N51" i="17" a="1"/>
  <c r="N51" i="17" s="1"/>
  <c r="N19" i="17" a="1"/>
  <c r="N19" i="17" s="1"/>
  <c r="Q159" i="17"/>
  <c r="W159" i="17" s="1"/>
  <c r="Y102" i="17"/>
  <c r="Q102" i="17" s="1"/>
  <c r="W102" i="17" s="1"/>
  <c r="Y40" i="17"/>
  <c r="Q40" i="17" s="1"/>
  <c r="W40" i="17" s="1"/>
  <c r="N74" i="17" a="1"/>
  <c r="N74" i="17" s="1"/>
  <c r="N189" i="17" a="1"/>
  <c r="N189" i="17" s="1"/>
  <c r="N8" i="17" a="1"/>
  <c r="N8" i="17" s="1"/>
  <c r="Y60" i="17"/>
  <c r="Q60" i="17" s="1"/>
  <c r="W60" i="17" s="1"/>
  <c r="N48" i="17" a="1"/>
  <c r="N48" i="17" s="1"/>
  <c r="N3" i="17" a="1"/>
  <c r="N3" i="17" s="1"/>
  <c r="Q126" i="17"/>
  <c r="W126" i="17" s="1"/>
  <c r="N96" i="17" a="1"/>
  <c r="N96" i="17" s="1"/>
  <c r="N73" i="17" a="1"/>
  <c r="N73" i="17" s="1"/>
  <c r="N47" i="17" a="1"/>
  <c r="N47" i="17" s="1"/>
  <c r="Y184" i="17"/>
  <c r="Q184" i="17" s="1"/>
  <c r="W184" i="17" s="1"/>
  <c r="Q180" i="17"/>
  <c r="W180" i="17" s="1"/>
  <c r="Y99" i="17"/>
  <c r="Q99" i="17" s="1"/>
  <c r="W99" i="17" s="1"/>
  <c r="O28" i="17" a="1"/>
  <c r="O28" i="17" s="1"/>
  <c r="Q28" i="17" s="1"/>
  <c r="W28" i="17" s="1"/>
  <c r="O182" i="17" a="1"/>
  <c r="O182" i="17" s="1"/>
  <c r="Q182" i="17" s="1"/>
  <c r="W182" i="17" s="1"/>
  <c r="N165" i="17" a="1"/>
  <c r="N165" i="17" s="1"/>
  <c r="Q197" i="17"/>
  <c r="W197" i="17" s="1"/>
  <c r="Q179" i="17"/>
  <c r="W179" i="17" s="1"/>
  <c r="Q206" i="17"/>
  <c r="W206" i="17" s="1"/>
  <c r="Q18" i="17"/>
  <c r="W18" i="17" s="1"/>
  <c r="N94" i="17" a="1"/>
  <c r="N94" i="17" s="1"/>
  <c r="N72" i="17" a="1"/>
  <c r="N72" i="17" s="1"/>
  <c r="N46" i="17" a="1"/>
  <c r="N46" i="17" s="1"/>
  <c r="Q129" i="17"/>
  <c r="W129" i="17" s="1"/>
  <c r="Q190" i="17"/>
  <c r="W190" i="17" s="1"/>
  <c r="N141" i="17" a="1"/>
  <c r="N141" i="17" s="1"/>
  <c r="N118" i="17" a="1"/>
  <c r="N118" i="17" s="1"/>
  <c r="N93" i="17" a="1"/>
  <c r="N93" i="17" s="1"/>
  <c r="Y150" i="17"/>
  <c r="Q150" i="17" s="1"/>
  <c r="W150" i="17" s="1"/>
  <c r="Y123" i="17"/>
  <c r="Q123" i="17" s="1"/>
  <c r="W123" i="17" s="1"/>
  <c r="Y76" i="17"/>
  <c r="Q76" i="17" s="1"/>
  <c r="W76" i="17" s="1"/>
  <c r="Y55" i="17"/>
  <c r="Q55" i="17" s="1"/>
  <c r="W55" i="17" s="1"/>
  <c r="N116" i="17" a="1"/>
  <c r="N116" i="17" s="1"/>
  <c r="Y107" i="17"/>
  <c r="Q107" i="17" s="1"/>
  <c r="W107" i="17" s="1"/>
  <c r="Q97" i="17"/>
  <c r="W97" i="17" s="1"/>
  <c r="Y35" i="17"/>
  <c r="Q35" i="17" s="1"/>
  <c r="W35" i="17" s="1"/>
  <c r="N92" i="17" a="1"/>
  <c r="N92" i="17" s="1"/>
  <c r="N70" i="17" a="1"/>
  <c r="N70" i="17" s="1"/>
  <c r="N44" i="17" a="1"/>
  <c r="N44" i="17" s="1"/>
  <c r="Y202" i="17"/>
  <c r="Q202" i="17" s="1"/>
  <c r="W202" i="17" s="1"/>
  <c r="Q84" i="17"/>
  <c r="W84" i="17" s="1"/>
  <c r="Y201" i="17"/>
  <c r="Q201" i="17" s="1"/>
  <c r="W201" i="17" s="1"/>
  <c r="W72" i="17"/>
  <c r="W17" i="17"/>
  <c r="N14" i="17" a="1"/>
  <c r="N14" i="17" s="1"/>
  <c r="N183" i="17" a="1"/>
  <c r="N183" i="17" s="1"/>
  <c r="N13" i="17" a="1"/>
  <c r="N13" i="17" s="1"/>
  <c r="N30" i="17" a="1"/>
  <c r="N30" i="17" s="1"/>
  <c r="N12" i="17" a="1"/>
  <c r="N12" i="17" s="1"/>
  <c r="N11" i="17" a="1"/>
  <c r="N11" i="17" s="1"/>
  <c r="N27" i="17" a="1"/>
  <c r="N27" i="17" s="1"/>
  <c r="N10" i="17" a="1"/>
  <c r="N10" i="17" s="1"/>
  <c r="N188" i="17" a="1"/>
  <c r="N188" i="17" s="1"/>
  <c r="N9" i="17" a="1"/>
  <c r="N9" i="17" s="1"/>
  <c r="N182" i="17" a="1"/>
  <c r="N182" i="17" s="1"/>
  <c r="N7" i="17" a="1"/>
  <c r="N7" i="17" s="1"/>
  <c r="N24" i="17" a="1"/>
  <c r="N24" i="17" s="1"/>
  <c r="N6" i="17" a="1"/>
  <c r="N6" i="17" s="1"/>
  <c r="N23" i="17" a="1"/>
  <c r="N23" i="17" s="1"/>
  <c r="N5" i="17" a="1"/>
  <c r="N5" i="17" s="1"/>
  <c r="N21" i="17" a="1"/>
  <c r="N21" i="17" s="1"/>
  <c r="N20" i="17" a="1"/>
  <c r="N20" i="17" s="1"/>
  <c r="N4" i="17" a="1"/>
  <c r="N4" i="17" s="1"/>
  <c r="N37" i="17" a="1"/>
  <c r="N37" i="17" s="1"/>
  <c r="N18" i="17" a="1"/>
  <c r="N18" i="17" s="1"/>
  <c r="N151" i="17" a="1"/>
  <c r="N151" i="17" s="1"/>
  <c r="N117" i="17" a="1"/>
  <c r="N117" i="17" s="1"/>
  <c r="N67" i="17" a="1"/>
  <c r="N67" i="17" s="1"/>
  <c r="N16" i="17" a="1"/>
  <c r="N16" i="17" s="1"/>
  <c r="N66" i="17" a="1"/>
  <c r="N66" i="17" s="1"/>
  <c r="Q52" i="17" l="1"/>
  <c r="W52" i="17" s="1"/>
  <c r="Q78" i="17"/>
  <c r="W78" i="17" s="1"/>
  <c r="Q25" i="17"/>
  <c r="W25" i="17" s="1"/>
  <c r="Q155" i="17"/>
  <c r="W155" i="17" s="1"/>
  <c r="Q4" i="17"/>
  <c r="W4" i="17" s="1"/>
  <c r="Q51" i="17"/>
  <c r="W51" i="17" s="1"/>
  <c r="Q29" i="17"/>
  <c r="W29" i="17" s="1"/>
  <c r="Q5" i="17"/>
  <c r="W5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<sst xmlns="http://schemas.openxmlformats.org/spreadsheetml/2006/main" count="3064" uniqueCount="102">
  <si>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</si>
  <si>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</si>
  <si>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</si>
  <si>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</si>
  <si>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</si>
  <si>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</si>
  <si>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</si>
  <si>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</si>
  <si>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</si>
  <si>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</si>
  <si>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</si>
  <si>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</si>
  <si>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</si>
  <si>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</si>
  <si>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</si>
  <si>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</si>
  <si>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</si>
  <si>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</si>
  <si>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</si>
  <si>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</si>
  <si>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</si>
  <si>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</si>
  <si>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</si>
  <si>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</si>
  <si>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</si>
  <si>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</si>
  <si>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</si>
  <si>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</si>
  <si>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</si>
  <si>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</si>
  <si>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</si>
  <si>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</si>
  <si>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</si>
  <si>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</si>
  <si>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</si>
  <si>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</si>
  <si>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</si>
  <si>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</si>
  <si>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</si>
  <si>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</si>
  <si>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</si>
  <si>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</si>
  <si>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</si>
  <si>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</si>
  <si>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</si>
  <si>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</si>
  <si>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</si>
  <si>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</si>
  <si>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</si>
  <si>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</si>
  <si>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</si>
  <si>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</si>
  <si>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</si>
  <si>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</si>
  <si>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</si>
  <si>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</si>
  <si>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</si>
  <si>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</si>
  <si>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</si>
  <si>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</si>
  <si>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</si>
  <si>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</si>
  <si>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</si>
  <si>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</si>
  <si>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</si>
  <si>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</si>
  <si>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</si>
  <si>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C:\Users\Lenovo\Desktop\sem2\CS5233\Assignment\ass1\Model1.p</t>
  </si>
  <si>
    <t>2025-02-11 20:42:49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</si>
  <si>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</si>
  <si>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</si>
  <si>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</si>
  <si>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</si>
  <si>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</si>
  <si>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</si>
  <si>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</si>
  <si>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</si>
  <si>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Service Process.Queue</t>
  </si>
  <si>
    <t>Waiting Time</t>
  </si>
  <si>
    <t>Queue</t>
  </si>
  <si>
    <t>WIP</t>
  </si>
  <si>
    <t>Service Counter</t>
  </si>
  <si>
    <t>Instantaneous Utilization</t>
  </si>
  <si>
    <t>Resource</t>
  </si>
  <si>
    <t>Number Busy</t>
  </si>
  <si>
    <t>Number Scheduled</t>
  </si>
  <si>
    <t>Number Waiting</t>
  </si>
  <si>
    <t>customer served</t>
  </si>
  <si>
    <t>Count</t>
  </si>
  <si>
    <t>User Specified</t>
  </si>
  <si>
    <t>waiting time over 6mins</t>
  </si>
  <si>
    <t>Customer.NumberIn</t>
  </si>
  <si>
    <t>Number In</t>
  </si>
  <si>
    <t>Customer.NumberOut</t>
  </si>
  <si>
    <t>Number Out</t>
  </si>
  <si>
    <t>Service Counter.NumberSeized</t>
  </si>
  <si>
    <t>Total Number Seized</t>
  </si>
  <si>
    <t>Service Counter.ScheduledUtilization</t>
  </si>
  <si>
    <t>Scheduled 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</si>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</sst>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numFmt numFmtId="178" formatCode="[=300000000000000000000]&quot;Correlated&quot;;;"/>
    </dxf>
    <dxf>
      <numFmt numFmtId="177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7" formatCode="[=200000000000000000000]&quot;Insufficient&quot;;;"/>
    </dxf>
    <dxf>
      <numFmt numFmtId="178" formatCode="[=300000000000000000000]&quot;Correlated&quot;;;"/>
    </dxf>
    <dxf>
      <numFmt numFmtId="179" formatCode="[=1]&quot;Yes&quot;;;"/>
    </dxf>
    <dxf>
      <numFmt numFmtId="179" formatCode="[=1]&quot;Yes&quot;;;"/>
    </dxf>
    <dxf>
      <numFmt numFmtId="180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9" formatCode="[=1]&quot;Yes&quot;;;"/>
      <border>
        <left/>
        <right/>
        <top/>
        <bottom/>
      </border>
    </dxf>
    <dxf>
      <numFmt numFmtId="180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7" formatCode="[=200000000000000000000]&quot;Insufficient&quot;;;"/>
    </dxf>
    <dxf>
      <numFmt numFmtId="177" formatCode="[=200000000000000000000]&quot;Insufficient&quot;;;"/>
    </dxf>
    <dxf>
      <numFmt numFmtId="181" formatCode="[=0]&quot;Days&quot;;;"/>
    </dxf>
    <dxf>
      <numFmt numFmtId="182" formatCode="[=1]&quot;Hours&quot;;;"/>
    </dxf>
    <dxf>
      <numFmt numFmtId="183" formatCode="[=2]&quot;Minutes&quot;;;"/>
    </dxf>
    <dxf>
      <numFmt numFmtId="18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3213888886" createdVersion="7" refreshedVersion="8" minRefreshableVersion="3" recordCount="1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27">
        <s v="Customer"/>
        <s v="Service Counter"/>
        <s v="Service Process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2.3455432883242699E-2" maxValue="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1" maxValue="7"/>
    </cacheField>
    <cacheField name="LastRecordedValue" numFmtId="0">
      <sharedItems containsSemiMixedTypes="0" containsString="0" containsNumber="1" minValue="0" maxValue="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8.1225742124235056E-2" maxValue="2"/>
    </cacheField>
    <cacheField name="StDevOfAverage" numFmtId="0">
      <sharedItems containsSemiMixedTypes="0" containsString="0" containsNumber="1" minValue="0" maxValue="0.1123050971643301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4.1935412470375577E-2"/>
    </cacheField>
    <cacheField name="MinimumAverage" numFmtId="0">
      <sharedItems containsSemiMixedTypes="0" containsString="0" containsNumber="1" minValue="2.3455432883242699E-2" maxValue="2"/>
    </cacheField>
    <cacheField name="MaximumAverage" numFmtId="0">
      <sharedItems containsSemiMixedTypes="0" containsString="0" containsNumber="1" minValue="0.18892160918798101" maxValue="2"/>
    </cacheField>
    <cacheField name="SummaryHalfWidth" numFmtId="0">
      <sharedItems containsSemiMixedTypes="0" containsString="0" containsNumber="1" minValue="0" maxValue="4.193541247037557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3213888886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3213888886" createdVersion="7" refreshedVersion="8" minRefreshableVersion="3" recordCount="2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01">
        <s v="Customer"/>
        <s v="Service Process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6.0570535223218798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240685415010012"/>
    </cacheField>
    <cacheField name="Maximum" numFmtId="0">
      <sharedItems containsSemiMixedTypes="0" containsString="0" containsNumber="1" minValue="0" maxValue="33.351429551716201"/>
    </cacheField>
    <cacheField name="NumberObservations" numFmtId="0">
      <sharedItems containsSemiMixedTypes="0" containsString="0" containsNumber="1" containsInteger="1" minValue="70" maxValue="103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4.6400860420021628"/>
    </cacheField>
    <cacheField name="StDevOfAverage" numFmtId="0">
      <sharedItems containsSemiMixedTypes="0" containsString="0" containsNumber="1" minValue="0" maxValue="0.5840079299788402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2180721449694937"/>
    </cacheField>
    <cacheField name="MinimumAverage" numFmtId="0">
      <sharedItems containsSemiMixedTypes="0" containsString="0" containsNumber="1" minValue="0" maxValue="3.4413810037220798"/>
    </cacheField>
    <cacheField name="MaximumAverage" numFmtId="0">
      <sharedItems containsSemiMixedTypes="0" containsString="0" containsNumber="1" minValue="0" maxValue="6.0570535223218798"/>
    </cacheField>
    <cacheField name="OverallMinimum" numFmtId="0">
      <sharedItems containsSemiMixedTypes="0" containsString="0" containsNumber="1" minValue="0" maxValue="3.13770240211397E-4"/>
    </cacheField>
    <cacheField name="OverallMaximum" numFmtId="0">
      <sharedItems containsSemiMixedTypes="0" containsString="0" containsNumber="1" minValue="0" maxValue="33.351429551716201"/>
    </cacheField>
    <cacheField name="AverageNumberObservations" numFmtId="0">
      <sharedItems containsSemiMixedTypes="0" containsString="0" containsNumber="1" minValue="89.166666666666671" maxValue="89.733333333333334"/>
    </cacheField>
    <cacheField name="SummaryHalfWidth" numFmtId="0">
      <sharedItems containsSemiMixedTypes="0" containsString="0" containsNumber="1" minValue="0" maxValue="0.2180721449694937"/>
    </cacheField>
    <cacheField name="RepsWithStatObserved" numFmtId="0">
      <sharedItems containsSemiMixedTypes="0" containsString="0" containsNumber="1" containsInteger="1" minValue="30" maxValue="3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3214120371" createdVersion="7" refreshedVersion="8" minRefreshableVersion="3" recordCount="1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83">
        <s v="Customer.NumberIn"/>
        <s v="Customer.NumberOut"/>
        <s v="Service Counter.NumberSeized"/>
        <s v="Service Counte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24637585883753399" maxValue="10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34420349255945865" maxValue="89.733333333333334"/>
    </cacheField>
    <cacheField name="StandardDeviation" numFmtId="0">
      <sharedItems containsSemiMixedTypes="0" containsString="0" containsNumber="1" minValue="4.5304829879571427E-2" maxValue="8.021236181852362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.6917101501813702E-2" maxValue="2.9951788146897829"/>
    </cacheField>
    <cacheField name="Minimum" numFmtId="0">
      <sharedItems containsSemiMixedTypes="0" containsString="0" containsNumber="1" minValue="0.24637585883753399" maxValue="71"/>
    </cacheField>
    <cacheField name="Maximum" numFmtId="0">
      <sharedItems containsSemiMixedTypes="0" containsString="0" containsNumber="1" minValue="0.43753875749565602" maxValue="1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3214120371" createdVersion="7" refreshedVersion="8" minRefreshableVersion="3" recordCount="6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6">
        <s v="customer served"/>
        <s v="waiting time over 6min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0" maxValue="103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1.8333333333333333" maxValue="89.166666666666671"/>
    </cacheField>
    <cacheField name="StandardDeviation" numFmtId="0">
      <sharedItems containsSemiMixedTypes="0" containsString="0" containsNumber="1" minValue="2.0858031337217993" maxValue="7.965803348596156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.77885169020099576" maxValue="2.9744798545740272"/>
    </cacheField>
    <cacheField name="Minimum" numFmtId="0">
      <sharedItems containsSemiMixedTypes="0" containsString="0" containsNumber="1" containsInteger="1" minValue="0" maxValue="70"/>
    </cacheField>
    <cacheField name="Maximum" numFmtId="0">
      <sharedItems containsSemiMixedTypes="0" containsString="0" containsNumber="1" containsInteger="1" minValue="9" maxValue="1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0:42:49"/>
    <n v="1"/>
    <x v="0"/>
    <x v="0"/>
    <x v="0"/>
    <n v="0.76046300733049299"/>
    <n v="2E+20"/>
    <n v="0"/>
    <n v="4"/>
    <n v="0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1"/>
    <x v="1"/>
    <x v="1"/>
    <x v="1"/>
    <n v="0.354108351509345"/>
    <n v="2E+20"/>
    <n v="0"/>
    <n v="1"/>
    <n v="0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1"/>
    <x v="1"/>
    <x v="2"/>
    <x v="1"/>
    <n v="0.708216703018689"/>
    <n v="2E+20"/>
    <n v="0"/>
    <n v="2"/>
    <n v="0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1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1"/>
    <x v="2"/>
    <x v="4"/>
    <x v="2"/>
    <n v="5.2246304311803597E-2"/>
    <n v="2E+20"/>
    <n v="0"/>
    <n v="2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2"/>
    <x v="0"/>
    <x v="0"/>
    <x v="0"/>
    <n v="0.89591057831457399"/>
    <n v="2E+20"/>
    <n v="0"/>
    <n v="5"/>
    <n v="1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2"/>
    <x v="1"/>
    <x v="1"/>
    <x v="1"/>
    <n v="0.40412492404054001"/>
    <n v="2E+20"/>
    <n v="0"/>
    <n v="1"/>
    <n v="0.5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2"/>
    <x v="1"/>
    <x v="2"/>
    <x v="1"/>
    <n v="0.80824984808108102"/>
    <n v="2E+20"/>
    <n v="0"/>
    <n v="2"/>
    <n v="1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2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2"/>
    <x v="2"/>
    <x v="4"/>
    <x v="2"/>
    <n v="8.7660730233493106E-2"/>
    <n v="2E+20"/>
    <n v="0"/>
    <n v="3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3"/>
    <x v="0"/>
    <x v="0"/>
    <x v="0"/>
    <n v="0.82418370512183703"/>
    <n v="2E+20"/>
    <n v="0"/>
    <n v="4"/>
    <n v="0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3"/>
    <x v="1"/>
    <x v="1"/>
    <x v="1"/>
    <n v="0.38192949867303899"/>
    <n v="2E+20"/>
    <n v="0"/>
    <n v="1"/>
    <n v="0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3"/>
    <x v="1"/>
    <x v="2"/>
    <x v="1"/>
    <n v="0.76385899734607898"/>
    <n v="2E+20"/>
    <n v="0"/>
    <n v="2"/>
    <n v="0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3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3"/>
    <x v="2"/>
    <x v="4"/>
    <x v="2"/>
    <n v="6.03247077757584E-2"/>
    <n v="2E+20"/>
    <n v="0"/>
    <n v="2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4"/>
    <x v="0"/>
    <x v="0"/>
    <x v="0"/>
    <n v="0.75055545171386695"/>
    <n v="2E+20"/>
    <n v="0"/>
    <n v="5"/>
    <n v="1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4"/>
    <x v="1"/>
    <x v="1"/>
    <x v="1"/>
    <n v="0.33853517456830601"/>
    <n v="2E+20"/>
    <n v="0"/>
    <n v="1"/>
    <n v="0.5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4"/>
    <x v="1"/>
    <x v="2"/>
    <x v="1"/>
    <n v="0.67707034913661202"/>
    <n v="2E+20"/>
    <n v="0"/>
    <n v="2"/>
    <n v="1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4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4"/>
    <x v="2"/>
    <x v="4"/>
    <x v="2"/>
    <n v="7.3485102577254505E-2"/>
    <n v="2E+20"/>
    <n v="0"/>
    <n v="3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5"/>
    <x v="0"/>
    <x v="0"/>
    <x v="0"/>
    <n v="0.63600361001472405"/>
    <n v="2E+20"/>
    <n v="0"/>
    <n v="4"/>
    <n v="2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5"/>
    <x v="1"/>
    <x v="1"/>
    <x v="1"/>
    <n v="0.29697533889166999"/>
    <n v="2E+20"/>
    <n v="0"/>
    <n v="1"/>
    <n v="1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5"/>
    <x v="1"/>
    <x v="2"/>
    <x v="1"/>
    <n v="0.59395067778334099"/>
    <n v="2E+20"/>
    <n v="0"/>
    <n v="2"/>
    <n v="2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5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5"/>
    <x v="2"/>
    <x v="4"/>
    <x v="2"/>
    <n v="4.2052932231383303E-2"/>
    <n v="2E+20"/>
    <n v="0"/>
    <n v="2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6"/>
    <x v="0"/>
    <x v="0"/>
    <x v="0"/>
    <n v="0.86540197056082002"/>
    <n v="2E+20"/>
    <n v="0"/>
    <n v="5"/>
    <n v="1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6"/>
    <x v="1"/>
    <x v="1"/>
    <x v="1"/>
    <n v="0.38267550564104102"/>
    <n v="2E+20"/>
    <n v="0"/>
    <n v="1"/>
    <n v="0.5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6"/>
    <x v="1"/>
    <x v="2"/>
    <x v="1"/>
    <n v="0.76535101128208105"/>
    <n v="2E+20"/>
    <n v="0"/>
    <n v="2"/>
    <n v="1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6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6"/>
    <x v="2"/>
    <x v="4"/>
    <x v="2"/>
    <n v="0.100050959278739"/>
    <n v="2E+20"/>
    <n v="0"/>
    <n v="3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7"/>
    <x v="0"/>
    <x v="0"/>
    <x v="0"/>
    <n v="0.86414993875341395"/>
    <n v="2E+20"/>
    <n v="0"/>
    <n v="7"/>
    <n v="1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7"/>
    <x v="1"/>
    <x v="1"/>
    <x v="1"/>
    <n v="0.37910240114661697"/>
    <n v="2E+20"/>
    <n v="0"/>
    <n v="1"/>
    <n v="0.5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7"/>
    <x v="1"/>
    <x v="2"/>
    <x v="1"/>
    <n v="0.75820480229323495"/>
    <n v="2E+20"/>
    <n v="0"/>
    <n v="2"/>
    <n v="1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7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7"/>
    <x v="2"/>
    <x v="4"/>
    <x v="2"/>
    <n v="0.105945136460179"/>
    <n v="2E+20"/>
    <n v="0"/>
    <n v="5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8"/>
    <x v="0"/>
    <x v="0"/>
    <x v="0"/>
    <n v="0.67400554346914798"/>
    <n v="2E+20"/>
    <n v="0"/>
    <n v="4"/>
    <n v="1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8"/>
    <x v="1"/>
    <x v="1"/>
    <x v="1"/>
    <n v="0.31497856917895301"/>
    <n v="2E+20"/>
    <n v="0"/>
    <n v="1"/>
    <n v="0.5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8"/>
    <x v="1"/>
    <x v="2"/>
    <x v="1"/>
    <n v="0.62995713835790501"/>
    <n v="2E+20"/>
    <n v="0"/>
    <n v="2"/>
    <n v="1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8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8"/>
    <x v="2"/>
    <x v="4"/>
    <x v="2"/>
    <n v="4.4048405111242701E-2"/>
    <n v="2E+20"/>
    <n v="0"/>
    <n v="2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9"/>
    <x v="0"/>
    <x v="0"/>
    <x v="0"/>
    <n v="0.646801453897069"/>
    <n v="2E+20"/>
    <n v="0"/>
    <n v="4"/>
    <n v="1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9"/>
    <x v="1"/>
    <x v="1"/>
    <x v="1"/>
    <n v="0.30049152490128"/>
    <n v="2E+20"/>
    <n v="0"/>
    <n v="1"/>
    <n v="0.5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9"/>
    <x v="1"/>
    <x v="2"/>
    <x v="1"/>
    <n v="0.60098304980255901"/>
    <n v="2E+20"/>
    <n v="0"/>
    <n v="2"/>
    <n v="1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9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9"/>
    <x v="2"/>
    <x v="4"/>
    <x v="2"/>
    <n v="4.5818404094510101E-2"/>
    <n v="2E+20"/>
    <n v="0"/>
    <n v="2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10"/>
    <x v="0"/>
    <x v="0"/>
    <x v="0"/>
    <n v="0.51620715055831201"/>
    <n v="2E+20"/>
    <n v="0"/>
    <n v="4"/>
    <n v="0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10"/>
    <x v="1"/>
    <x v="1"/>
    <x v="1"/>
    <n v="0.24637585883753399"/>
    <n v="2E+20"/>
    <n v="0"/>
    <n v="1"/>
    <n v="0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10"/>
    <x v="1"/>
    <x v="2"/>
    <x v="1"/>
    <n v="0.49275171767506898"/>
    <n v="2E+20"/>
    <n v="0"/>
    <n v="2"/>
    <n v="0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10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10"/>
    <x v="2"/>
    <x v="4"/>
    <x v="2"/>
    <n v="2.3455432883242699E-2"/>
    <n v="2E+20"/>
    <n v="0"/>
    <n v="2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11"/>
    <x v="0"/>
    <x v="0"/>
    <x v="0"/>
    <n v="0.72964211456174599"/>
    <n v="2E+20"/>
    <n v="0"/>
    <n v="5"/>
    <n v="1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11"/>
    <x v="1"/>
    <x v="1"/>
    <x v="1"/>
    <n v="0.32920760688839401"/>
    <n v="2E+20"/>
    <n v="0"/>
    <n v="1"/>
    <n v="0.5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11"/>
    <x v="1"/>
    <x v="2"/>
    <x v="1"/>
    <n v="0.65841521377678802"/>
    <n v="2E+20"/>
    <n v="0"/>
    <n v="2"/>
    <n v="1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11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11"/>
    <x v="2"/>
    <x v="4"/>
    <x v="2"/>
    <n v="7.1226900784957803E-2"/>
    <n v="2E+20"/>
    <n v="0"/>
    <n v="3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12"/>
    <x v="0"/>
    <x v="0"/>
    <x v="0"/>
    <n v="0.76941513537227502"/>
    <n v="2E+20"/>
    <n v="0"/>
    <n v="5"/>
    <n v="0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12"/>
    <x v="1"/>
    <x v="1"/>
    <x v="1"/>
    <n v="0.31648513473560702"/>
    <n v="2E+20"/>
    <n v="0"/>
    <n v="1"/>
    <n v="0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12"/>
    <x v="1"/>
    <x v="2"/>
    <x v="1"/>
    <n v="0.63297026947121404"/>
    <n v="2E+20"/>
    <n v="0"/>
    <n v="2"/>
    <n v="0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12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12"/>
    <x v="2"/>
    <x v="4"/>
    <x v="2"/>
    <n v="0.136444865901062"/>
    <n v="2E+20"/>
    <n v="0"/>
    <n v="3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13"/>
    <x v="0"/>
    <x v="0"/>
    <x v="0"/>
    <n v="0.82325329387136303"/>
    <n v="2E+20"/>
    <n v="0"/>
    <n v="5"/>
    <n v="0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13"/>
    <x v="1"/>
    <x v="1"/>
    <x v="1"/>
    <n v="0.36324191265556199"/>
    <n v="2E+20"/>
    <n v="0"/>
    <n v="1"/>
    <n v="0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13"/>
    <x v="1"/>
    <x v="2"/>
    <x v="1"/>
    <n v="0.72648382531112399"/>
    <n v="2E+20"/>
    <n v="0"/>
    <n v="2"/>
    <n v="0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13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13"/>
    <x v="2"/>
    <x v="4"/>
    <x v="2"/>
    <n v="9.6769468560239102E-2"/>
    <n v="2E+20"/>
    <n v="0"/>
    <n v="3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14"/>
    <x v="0"/>
    <x v="0"/>
    <x v="0"/>
    <n v="0.78821396812135502"/>
    <n v="2E+20"/>
    <n v="0"/>
    <n v="5"/>
    <n v="0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14"/>
    <x v="1"/>
    <x v="1"/>
    <x v="1"/>
    <n v="0.34109498428740198"/>
    <n v="2E+20"/>
    <n v="0"/>
    <n v="1"/>
    <n v="0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14"/>
    <x v="1"/>
    <x v="2"/>
    <x v="1"/>
    <n v="0.68218996857480496"/>
    <n v="2E+20"/>
    <n v="0"/>
    <n v="2"/>
    <n v="0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14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14"/>
    <x v="2"/>
    <x v="4"/>
    <x v="2"/>
    <n v="0.10602399954654999"/>
    <n v="2E+20"/>
    <n v="0"/>
    <n v="3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15"/>
    <x v="0"/>
    <x v="0"/>
    <x v="0"/>
    <n v="0.715646199768328"/>
    <n v="2E+20"/>
    <n v="0"/>
    <n v="4"/>
    <n v="0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15"/>
    <x v="1"/>
    <x v="1"/>
    <x v="1"/>
    <n v="0.33032968943257102"/>
    <n v="2E+20"/>
    <n v="0"/>
    <n v="1"/>
    <n v="0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15"/>
    <x v="1"/>
    <x v="2"/>
    <x v="1"/>
    <n v="0.66065937886514103"/>
    <n v="2E+20"/>
    <n v="0"/>
    <n v="2"/>
    <n v="0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15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15"/>
    <x v="2"/>
    <x v="4"/>
    <x v="2"/>
    <n v="5.4986820903186601E-2"/>
    <n v="2E+20"/>
    <n v="0"/>
    <n v="2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16"/>
    <x v="0"/>
    <x v="0"/>
    <x v="0"/>
    <n v="0.96520009407777796"/>
    <n v="2E+20"/>
    <n v="0"/>
    <n v="4"/>
    <n v="1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16"/>
    <x v="1"/>
    <x v="1"/>
    <x v="1"/>
    <n v="0.43753875749565602"/>
    <n v="2E+20"/>
    <n v="0"/>
    <n v="1"/>
    <n v="0.5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16"/>
    <x v="1"/>
    <x v="2"/>
    <x v="1"/>
    <n v="0.87507751499131203"/>
    <n v="2E+20"/>
    <n v="0"/>
    <n v="2"/>
    <n v="1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16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16"/>
    <x v="2"/>
    <x v="4"/>
    <x v="2"/>
    <n v="9.0122579086466398E-2"/>
    <n v="2E+20"/>
    <n v="0"/>
    <n v="2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17"/>
    <x v="0"/>
    <x v="0"/>
    <x v="0"/>
    <n v="0.56341365017616996"/>
    <n v="2E+20"/>
    <n v="0"/>
    <n v="5"/>
    <n v="1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17"/>
    <x v="1"/>
    <x v="1"/>
    <x v="1"/>
    <n v="0.260547287284498"/>
    <n v="2E+20"/>
    <n v="0"/>
    <n v="1"/>
    <n v="0.5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17"/>
    <x v="1"/>
    <x v="2"/>
    <x v="1"/>
    <n v="0.52109457456899599"/>
    <n v="2E+20"/>
    <n v="0"/>
    <n v="2"/>
    <n v="1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17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17"/>
    <x v="2"/>
    <x v="4"/>
    <x v="2"/>
    <n v="4.23190756071741E-2"/>
    <n v="2E+20"/>
    <n v="0"/>
    <n v="3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18"/>
    <x v="0"/>
    <x v="0"/>
    <x v="0"/>
    <n v="0.95209508466359205"/>
    <n v="2E+20"/>
    <n v="0"/>
    <n v="5"/>
    <n v="2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18"/>
    <x v="1"/>
    <x v="1"/>
    <x v="1"/>
    <n v="0.43600870849824802"/>
    <n v="2E+20"/>
    <n v="0"/>
    <n v="1"/>
    <n v="1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18"/>
    <x v="1"/>
    <x v="2"/>
    <x v="1"/>
    <n v="0.87201741699649704"/>
    <n v="2E+20"/>
    <n v="0"/>
    <n v="2"/>
    <n v="2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18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18"/>
    <x v="2"/>
    <x v="4"/>
    <x v="2"/>
    <n v="8.0077667667095301E-2"/>
    <n v="2E+20"/>
    <n v="0"/>
    <n v="3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19"/>
    <x v="0"/>
    <x v="0"/>
    <x v="0"/>
    <n v="0.76657378363131801"/>
    <n v="2E+20"/>
    <n v="0"/>
    <n v="5"/>
    <n v="0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19"/>
    <x v="1"/>
    <x v="1"/>
    <x v="1"/>
    <n v="0.34128185232251301"/>
    <n v="2E+20"/>
    <n v="0"/>
    <n v="1"/>
    <n v="0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19"/>
    <x v="1"/>
    <x v="2"/>
    <x v="1"/>
    <n v="0.68256370464502603"/>
    <n v="2E+20"/>
    <n v="0"/>
    <n v="2"/>
    <n v="0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19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19"/>
    <x v="2"/>
    <x v="4"/>
    <x v="2"/>
    <n v="8.40100789862923E-2"/>
    <n v="2E+20"/>
    <n v="0"/>
    <n v="3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20"/>
    <x v="0"/>
    <x v="0"/>
    <x v="0"/>
    <n v="0.61956264985488796"/>
    <n v="2E+20"/>
    <n v="0"/>
    <n v="4"/>
    <n v="1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20"/>
    <x v="1"/>
    <x v="1"/>
    <x v="1"/>
    <n v="0.29353894592413499"/>
    <n v="2E+20"/>
    <n v="0"/>
    <n v="1"/>
    <n v="0.5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20"/>
    <x v="1"/>
    <x v="2"/>
    <x v="1"/>
    <n v="0.58707789184827097"/>
    <n v="2E+20"/>
    <n v="0"/>
    <n v="2"/>
    <n v="1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20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20"/>
    <x v="2"/>
    <x v="4"/>
    <x v="2"/>
    <n v="3.2484758006617098E-2"/>
    <n v="2E+20"/>
    <n v="0"/>
    <n v="2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21"/>
    <x v="0"/>
    <x v="0"/>
    <x v="0"/>
    <n v="0.71390589229434798"/>
    <n v="2E+20"/>
    <n v="0"/>
    <n v="6"/>
    <n v="0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21"/>
    <x v="1"/>
    <x v="1"/>
    <x v="1"/>
    <n v="0.312032872940396"/>
    <n v="2E+20"/>
    <n v="0"/>
    <n v="1"/>
    <n v="0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21"/>
    <x v="1"/>
    <x v="2"/>
    <x v="1"/>
    <n v="0.624065745880791"/>
    <n v="2E+20"/>
    <n v="0"/>
    <n v="2"/>
    <n v="0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21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21"/>
    <x v="2"/>
    <x v="4"/>
    <x v="2"/>
    <n v="8.9840146413556907E-2"/>
    <n v="2E+20"/>
    <n v="0"/>
    <n v="4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22"/>
    <x v="0"/>
    <x v="0"/>
    <x v="0"/>
    <n v="0.95342509147659205"/>
    <n v="2E+20"/>
    <n v="0"/>
    <n v="6"/>
    <n v="0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22"/>
    <x v="1"/>
    <x v="1"/>
    <x v="1"/>
    <n v="0.39603896182558501"/>
    <n v="2E+20"/>
    <n v="0"/>
    <n v="1"/>
    <n v="0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22"/>
    <x v="1"/>
    <x v="2"/>
    <x v="1"/>
    <n v="0.79207792365117102"/>
    <n v="2E+20"/>
    <n v="0"/>
    <n v="2"/>
    <n v="0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22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22"/>
    <x v="2"/>
    <x v="4"/>
    <x v="2"/>
    <n v="0.16134716782542199"/>
    <n v="2E+20"/>
    <n v="0"/>
    <n v="4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23"/>
    <x v="0"/>
    <x v="0"/>
    <x v="0"/>
    <n v="0.70089217055984498"/>
    <n v="2E+20"/>
    <n v="0"/>
    <n v="4"/>
    <n v="0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23"/>
    <x v="1"/>
    <x v="1"/>
    <x v="1"/>
    <n v="0.31864533215706398"/>
    <n v="2E+20"/>
    <n v="0"/>
    <n v="1"/>
    <n v="0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23"/>
    <x v="1"/>
    <x v="2"/>
    <x v="1"/>
    <n v="0.63729066431412695"/>
    <n v="2E+20"/>
    <n v="0"/>
    <n v="2"/>
    <n v="0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23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23"/>
    <x v="2"/>
    <x v="4"/>
    <x v="2"/>
    <n v="6.3601506245719003E-2"/>
    <n v="2E+20"/>
    <n v="0"/>
    <n v="2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24"/>
    <x v="0"/>
    <x v="0"/>
    <x v="0"/>
    <n v="0.72374908289668405"/>
    <n v="2E+20"/>
    <n v="0"/>
    <n v="4"/>
    <n v="0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24"/>
    <x v="1"/>
    <x v="1"/>
    <x v="1"/>
    <n v="0.32507361550254599"/>
    <n v="2E+20"/>
    <n v="0"/>
    <n v="1"/>
    <n v="0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24"/>
    <x v="1"/>
    <x v="2"/>
    <x v="1"/>
    <n v="0.65014723100509197"/>
    <n v="2E+20"/>
    <n v="0"/>
    <n v="2"/>
    <n v="0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24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24"/>
    <x v="2"/>
    <x v="4"/>
    <x v="2"/>
    <n v="7.3601851891592004E-2"/>
    <n v="2E+20"/>
    <n v="0"/>
    <n v="2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25"/>
    <x v="0"/>
    <x v="0"/>
    <x v="0"/>
    <n v="0.69215877092239897"/>
    <n v="2E+20"/>
    <n v="0"/>
    <n v="4"/>
    <n v="0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25"/>
    <x v="1"/>
    <x v="1"/>
    <x v="1"/>
    <n v="0.31227866322202602"/>
    <n v="2E+20"/>
    <n v="0"/>
    <n v="1"/>
    <n v="0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25"/>
    <x v="1"/>
    <x v="2"/>
    <x v="1"/>
    <n v="0.62455732644405104"/>
    <n v="2E+20"/>
    <n v="0"/>
    <n v="2"/>
    <n v="0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25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25"/>
    <x v="2"/>
    <x v="4"/>
    <x v="2"/>
    <n v="6.7601444478348399E-2"/>
    <n v="2E+20"/>
    <n v="0"/>
    <n v="2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26"/>
    <x v="0"/>
    <x v="0"/>
    <x v="0"/>
    <n v="0.86828186312218703"/>
    <n v="2E+20"/>
    <n v="0"/>
    <n v="6"/>
    <n v="2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26"/>
    <x v="1"/>
    <x v="1"/>
    <x v="1"/>
    <n v="0.33968012696710298"/>
    <n v="2E+20"/>
    <n v="0"/>
    <n v="1"/>
    <n v="1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26"/>
    <x v="1"/>
    <x v="2"/>
    <x v="1"/>
    <n v="0.67936025393420496"/>
    <n v="2E+20"/>
    <n v="0"/>
    <n v="2"/>
    <n v="2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26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26"/>
    <x v="2"/>
    <x v="4"/>
    <x v="2"/>
    <n v="0.18892160918798101"/>
    <n v="2E+20"/>
    <n v="0"/>
    <n v="4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27"/>
    <x v="0"/>
    <x v="0"/>
    <x v="0"/>
    <n v="0.88653022879404797"/>
    <n v="2E+20"/>
    <n v="0"/>
    <n v="7"/>
    <n v="1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27"/>
    <x v="1"/>
    <x v="1"/>
    <x v="1"/>
    <n v="0.376790322565695"/>
    <n v="2E+20"/>
    <n v="0"/>
    <n v="1"/>
    <n v="0.5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27"/>
    <x v="1"/>
    <x v="2"/>
    <x v="1"/>
    <n v="0.753580645131391"/>
    <n v="2E+20"/>
    <n v="0"/>
    <n v="2"/>
    <n v="1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27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27"/>
    <x v="2"/>
    <x v="4"/>
    <x v="2"/>
    <n v="0.13294958366265699"/>
    <n v="2E+20"/>
    <n v="0"/>
    <n v="5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28"/>
    <x v="0"/>
    <x v="0"/>
    <x v="0"/>
    <n v="0.80873292326438395"/>
    <n v="2E+20"/>
    <n v="0"/>
    <n v="4"/>
    <n v="0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28"/>
    <x v="1"/>
    <x v="1"/>
    <x v="1"/>
    <n v="0.36919214235279701"/>
    <n v="2E+20"/>
    <n v="0"/>
    <n v="1"/>
    <n v="0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28"/>
    <x v="1"/>
    <x v="2"/>
    <x v="1"/>
    <n v="0.73838428470559403"/>
    <n v="2E+20"/>
    <n v="0"/>
    <n v="2"/>
    <n v="0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28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28"/>
    <x v="2"/>
    <x v="4"/>
    <x v="2"/>
    <n v="7.0348638558791102E-2"/>
    <n v="2E+20"/>
    <n v="0"/>
    <n v="2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29"/>
    <x v="0"/>
    <x v="0"/>
    <x v="0"/>
    <n v="0.79834806934489699"/>
    <n v="2E+20"/>
    <n v="0"/>
    <n v="5"/>
    <n v="0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29"/>
    <x v="1"/>
    <x v="1"/>
    <x v="1"/>
    <n v="0.34655940766917498"/>
    <n v="2E+20"/>
    <n v="0"/>
    <n v="1"/>
    <n v="0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29"/>
    <x v="1"/>
    <x v="2"/>
    <x v="1"/>
    <n v="0.69311881533834996"/>
    <n v="2E+20"/>
    <n v="0"/>
    <n v="2"/>
    <n v="0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29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29"/>
    <x v="2"/>
    <x v="4"/>
    <x v="2"/>
    <n v="0.10522925400654801"/>
    <n v="2E+20"/>
    <n v="0"/>
    <n v="3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  <r>
    <x v="0"/>
    <s v="2025-02-11 20:42:49"/>
    <n v="30"/>
    <x v="0"/>
    <x v="0"/>
    <x v="0"/>
    <n v="0.81625934078611095"/>
    <n v="2E+20"/>
    <n v="0"/>
    <n v="4"/>
    <n v="0"/>
    <n v="0"/>
    <s v="Unnamed ProjectCustomerWIPEntity"/>
    <n v="30"/>
    <n v="0.76963272724315213"/>
    <n v="0.11230509716433017"/>
    <n v="0.95"/>
    <n v="4.1935412470375577E-2"/>
    <n v="0.51620715055831201"/>
    <n v="0.96520009407777796"/>
    <n v="4.1935412470375577E-2"/>
  </r>
  <r>
    <x v="0"/>
    <s v="2025-02-11 20:42:49"/>
    <n v="30"/>
    <x v="1"/>
    <x v="1"/>
    <x v="1"/>
    <n v="0.38124130466846101"/>
    <n v="2E+20"/>
    <n v="0"/>
    <n v="1"/>
    <n v="0"/>
    <n v="0"/>
    <s v="Unnamed ProjectService CounterInstantaneous UtilizationResource"/>
    <n v="30"/>
    <n v="0.34420349255945865"/>
    <n v="4.5304829879571427E-2"/>
    <n v="0.95"/>
    <n v="1.6917101501813702E-2"/>
    <n v="0.24637585883753399"/>
    <n v="0.43753875749565602"/>
    <n v="1.6917101501813702E-2"/>
  </r>
  <r>
    <x v="0"/>
    <s v="2025-02-11 20:42:49"/>
    <n v="30"/>
    <x v="1"/>
    <x v="2"/>
    <x v="1"/>
    <n v="0.76248260933692202"/>
    <n v="2E+20"/>
    <n v="0"/>
    <n v="2"/>
    <n v="0"/>
    <n v="0"/>
    <s v="Unnamed ProjectService CounterNumber BusyResource"/>
    <n v="30"/>
    <n v="0.68840698511891729"/>
    <n v="9.0609659759142855E-2"/>
    <n v="0.95"/>
    <n v="3.3834203003627404E-2"/>
    <n v="0.49275171767506898"/>
    <n v="0.87507751499131203"/>
    <n v="3.3834203003627404E-2"/>
  </r>
  <r>
    <x v="0"/>
    <s v="2025-02-11 20:42:49"/>
    <n v="30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2:49"/>
    <n v="30"/>
    <x v="2"/>
    <x v="4"/>
    <x v="2"/>
    <n v="5.3776731449189701E-2"/>
    <n v="2E+20"/>
    <n v="0"/>
    <n v="2"/>
    <n v="0"/>
    <n v="0"/>
    <s v="Unnamed ProjectService Process.QueueNumber WaitingQueue"/>
    <n v="30"/>
    <n v="8.1225742124235056E-2"/>
    <n v="3.7734406201772173E-2"/>
    <n v="0.95"/>
    <n v="1.4090258842664636E-2"/>
    <n v="2.3455432883242699E-2"/>
    <n v="0.18892160918798101"/>
    <n v="1.4090258842664636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s v="2025-02-11 20:42:49"/>
    <n v="1"/>
    <x v="0"/>
    <x v="0"/>
    <x v="0"/>
    <n v="0"/>
    <n v="2E+20"/>
    <n v="0"/>
    <n v="0"/>
    <n v="82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"/>
    <x v="0"/>
    <x v="1"/>
    <x v="0"/>
    <n v="0"/>
    <n v="2E+20"/>
    <n v="0"/>
    <n v="0"/>
    <n v="82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"/>
    <x v="0"/>
    <x v="2"/>
    <x v="0"/>
    <n v="5.0079271214447099"/>
    <n v="2E+20"/>
    <n v="0.240685415010012"/>
    <n v="21.9918115238357"/>
    <n v="82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1"/>
    <x v="0"/>
    <x v="3"/>
    <x v="0"/>
    <n v="0"/>
    <n v="2E+20"/>
    <n v="0"/>
    <n v="0"/>
    <n v="82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"/>
    <x v="0"/>
    <x v="4"/>
    <x v="0"/>
    <n v="4.6638660930499096"/>
    <n v="2E+20"/>
    <n v="1.2404049856513701E-2"/>
    <n v="20.5913616663738"/>
    <n v="82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1"/>
    <x v="0"/>
    <x v="5"/>
    <x v="0"/>
    <n v="0.34406102839480401"/>
    <n v="2E+20"/>
    <n v="0"/>
    <n v="5.1618756049953198"/>
    <n v="82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2"/>
    <x v="0"/>
    <x v="0"/>
    <x v="0"/>
    <n v="0"/>
    <n v="2E+20"/>
    <n v="0"/>
    <n v="0"/>
    <n v="100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"/>
    <x v="0"/>
    <x v="1"/>
    <x v="0"/>
    <n v="0"/>
    <n v="2E+20"/>
    <n v="0"/>
    <n v="0"/>
    <n v="100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"/>
    <x v="0"/>
    <x v="2"/>
    <x v="0"/>
    <n v="4.8108815864535499"/>
    <n v="2E+20"/>
    <n v="0.10209336941670701"/>
    <n v="32.330262283832198"/>
    <n v="100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2"/>
    <x v="0"/>
    <x v="3"/>
    <x v="0"/>
    <n v="0"/>
    <n v="2E+20"/>
    <n v="0"/>
    <n v="0"/>
    <n v="100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"/>
    <x v="0"/>
    <x v="4"/>
    <x v="0"/>
    <n v="4.3375136431926897"/>
    <n v="2E+20"/>
    <n v="7.1951440174757395E-2"/>
    <n v="32.330262283832198"/>
    <n v="100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2"/>
    <x v="0"/>
    <x v="5"/>
    <x v="0"/>
    <n v="0.47336794326086301"/>
    <n v="2E+20"/>
    <n v="0"/>
    <n v="7.2860511438748103"/>
    <n v="100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3"/>
    <x v="0"/>
    <x v="0"/>
    <x v="0"/>
    <n v="0"/>
    <n v="2E+20"/>
    <n v="0"/>
    <n v="0"/>
    <n v="103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3"/>
    <x v="0"/>
    <x v="1"/>
    <x v="0"/>
    <n v="0"/>
    <n v="2E+20"/>
    <n v="0"/>
    <n v="0"/>
    <n v="103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3"/>
    <x v="0"/>
    <x v="2"/>
    <x v="0"/>
    <n v="4.3209631142309899"/>
    <n v="2E+20"/>
    <n v="1.6395282977745701E-2"/>
    <n v="27.506328014739601"/>
    <n v="103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3"/>
    <x v="0"/>
    <x v="3"/>
    <x v="0"/>
    <n v="0"/>
    <n v="2E+20"/>
    <n v="0"/>
    <n v="0"/>
    <n v="103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3"/>
    <x v="0"/>
    <x v="4"/>
    <x v="0"/>
    <n v="4.0046976559891503"/>
    <n v="2E+20"/>
    <n v="1.6395282977745701E-2"/>
    <n v="27.506328014739601"/>
    <n v="103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3"/>
    <x v="0"/>
    <x v="5"/>
    <x v="0"/>
    <n v="0.31626545824183999"/>
    <n v="2E+20"/>
    <n v="0"/>
    <n v="6.2720376716022797"/>
    <n v="103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4"/>
    <x v="0"/>
    <x v="0"/>
    <x v="0"/>
    <n v="0"/>
    <n v="2E+20"/>
    <n v="0"/>
    <n v="0"/>
    <n v="89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4"/>
    <x v="0"/>
    <x v="1"/>
    <x v="0"/>
    <n v="0"/>
    <n v="2E+20"/>
    <n v="0"/>
    <n v="0"/>
    <n v="89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4"/>
    <x v="0"/>
    <x v="2"/>
    <x v="0"/>
    <n v="4.5442459553368604"/>
    <n v="2E+20"/>
    <n v="1.83590431786342E-2"/>
    <n v="20.918253774549399"/>
    <n v="89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4"/>
    <x v="0"/>
    <x v="3"/>
    <x v="0"/>
    <n v="0"/>
    <n v="2E+20"/>
    <n v="0"/>
    <n v="0"/>
    <n v="89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4"/>
    <x v="0"/>
    <x v="4"/>
    <x v="0"/>
    <n v="4.0983812880141999"/>
    <n v="2E+20"/>
    <n v="1.83590431786342E-2"/>
    <n v="20.918253774549399"/>
    <n v="89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4"/>
    <x v="0"/>
    <x v="5"/>
    <x v="0"/>
    <n v="0.445864667322668"/>
    <n v="2E+20"/>
    <n v="0"/>
    <n v="7.6467339323868799"/>
    <n v="89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5"/>
    <x v="0"/>
    <x v="0"/>
    <x v="0"/>
    <n v="0"/>
    <n v="2E+20"/>
    <n v="0"/>
    <n v="0"/>
    <n v="94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5"/>
    <x v="0"/>
    <x v="1"/>
    <x v="0"/>
    <n v="0"/>
    <n v="2E+20"/>
    <n v="0"/>
    <n v="0"/>
    <n v="94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5"/>
    <x v="0"/>
    <x v="2"/>
    <x v="0"/>
    <n v="3.6364344790167098"/>
    <n v="2E+20"/>
    <n v="1.99854418926293E-2"/>
    <n v="17.463232456629001"/>
    <n v="94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5"/>
    <x v="0"/>
    <x v="3"/>
    <x v="0"/>
    <n v="0"/>
    <n v="2E+20"/>
    <n v="0"/>
    <n v="0"/>
    <n v="94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5"/>
    <x v="0"/>
    <x v="4"/>
    <x v="0"/>
    <n v="3.4010526372049599"/>
    <n v="2E+20"/>
    <n v="1.99854418926293E-2"/>
    <n v="17.463232456629001"/>
    <n v="94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5"/>
    <x v="0"/>
    <x v="5"/>
    <x v="0"/>
    <n v="0.23538184181174901"/>
    <n v="2E+20"/>
    <n v="0"/>
    <n v="8.1894881252370109"/>
    <n v="94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6"/>
    <x v="0"/>
    <x v="0"/>
    <x v="0"/>
    <n v="0"/>
    <n v="2E+20"/>
    <n v="0"/>
    <n v="0"/>
    <n v="95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6"/>
    <x v="0"/>
    <x v="1"/>
    <x v="0"/>
    <n v="0"/>
    <n v="2E+20"/>
    <n v="0"/>
    <n v="0"/>
    <n v="95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6"/>
    <x v="0"/>
    <x v="2"/>
    <x v="0"/>
    <n v="4.8927852392064901"/>
    <n v="2E+20"/>
    <n v="1.0013415579521699E-2"/>
    <n v="24.820760546344101"/>
    <n v="95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6"/>
    <x v="0"/>
    <x v="3"/>
    <x v="0"/>
    <n v="0"/>
    <n v="2E+20"/>
    <n v="0"/>
    <n v="0"/>
    <n v="95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6"/>
    <x v="0"/>
    <x v="4"/>
    <x v="0"/>
    <n v="4.3240745233062903"/>
    <n v="2E+20"/>
    <n v="1.0013415579521699E-2"/>
    <n v="24.820760546344101"/>
    <n v="95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6"/>
    <x v="0"/>
    <x v="5"/>
    <x v="0"/>
    <n v="0.56871071590020295"/>
    <n v="2E+20"/>
    <n v="0"/>
    <n v="7.0575744467433896"/>
    <n v="95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7"/>
    <x v="0"/>
    <x v="0"/>
    <x v="0"/>
    <n v="0"/>
    <n v="2E+20"/>
    <n v="0"/>
    <n v="0"/>
    <n v="89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7"/>
    <x v="0"/>
    <x v="1"/>
    <x v="0"/>
    <n v="0"/>
    <n v="2E+20"/>
    <n v="0"/>
    <n v="0"/>
    <n v="89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7"/>
    <x v="0"/>
    <x v="2"/>
    <x v="0"/>
    <n v="5.2402578085055902"/>
    <n v="2E+20"/>
    <n v="0.15771557832795199"/>
    <n v="18.3793870542546"/>
    <n v="89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7"/>
    <x v="0"/>
    <x v="3"/>
    <x v="0"/>
    <n v="0"/>
    <n v="2E+20"/>
    <n v="0"/>
    <n v="0"/>
    <n v="89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7"/>
    <x v="0"/>
    <x v="4"/>
    <x v="0"/>
    <n v="4.5974446209943904"/>
    <n v="2E+20"/>
    <n v="0.15771557832795199"/>
    <n v="18.3793870542546"/>
    <n v="89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7"/>
    <x v="0"/>
    <x v="5"/>
    <x v="0"/>
    <n v="0.64281318751119798"/>
    <n v="2E+20"/>
    <n v="0"/>
    <n v="10.450076017116499"/>
    <n v="89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8"/>
    <x v="0"/>
    <x v="0"/>
    <x v="0"/>
    <n v="0"/>
    <n v="2E+20"/>
    <n v="0"/>
    <n v="0"/>
    <n v="73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8"/>
    <x v="0"/>
    <x v="1"/>
    <x v="0"/>
    <n v="0"/>
    <n v="2E+20"/>
    <n v="0"/>
    <n v="0"/>
    <n v="73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8"/>
    <x v="0"/>
    <x v="2"/>
    <x v="0"/>
    <n v="4.9666044555133597"/>
    <n v="2E+20"/>
    <n v="6.8363053507425803E-2"/>
    <n v="29.244246884876102"/>
    <n v="73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8"/>
    <x v="0"/>
    <x v="3"/>
    <x v="0"/>
    <n v="0"/>
    <n v="2E+20"/>
    <n v="0"/>
    <n v="0"/>
    <n v="73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8"/>
    <x v="0"/>
    <x v="4"/>
    <x v="0"/>
    <n v="4.64076693825211"/>
    <n v="2E+20"/>
    <n v="6.8363053507425803E-2"/>
    <n v="29.244246884876102"/>
    <n v="73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8"/>
    <x v="0"/>
    <x v="5"/>
    <x v="0"/>
    <n v="0.32583751726124699"/>
    <n v="2E+20"/>
    <n v="0"/>
    <n v="12.9064950161582"/>
    <n v="73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9"/>
    <x v="0"/>
    <x v="0"/>
    <x v="0"/>
    <n v="0"/>
    <n v="2E+20"/>
    <n v="0"/>
    <n v="0"/>
    <n v="86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9"/>
    <x v="0"/>
    <x v="1"/>
    <x v="0"/>
    <n v="0"/>
    <n v="2E+20"/>
    <n v="0"/>
    <n v="0"/>
    <n v="86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9"/>
    <x v="0"/>
    <x v="2"/>
    <x v="0"/>
    <n v="3.91173441918373"/>
    <n v="2E+20"/>
    <n v="3.8911726062963198E-2"/>
    <n v="19.154615512568899"/>
    <n v="86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9"/>
    <x v="0"/>
    <x v="3"/>
    <x v="0"/>
    <n v="0"/>
    <n v="2E+20"/>
    <n v="0"/>
    <n v="0"/>
    <n v="86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9"/>
    <x v="0"/>
    <x v="4"/>
    <x v="0"/>
    <n v="3.62403746324145"/>
    <n v="2E+20"/>
    <n v="3.8911726062963198E-2"/>
    <n v="17.634519404967399"/>
    <n v="86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9"/>
    <x v="0"/>
    <x v="5"/>
    <x v="0"/>
    <n v="0.28769695594227301"/>
    <n v="2E+20"/>
    <n v="0"/>
    <n v="7.3354654807358504"/>
    <n v="86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10"/>
    <x v="0"/>
    <x v="0"/>
    <x v="0"/>
    <n v="0"/>
    <n v="2E+20"/>
    <n v="0"/>
    <n v="0"/>
    <n v="81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0"/>
    <x v="0"/>
    <x v="1"/>
    <x v="0"/>
    <n v="0"/>
    <n v="2E+20"/>
    <n v="0"/>
    <n v="0"/>
    <n v="81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0"/>
    <x v="0"/>
    <x v="2"/>
    <x v="0"/>
    <n v="3.4413810037220798"/>
    <n v="2E+20"/>
    <n v="3.8828841476515698E-2"/>
    <n v="16.265802907969501"/>
    <n v="81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10"/>
    <x v="0"/>
    <x v="3"/>
    <x v="0"/>
    <n v="0"/>
    <n v="2E+20"/>
    <n v="0"/>
    <n v="0"/>
    <n v="81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0"/>
    <x v="0"/>
    <x v="4"/>
    <x v="0"/>
    <n v="3.2850114511671298"/>
    <n v="2E+20"/>
    <n v="3.8828841476515698E-2"/>
    <n v="16.265802907969501"/>
    <n v="81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10"/>
    <x v="0"/>
    <x v="5"/>
    <x v="0"/>
    <n v="0.156369552554951"/>
    <n v="2E+20"/>
    <n v="0"/>
    <n v="3.7710833368039398"/>
    <n v="81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11"/>
    <x v="0"/>
    <x v="0"/>
    <x v="0"/>
    <n v="0"/>
    <n v="2E+20"/>
    <n v="0"/>
    <n v="0"/>
    <n v="94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1"/>
    <x v="0"/>
    <x v="1"/>
    <x v="0"/>
    <n v="0"/>
    <n v="2E+20"/>
    <n v="0"/>
    <n v="0"/>
    <n v="94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1"/>
    <x v="0"/>
    <x v="2"/>
    <x v="0"/>
    <n v="4.1851326646525804"/>
    <n v="2E+20"/>
    <n v="1.3228759104101999E-2"/>
    <n v="15.913783101505301"/>
    <n v="94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11"/>
    <x v="0"/>
    <x v="3"/>
    <x v="0"/>
    <n v="0"/>
    <n v="2E+20"/>
    <n v="0"/>
    <n v="0"/>
    <n v="94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1"/>
    <x v="0"/>
    <x v="4"/>
    <x v="0"/>
    <n v="3.7759568516326101"/>
    <n v="2E+20"/>
    <n v="1.3228759104101999E-2"/>
    <n v="15.913783101505301"/>
    <n v="94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11"/>
    <x v="0"/>
    <x v="5"/>
    <x v="0"/>
    <n v="0.40917581301997102"/>
    <n v="2E+20"/>
    <n v="0"/>
    <n v="7.7612742434857296"/>
    <n v="94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12"/>
    <x v="0"/>
    <x v="0"/>
    <x v="0"/>
    <n v="0"/>
    <n v="2E+20"/>
    <n v="0"/>
    <n v="0"/>
    <n v="84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2"/>
    <x v="0"/>
    <x v="1"/>
    <x v="0"/>
    <n v="0"/>
    <n v="2E+20"/>
    <n v="0"/>
    <n v="0"/>
    <n v="84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2"/>
    <x v="0"/>
    <x v="2"/>
    <x v="0"/>
    <n v="4.9462401559646301"/>
    <n v="2E+20"/>
    <n v="1.6055413281264901E-2"/>
    <n v="20.305755213045099"/>
    <n v="84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12"/>
    <x v="0"/>
    <x v="3"/>
    <x v="0"/>
    <n v="0"/>
    <n v="2E+20"/>
    <n v="0"/>
    <n v="0"/>
    <n v="84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2"/>
    <x v="0"/>
    <x v="4"/>
    <x v="0"/>
    <n v="4.0690945894577997"/>
    <n v="2E+20"/>
    <n v="1.6055413281264901E-2"/>
    <n v="20.305755213045099"/>
    <n v="84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12"/>
    <x v="0"/>
    <x v="5"/>
    <x v="0"/>
    <n v="0.87714556650682596"/>
    <n v="2E+20"/>
    <n v="0"/>
    <n v="14.014497530459"/>
    <n v="84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13"/>
    <x v="0"/>
    <x v="0"/>
    <x v="0"/>
    <n v="0"/>
    <n v="2E+20"/>
    <n v="0"/>
    <n v="0"/>
    <n v="92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3"/>
    <x v="0"/>
    <x v="1"/>
    <x v="0"/>
    <n v="0"/>
    <n v="2E+20"/>
    <n v="0"/>
    <n v="0"/>
    <n v="92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3"/>
    <x v="0"/>
    <x v="2"/>
    <x v="0"/>
    <n v="4.8321388988101797"/>
    <n v="2E+20"/>
    <n v="3.48170437481485E-2"/>
    <n v="22.857515278955201"/>
    <n v="92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13"/>
    <x v="0"/>
    <x v="3"/>
    <x v="0"/>
    <n v="0"/>
    <n v="2E+20"/>
    <n v="0"/>
    <n v="0"/>
    <n v="92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3"/>
    <x v="0"/>
    <x v="4"/>
    <x v="0"/>
    <n v="4.2641441920435499"/>
    <n v="2E+20"/>
    <n v="3.48170437481485E-2"/>
    <n v="21.056817627539399"/>
    <n v="92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13"/>
    <x v="0"/>
    <x v="5"/>
    <x v="0"/>
    <n v="0.567994706766621"/>
    <n v="2E+20"/>
    <n v="0"/>
    <n v="5.57517319722953"/>
    <n v="92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14"/>
    <x v="0"/>
    <x v="0"/>
    <x v="0"/>
    <n v="0"/>
    <n v="2E+20"/>
    <n v="0"/>
    <n v="0"/>
    <n v="94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4"/>
    <x v="0"/>
    <x v="1"/>
    <x v="0"/>
    <n v="0"/>
    <n v="2E+20"/>
    <n v="0"/>
    <n v="0"/>
    <n v="94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4"/>
    <x v="0"/>
    <x v="2"/>
    <x v="0"/>
    <n v="4.5280376892077898"/>
    <n v="2E+20"/>
    <n v="9.6572354293670101E-2"/>
    <n v="18.548914318909699"/>
    <n v="94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14"/>
    <x v="0"/>
    <x v="3"/>
    <x v="0"/>
    <n v="0"/>
    <n v="2E+20"/>
    <n v="0"/>
    <n v="0"/>
    <n v="94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4"/>
    <x v="0"/>
    <x v="4"/>
    <x v="0"/>
    <n v="3.9189636492595201"/>
    <n v="2E+20"/>
    <n v="9.6572354293670101E-2"/>
    <n v="18.548914318909699"/>
    <n v="94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14"/>
    <x v="0"/>
    <x v="5"/>
    <x v="0"/>
    <n v="0.60907403994826803"/>
    <n v="2E+20"/>
    <n v="0"/>
    <n v="7.0528453148146504"/>
    <n v="94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15"/>
    <x v="0"/>
    <x v="0"/>
    <x v="0"/>
    <n v="0"/>
    <n v="2E+20"/>
    <n v="0"/>
    <n v="0"/>
    <n v="86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5"/>
    <x v="0"/>
    <x v="1"/>
    <x v="0"/>
    <n v="0"/>
    <n v="2E+20"/>
    <n v="0"/>
    <n v="0"/>
    <n v="86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5"/>
    <x v="0"/>
    <x v="2"/>
    <x v="0"/>
    <n v="4.4935924171499604"/>
    <n v="2E+20"/>
    <n v="9.5069880302872903E-2"/>
    <n v="26.1128415091889"/>
    <n v="86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15"/>
    <x v="0"/>
    <x v="3"/>
    <x v="0"/>
    <n v="0"/>
    <n v="2E+20"/>
    <n v="0"/>
    <n v="0"/>
    <n v="86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5"/>
    <x v="0"/>
    <x v="4"/>
    <x v="0"/>
    <n v="4.14832633240903"/>
    <n v="2E+20"/>
    <n v="9.5069880302872903E-2"/>
    <n v="23.906762905306699"/>
    <n v="86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15"/>
    <x v="0"/>
    <x v="5"/>
    <x v="0"/>
    <n v="0.34526608474093901"/>
    <n v="2E+20"/>
    <n v="0"/>
    <n v="5.1864784117029803"/>
    <n v="86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16"/>
    <x v="0"/>
    <x v="0"/>
    <x v="0"/>
    <n v="0"/>
    <n v="2E+20"/>
    <n v="0"/>
    <n v="0"/>
    <n v="92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6"/>
    <x v="0"/>
    <x v="1"/>
    <x v="0"/>
    <n v="0"/>
    <n v="2E+20"/>
    <n v="0"/>
    <n v="0"/>
    <n v="92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6"/>
    <x v="0"/>
    <x v="2"/>
    <x v="0"/>
    <n v="5.5648032954355902"/>
    <n v="2E+20"/>
    <n v="3.6399854718638401E-2"/>
    <n v="25.918017625496599"/>
    <n v="92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16"/>
    <x v="0"/>
    <x v="3"/>
    <x v="0"/>
    <n v="0"/>
    <n v="2E+20"/>
    <n v="0"/>
    <n v="0"/>
    <n v="92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6"/>
    <x v="0"/>
    <x v="4"/>
    <x v="0"/>
    <n v="5.0358229399280701"/>
    <n v="2E+20"/>
    <n v="3.6399854718638401E-2"/>
    <n v="25.918017625496599"/>
    <n v="92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16"/>
    <x v="0"/>
    <x v="5"/>
    <x v="0"/>
    <n v="0.52898035550751998"/>
    <n v="2E+20"/>
    <n v="0"/>
    <n v="8.0293573369554707"/>
    <n v="92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17"/>
    <x v="0"/>
    <x v="0"/>
    <x v="0"/>
    <n v="0"/>
    <n v="2E+20"/>
    <n v="0"/>
    <n v="0"/>
    <n v="70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7"/>
    <x v="0"/>
    <x v="1"/>
    <x v="0"/>
    <n v="0"/>
    <n v="2E+20"/>
    <n v="0"/>
    <n v="0"/>
    <n v="70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7"/>
    <x v="0"/>
    <x v="2"/>
    <x v="0"/>
    <n v="4.2292946422998803"/>
    <n v="2E+20"/>
    <n v="7.8352324239006094E-2"/>
    <n v="15.2820267841507"/>
    <n v="70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17"/>
    <x v="0"/>
    <x v="3"/>
    <x v="0"/>
    <n v="0"/>
    <n v="2E+20"/>
    <n v="0"/>
    <n v="0"/>
    <n v="70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7"/>
    <x v="0"/>
    <x v="4"/>
    <x v="0"/>
    <n v="3.90283320190168"/>
    <n v="2E+20"/>
    <n v="7.8352324239006094E-2"/>
    <n v="15.2820267841507"/>
    <n v="70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17"/>
    <x v="0"/>
    <x v="5"/>
    <x v="0"/>
    <n v="0.32646144039820002"/>
    <n v="2E+20"/>
    <n v="0"/>
    <n v="6.6545673628106199"/>
    <n v="70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18"/>
    <x v="0"/>
    <x v="0"/>
    <x v="0"/>
    <n v="0"/>
    <n v="2E+20"/>
    <n v="0"/>
    <n v="0"/>
    <n v="100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8"/>
    <x v="0"/>
    <x v="1"/>
    <x v="0"/>
    <n v="0"/>
    <n v="2E+20"/>
    <n v="0"/>
    <n v="0"/>
    <n v="100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8"/>
    <x v="0"/>
    <x v="2"/>
    <x v="0"/>
    <n v="4.9759709996741099"/>
    <n v="2E+20"/>
    <n v="6.7642649030517504E-2"/>
    <n v="21.385544871039901"/>
    <n v="100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18"/>
    <x v="0"/>
    <x v="3"/>
    <x v="0"/>
    <n v="0"/>
    <n v="2E+20"/>
    <n v="0"/>
    <n v="0"/>
    <n v="100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8"/>
    <x v="0"/>
    <x v="4"/>
    <x v="0"/>
    <n v="4.5435515942717899"/>
    <n v="2E+20"/>
    <n v="1.1710553480952499E-3"/>
    <n v="21.385544871039901"/>
    <n v="100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18"/>
    <x v="0"/>
    <x v="5"/>
    <x v="0"/>
    <n v="0.43241940540231399"/>
    <n v="2E+20"/>
    <n v="0"/>
    <n v="6.5454643326073096"/>
    <n v="100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19"/>
    <x v="0"/>
    <x v="0"/>
    <x v="0"/>
    <n v="0"/>
    <n v="2E+20"/>
    <n v="0"/>
    <n v="0"/>
    <n v="84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9"/>
    <x v="0"/>
    <x v="1"/>
    <x v="0"/>
    <n v="0"/>
    <n v="2E+20"/>
    <n v="0"/>
    <n v="0"/>
    <n v="84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9"/>
    <x v="0"/>
    <x v="2"/>
    <x v="0"/>
    <n v="4.9279743233441904"/>
    <n v="2E+20"/>
    <n v="3.2031945276571601E-3"/>
    <n v="19.030163450748699"/>
    <n v="84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19"/>
    <x v="0"/>
    <x v="3"/>
    <x v="0"/>
    <n v="0"/>
    <n v="2E+20"/>
    <n v="0"/>
    <n v="0"/>
    <n v="84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19"/>
    <x v="0"/>
    <x v="4"/>
    <x v="0"/>
    <n v="4.3879095298608801"/>
    <n v="2E+20"/>
    <n v="3.2031945276571601E-3"/>
    <n v="19.030163450748699"/>
    <n v="84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19"/>
    <x v="0"/>
    <x v="5"/>
    <x v="0"/>
    <n v="0.54006479348330805"/>
    <n v="2E+20"/>
    <n v="0"/>
    <n v="13.270526293502"/>
    <n v="84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20"/>
    <x v="0"/>
    <x v="0"/>
    <x v="0"/>
    <n v="0"/>
    <n v="2E+20"/>
    <n v="0"/>
    <n v="0"/>
    <n v="84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0"/>
    <x v="0"/>
    <x v="1"/>
    <x v="0"/>
    <n v="0"/>
    <n v="2E+20"/>
    <n v="0"/>
    <n v="0"/>
    <n v="84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0"/>
    <x v="0"/>
    <x v="2"/>
    <x v="0"/>
    <n v="3.9709253516479701"/>
    <n v="2E+20"/>
    <n v="2.5837933009142899E-2"/>
    <n v="33.351429551716201"/>
    <n v="84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20"/>
    <x v="0"/>
    <x v="3"/>
    <x v="0"/>
    <n v="0"/>
    <n v="2E+20"/>
    <n v="0"/>
    <n v="0"/>
    <n v="84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0"/>
    <x v="0"/>
    <x v="4"/>
    <x v="0"/>
    <n v="3.76209476446257"/>
    <n v="2E+20"/>
    <n v="2.5837933009142899E-2"/>
    <n v="33.351429551716201"/>
    <n v="84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20"/>
    <x v="0"/>
    <x v="5"/>
    <x v="0"/>
    <n v="0.20883058718539599"/>
    <n v="2E+20"/>
    <n v="0"/>
    <n v="4.6967727750628701"/>
    <n v="84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21"/>
    <x v="0"/>
    <x v="0"/>
    <x v="0"/>
    <n v="0"/>
    <n v="2E+20"/>
    <n v="0"/>
    <n v="0"/>
    <n v="96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1"/>
    <x v="0"/>
    <x v="1"/>
    <x v="0"/>
    <n v="0"/>
    <n v="2E+20"/>
    <n v="0"/>
    <n v="0"/>
    <n v="96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1"/>
    <x v="0"/>
    <x v="2"/>
    <x v="0"/>
    <n v="4.0157206441557101"/>
    <n v="2E+20"/>
    <n v="3.2851357311187698E-2"/>
    <n v="16.9146733184403"/>
    <n v="96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21"/>
    <x v="0"/>
    <x v="3"/>
    <x v="0"/>
    <n v="0"/>
    <n v="2E+20"/>
    <n v="0"/>
    <n v="0"/>
    <n v="96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1"/>
    <x v="0"/>
    <x v="4"/>
    <x v="0"/>
    <n v="3.51036982057945"/>
    <n v="2E+20"/>
    <n v="3.2851357311187698E-2"/>
    <n v="16.9146733184403"/>
    <n v="96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21"/>
    <x v="0"/>
    <x v="5"/>
    <x v="0"/>
    <n v="0.50535082357625805"/>
    <n v="2E+20"/>
    <n v="0"/>
    <n v="11.603410848195301"/>
    <n v="96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22"/>
    <x v="0"/>
    <x v="0"/>
    <x v="0"/>
    <n v="0"/>
    <n v="2E+20"/>
    <n v="0"/>
    <n v="0"/>
    <n v="85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2"/>
    <x v="0"/>
    <x v="1"/>
    <x v="0"/>
    <n v="0"/>
    <n v="2E+20"/>
    <n v="0"/>
    <n v="0"/>
    <n v="85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2"/>
    <x v="0"/>
    <x v="2"/>
    <x v="0"/>
    <n v="6.0570535223218798"/>
    <n v="2E+20"/>
    <n v="1.2572128034577201E-2"/>
    <n v="20.807750219040599"/>
    <n v="85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22"/>
    <x v="0"/>
    <x v="3"/>
    <x v="0"/>
    <n v="0"/>
    <n v="2E+20"/>
    <n v="0"/>
    <n v="0"/>
    <n v="85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2"/>
    <x v="0"/>
    <x v="4"/>
    <x v="0"/>
    <n v="5.0320244561368499"/>
    <n v="2E+20"/>
    <n v="1.2572128034577201E-2"/>
    <n v="16.119336768182901"/>
    <n v="85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22"/>
    <x v="0"/>
    <x v="5"/>
    <x v="0"/>
    <n v="1.0250290661850301"/>
    <n v="2E+20"/>
    <n v="0"/>
    <n v="10.344806383927001"/>
    <n v="85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23"/>
    <x v="0"/>
    <x v="0"/>
    <x v="0"/>
    <n v="0"/>
    <n v="2E+20"/>
    <n v="0"/>
    <n v="0"/>
    <n v="91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3"/>
    <x v="0"/>
    <x v="1"/>
    <x v="0"/>
    <n v="0"/>
    <n v="2E+20"/>
    <n v="0"/>
    <n v="0"/>
    <n v="91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3"/>
    <x v="0"/>
    <x v="2"/>
    <x v="0"/>
    <n v="4.1591403527727104"/>
    <n v="2E+20"/>
    <n v="6.55522631655003E-3"/>
    <n v="16.7293216689602"/>
    <n v="91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23"/>
    <x v="0"/>
    <x v="3"/>
    <x v="0"/>
    <n v="0"/>
    <n v="2E+20"/>
    <n v="0"/>
    <n v="0"/>
    <n v="91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3"/>
    <x v="0"/>
    <x v="4"/>
    <x v="0"/>
    <n v="3.7817248212047101"/>
    <n v="2E+20"/>
    <n v="6.55522631655003E-3"/>
    <n v="16.7293216689602"/>
    <n v="91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23"/>
    <x v="0"/>
    <x v="5"/>
    <x v="0"/>
    <n v="0.377415531568003"/>
    <n v="2E+20"/>
    <n v="0"/>
    <n v="6.6507290802092598"/>
    <n v="91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24"/>
    <x v="0"/>
    <x v="0"/>
    <x v="0"/>
    <n v="0"/>
    <n v="2E+20"/>
    <n v="0"/>
    <n v="0"/>
    <n v="78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4"/>
    <x v="0"/>
    <x v="1"/>
    <x v="0"/>
    <n v="0"/>
    <n v="2E+20"/>
    <n v="0"/>
    <n v="0"/>
    <n v="78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4"/>
    <x v="0"/>
    <x v="2"/>
    <x v="0"/>
    <n v="5.0105705739001198"/>
    <n v="2E+20"/>
    <n v="5.6738030640815403E-2"/>
    <n v="27.0703882575398"/>
    <n v="78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24"/>
    <x v="0"/>
    <x v="3"/>
    <x v="0"/>
    <n v="0"/>
    <n v="2E+20"/>
    <n v="0"/>
    <n v="0"/>
    <n v="78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4"/>
    <x v="0"/>
    <x v="4"/>
    <x v="0"/>
    <n v="4.5010192915737202"/>
    <n v="2E+20"/>
    <n v="5.6738030640815403E-2"/>
    <n v="19.766318881011799"/>
    <n v="78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24"/>
    <x v="0"/>
    <x v="5"/>
    <x v="0"/>
    <n v="0.50955128232640601"/>
    <n v="2E+20"/>
    <n v="0"/>
    <n v="8.0699681458624202"/>
    <n v="78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25"/>
    <x v="0"/>
    <x v="0"/>
    <x v="0"/>
    <n v="0"/>
    <n v="2E+20"/>
    <n v="0"/>
    <n v="0"/>
    <n v="88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5"/>
    <x v="0"/>
    <x v="1"/>
    <x v="0"/>
    <n v="0"/>
    <n v="2E+20"/>
    <n v="0"/>
    <n v="0"/>
    <n v="88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5"/>
    <x v="0"/>
    <x v="2"/>
    <x v="0"/>
    <n v="4.2473379124783603"/>
    <n v="2E+20"/>
    <n v="4.5135967113054702E-3"/>
    <n v="18.3296285997734"/>
    <n v="88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25"/>
    <x v="0"/>
    <x v="3"/>
    <x v="0"/>
    <n v="0"/>
    <n v="2E+20"/>
    <n v="0"/>
    <n v="0"/>
    <n v="88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5"/>
    <x v="0"/>
    <x v="4"/>
    <x v="0"/>
    <n v="3.8325108668157699"/>
    <n v="2E+20"/>
    <n v="4.5135967113054702E-3"/>
    <n v="18.3296285997734"/>
    <n v="88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25"/>
    <x v="0"/>
    <x v="5"/>
    <x v="0"/>
    <n v="0.41482704566259299"/>
    <n v="2E+20"/>
    <n v="0"/>
    <n v="9.3215954023698693"/>
    <n v="88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26"/>
    <x v="0"/>
    <x v="0"/>
    <x v="0"/>
    <n v="0"/>
    <n v="2E+20"/>
    <n v="0"/>
    <n v="0"/>
    <n v="86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6"/>
    <x v="0"/>
    <x v="1"/>
    <x v="0"/>
    <n v="0"/>
    <n v="2E+20"/>
    <n v="0"/>
    <n v="0"/>
    <n v="86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6"/>
    <x v="0"/>
    <x v="2"/>
    <x v="0"/>
    <n v="5.4225129145345701"/>
    <n v="2E+20"/>
    <n v="3.13770240211397E-4"/>
    <n v="19.4469114102356"/>
    <n v="86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26"/>
    <x v="0"/>
    <x v="3"/>
    <x v="0"/>
    <n v="0"/>
    <n v="2E+20"/>
    <n v="0"/>
    <n v="0"/>
    <n v="86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6"/>
    <x v="0"/>
    <x v="4"/>
    <x v="0"/>
    <n v="4.2362609498658497"/>
    <n v="2E+20"/>
    <n v="3.13770240211397E-4"/>
    <n v="19.4469114102356"/>
    <n v="86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26"/>
    <x v="0"/>
    <x v="5"/>
    <x v="0"/>
    <n v="1.18625196466872"/>
    <n v="2E+20"/>
    <n v="0"/>
    <n v="9.6461467716840694"/>
    <n v="86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27"/>
    <x v="0"/>
    <x v="0"/>
    <x v="0"/>
    <n v="0"/>
    <n v="2E+20"/>
    <n v="0"/>
    <n v="0"/>
    <n v="90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7"/>
    <x v="0"/>
    <x v="1"/>
    <x v="0"/>
    <n v="0"/>
    <n v="2E+20"/>
    <n v="0"/>
    <n v="0"/>
    <n v="90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7"/>
    <x v="0"/>
    <x v="2"/>
    <x v="0"/>
    <n v="5.2413536495186497"/>
    <n v="2E+20"/>
    <n v="9.0993359215502806E-2"/>
    <n v="32.2685486663513"/>
    <n v="90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27"/>
    <x v="0"/>
    <x v="3"/>
    <x v="0"/>
    <n v="0"/>
    <n v="2E+20"/>
    <n v="0"/>
    <n v="0"/>
    <n v="90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7"/>
    <x v="0"/>
    <x v="4"/>
    <x v="0"/>
    <n v="4.4647006544775598"/>
    <n v="2E+20"/>
    <n v="9.0993359215502806E-2"/>
    <n v="30.2689124761696"/>
    <n v="90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27"/>
    <x v="0"/>
    <x v="5"/>
    <x v="0"/>
    <n v="0.77665299504109397"/>
    <n v="2E+20"/>
    <n v="0"/>
    <n v="10.895186736851"/>
    <n v="90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28"/>
    <x v="0"/>
    <x v="0"/>
    <x v="0"/>
    <n v="0"/>
    <n v="2E+20"/>
    <n v="0"/>
    <n v="0"/>
    <n v="98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8"/>
    <x v="0"/>
    <x v="1"/>
    <x v="0"/>
    <n v="0"/>
    <n v="2E+20"/>
    <n v="0"/>
    <n v="0"/>
    <n v="98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8"/>
    <x v="0"/>
    <x v="2"/>
    <x v="0"/>
    <n v="4.4562834547221204"/>
    <n v="2E+20"/>
    <n v="8.77373856103532E-2"/>
    <n v="31.696222054109501"/>
    <n v="98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28"/>
    <x v="0"/>
    <x v="3"/>
    <x v="0"/>
    <n v="0"/>
    <n v="2E+20"/>
    <n v="0"/>
    <n v="0"/>
    <n v="98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8"/>
    <x v="0"/>
    <x v="4"/>
    <x v="0"/>
    <n v="4.0686480993981702"/>
    <n v="2E+20"/>
    <n v="8.77373856103532E-2"/>
    <n v="31.696222054109501"/>
    <n v="98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28"/>
    <x v="0"/>
    <x v="5"/>
    <x v="0"/>
    <n v="0.38763535532395099"/>
    <n v="2E+20"/>
    <n v="0"/>
    <n v="10.0524580281369"/>
    <n v="98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29"/>
    <x v="0"/>
    <x v="0"/>
    <x v="0"/>
    <n v="0"/>
    <n v="2E+20"/>
    <n v="0"/>
    <n v="0"/>
    <n v="89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9"/>
    <x v="0"/>
    <x v="1"/>
    <x v="0"/>
    <n v="0"/>
    <n v="2E+20"/>
    <n v="0"/>
    <n v="0"/>
    <n v="89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9"/>
    <x v="0"/>
    <x v="2"/>
    <x v="0"/>
    <n v="4.8439096342274697"/>
    <n v="2E+20"/>
    <n v="1.8171384465688299E-2"/>
    <n v="28.0760024066652"/>
    <n v="89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29"/>
    <x v="0"/>
    <x v="3"/>
    <x v="0"/>
    <n v="0"/>
    <n v="2E+20"/>
    <n v="0"/>
    <n v="0"/>
    <n v="89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29"/>
    <x v="0"/>
    <x v="4"/>
    <x v="0"/>
    <n v="4.2054400031765002"/>
    <n v="2E+20"/>
    <n v="1.8171384465688299E-2"/>
    <n v="27.585470710813599"/>
    <n v="89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29"/>
    <x v="0"/>
    <x v="5"/>
    <x v="0"/>
    <n v="0.63846963105096499"/>
    <n v="2E+20"/>
    <n v="0"/>
    <n v="6.1651240398059004"/>
    <n v="89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30"/>
    <x v="0"/>
    <x v="0"/>
    <x v="0"/>
    <n v="0"/>
    <n v="2E+20"/>
    <n v="0"/>
    <n v="0"/>
    <n v="102"/>
    <s v="Unnamed ProjectCustomerNVA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30"/>
    <x v="0"/>
    <x v="1"/>
    <x v="0"/>
    <n v="0"/>
    <n v="2E+20"/>
    <n v="0"/>
    <n v="0"/>
    <n v="102"/>
    <s v="Unnamed ProjectCustomerOth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30"/>
    <x v="0"/>
    <x v="2"/>
    <x v="0"/>
    <n v="4.3213729806323604"/>
    <n v="2E+20"/>
    <n v="3.2073921548459297E-2"/>
    <n v="19.847067821601001"/>
    <n v="102"/>
    <s v="Unnamed ProjectCustomerTotal TimeEntity"/>
    <n v="30"/>
    <n v="4.6400860420021628"/>
    <n v="0.58400792997884021"/>
    <n v="0.95"/>
    <n v="0.2180721449694937"/>
    <n v="3.4413810037220798"/>
    <n v="6.0570535223218798"/>
    <n v="3.13770240211397E-4"/>
    <n v="33.351429551716201"/>
    <n v="89.166666666666671"/>
    <n v="0.2180721449694937"/>
    <n v="30"/>
    <n v="1"/>
  </r>
  <r>
    <x v="0"/>
    <s v="2025-02-11 20:42:49"/>
    <n v="30"/>
    <x v="0"/>
    <x v="3"/>
    <x v="0"/>
    <n v="0"/>
    <n v="2E+20"/>
    <n v="0"/>
    <n v="0"/>
    <n v="102"/>
    <s v="Unnamed ProjectCustomerTransfer TimeEntity"/>
    <n v="30"/>
    <n v="0"/>
    <n v="0"/>
    <n v="0.95"/>
    <n v="0"/>
    <n v="0"/>
    <n v="0"/>
    <n v="0"/>
    <n v="0"/>
    <n v="89.166666666666671"/>
    <n v="0"/>
    <n v="30"/>
    <n v="1"/>
  </r>
  <r>
    <x v="0"/>
    <s v="2025-02-11 20:42:49"/>
    <n v="30"/>
    <x v="0"/>
    <x v="4"/>
    <x v="0"/>
    <n v="4.03667263766605"/>
    <n v="2E+20"/>
    <n v="3.2073921548459297E-2"/>
    <n v="19.847067821601001"/>
    <n v="102"/>
    <s v="Unnamed ProjectCustomerVA TimeEntity"/>
    <n v="30"/>
    <n v="4.1484971853511476"/>
    <n v="0.43455851948632768"/>
    <n v="0.95"/>
    <n v="0.16226681795670911"/>
    <n v="3.2850114511671298"/>
    <n v="5.0358229399280701"/>
    <n v="3.13770240211397E-4"/>
    <n v="33.351429551716201"/>
    <n v="89.166666666666671"/>
    <n v="0.16226681795670911"/>
    <n v="30"/>
    <n v="1"/>
  </r>
  <r>
    <x v="0"/>
    <s v="2025-02-11 20:42:49"/>
    <n v="30"/>
    <x v="0"/>
    <x v="5"/>
    <x v="0"/>
    <n v="0.28470034296629898"/>
    <n v="2E+20"/>
    <n v="0"/>
    <n v="5.4736925658894604"/>
    <n v="102"/>
    <s v="Unnamed ProjectCustomerWait TimeEntity"/>
    <n v="30"/>
    <n v="0.49158885665101598"/>
    <n v="0.23376724818535846"/>
    <n v="0.95"/>
    <n v="8.7290125045466668E-2"/>
    <n v="0.156369552554951"/>
    <n v="1.18625196466872"/>
    <n v="0"/>
    <n v="14.014497530459"/>
    <n v="89.166666666666671"/>
    <n v="8.7290125045466668E-2"/>
    <n v="30"/>
    <n v="1"/>
  </r>
  <r>
    <x v="0"/>
    <s v="2025-02-11 20:42:49"/>
    <n v="1"/>
    <x v="1"/>
    <x v="6"/>
    <x v="1"/>
    <n v="0.34406102839480401"/>
    <n v="2E+20"/>
    <n v="0"/>
    <n v="5.1618756049953198"/>
    <n v="82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2"/>
    <x v="1"/>
    <x v="6"/>
    <x v="1"/>
    <n v="0.468681131941448"/>
    <n v="2E+20"/>
    <n v="0"/>
    <n v="7.2860511438748103"/>
    <n v="101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3"/>
    <x v="1"/>
    <x v="6"/>
    <x v="1"/>
    <n v="0.31626545824183999"/>
    <n v="2E+20"/>
    <n v="0"/>
    <n v="6.2720376716022797"/>
    <n v="103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4"/>
    <x v="1"/>
    <x v="6"/>
    <x v="1"/>
    <n v="0.440910615463527"/>
    <n v="2E+20"/>
    <n v="0"/>
    <n v="7.6467339323868799"/>
    <n v="90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5"/>
    <x v="1"/>
    <x v="6"/>
    <x v="1"/>
    <n v="0.23654774380153101"/>
    <n v="2E+20"/>
    <n v="0"/>
    <n v="8.1894881252370109"/>
    <n v="96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6"/>
    <x v="1"/>
    <x v="6"/>
    <x v="1"/>
    <n v="0.56278664594290995"/>
    <n v="2E+20"/>
    <n v="0"/>
    <n v="7.0575744467433896"/>
    <n v="96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7"/>
    <x v="1"/>
    <x v="6"/>
    <x v="1"/>
    <n v="0.63567081876107401"/>
    <n v="2E+20"/>
    <n v="0"/>
    <n v="10.450076017116499"/>
    <n v="90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8"/>
    <x v="1"/>
    <x v="6"/>
    <x v="1"/>
    <n v="0.32143430756852798"/>
    <n v="2E+20"/>
    <n v="0"/>
    <n v="12.9064950161582"/>
    <n v="74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9"/>
    <x v="1"/>
    <x v="6"/>
    <x v="1"/>
    <n v="0.28439009437971802"/>
    <n v="2E+20"/>
    <n v="0"/>
    <n v="7.3354654807358504"/>
    <n v="87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10"/>
    <x v="1"/>
    <x v="6"/>
    <x v="1"/>
    <n v="0.156369552554951"/>
    <n v="2E+20"/>
    <n v="0"/>
    <n v="3.7710833368039398"/>
    <n v="81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11"/>
    <x v="1"/>
    <x v="6"/>
    <x v="1"/>
    <n v="0.40486869919870799"/>
    <n v="2E+20"/>
    <n v="0"/>
    <n v="7.7612742434857296"/>
    <n v="95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12"/>
    <x v="1"/>
    <x v="6"/>
    <x v="1"/>
    <n v="0.87714556650682596"/>
    <n v="2E+20"/>
    <n v="0"/>
    <n v="14.014497530459"/>
    <n v="84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13"/>
    <x v="1"/>
    <x v="6"/>
    <x v="1"/>
    <n v="0.567994706766621"/>
    <n v="2E+20"/>
    <n v="0"/>
    <n v="5.57517319722953"/>
    <n v="92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14"/>
    <x v="1"/>
    <x v="6"/>
    <x v="1"/>
    <n v="0.60907403994826803"/>
    <n v="2E+20"/>
    <n v="0"/>
    <n v="7.0528453148146504"/>
    <n v="94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15"/>
    <x v="1"/>
    <x v="6"/>
    <x v="1"/>
    <n v="0.34526608474093901"/>
    <n v="2E+20"/>
    <n v="0"/>
    <n v="5.1864784117029803"/>
    <n v="86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16"/>
    <x v="1"/>
    <x v="6"/>
    <x v="1"/>
    <n v="0.52329239469561195"/>
    <n v="2E+20"/>
    <n v="0"/>
    <n v="8.0293573369554707"/>
    <n v="93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17"/>
    <x v="1"/>
    <x v="6"/>
    <x v="1"/>
    <n v="0.32186339194188801"/>
    <n v="2E+20"/>
    <n v="0"/>
    <n v="6.6545673628106199"/>
    <n v="71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18"/>
    <x v="1"/>
    <x v="6"/>
    <x v="1"/>
    <n v="0.42394059353168101"/>
    <n v="2E+20"/>
    <n v="0"/>
    <n v="6.5454643326073096"/>
    <n v="102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19"/>
    <x v="1"/>
    <x v="6"/>
    <x v="1"/>
    <n v="0.54006479348330805"/>
    <n v="2E+20"/>
    <n v="0"/>
    <n v="13.270526293502"/>
    <n v="84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20"/>
    <x v="1"/>
    <x v="6"/>
    <x v="1"/>
    <n v="0.20637375674792"/>
    <n v="2E+20"/>
    <n v="0"/>
    <n v="4.6967727750628701"/>
    <n v="85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21"/>
    <x v="1"/>
    <x v="6"/>
    <x v="1"/>
    <n v="0.50535082357625805"/>
    <n v="2E+20"/>
    <n v="0"/>
    <n v="11.603410848195301"/>
    <n v="96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22"/>
    <x v="1"/>
    <x v="6"/>
    <x v="1"/>
    <n v="1.0250290661850301"/>
    <n v="2E+20"/>
    <n v="0"/>
    <n v="10.344806383927001"/>
    <n v="85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23"/>
    <x v="1"/>
    <x v="6"/>
    <x v="1"/>
    <n v="0.377415531568003"/>
    <n v="2E+20"/>
    <n v="0"/>
    <n v="6.6507290802092598"/>
    <n v="91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24"/>
    <x v="1"/>
    <x v="6"/>
    <x v="1"/>
    <n v="0.50955128232640701"/>
    <n v="2E+20"/>
    <n v="0"/>
    <n v="8.0699681458624202"/>
    <n v="78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25"/>
    <x v="1"/>
    <x v="6"/>
    <x v="1"/>
    <n v="0.41482704566259299"/>
    <n v="2E+20"/>
    <n v="0"/>
    <n v="9.3215954023698693"/>
    <n v="88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26"/>
    <x v="1"/>
    <x v="6"/>
    <x v="1"/>
    <n v="1.1592916927444299"/>
    <n v="2E+20"/>
    <n v="0"/>
    <n v="9.6461467716840694"/>
    <n v="88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27"/>
    <x v="1"/>
    <x v="6"/>
    <x v="1"/>
    <n v="0.78893159536082103"/>
    <n v="2E+20"/>
    <n v="0"/>
    <n v="10.895186736851"/>
    <n v="91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28"/>
    <x v="1"/>
    <x v="6"/>
    <x v="1"/>
    <n v="0.38763535532395099"/>
    <n v="2E+20"/>
    <n v="0"/>
    <n v="10.0524580281369"/>
    <n v="98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29"/>
    <x v="1"/>
    <x v="6"/>
    <x v="1"/>
    <n v="0.63846963105096499"/>
    <n v="2E+20"/>
    <n v="0"/>
    <n v="6.1651240398059004"/>
    <n v="89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  <r>
    <x v="0"/>
    <s v="2025-02-11 20:42:49"/>
    <n v="30"/>
    <x v="1"/>
    <x v="6"/>
    <x v="1"/>
    <n v="0.28470034296629898"/>
    <n v="2E+20"/>
    <n v="0"/>
    <n v="5.4736925658894604"/>
    <n v="102"/>
    <s v="Unnamed ProjectService Process.QueueWaiting TimeQueue"/>
    <n v="30"/>
    <n v="0.48927345971256209"/>
    <n v="0.23188120853570279"/>
    <n v="0.95"/>
    <n v="8.658586626611614E-2"/>
    <n v="0.156369552554951"/>
    <n v="1.1592916927444299"/>
    <n v="0"/>
    <n v="14.014497530459"/>
    <n v="89.733333333333334"/>
    <n v="8.658586626611614E-2"/>
    <n v="3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0:42:49"/>
    <n v="1"/>
    <x v="0"/>
    <x v="0"/>
    <x v="0"/>
    <n v="82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1"/>
    <x v="1"/>
    <x v="1"/>
    <x v="0"/>
    <n v="82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1"/>
    <x v="2"/>
    <x v="2"/>
    <x v="1"/>
    <n v="82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1"/>
    <x v="3"/>
    <x v="3"/>
    <x v="1"/>
    <n v="0.354108351509345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1"/>
    <x v="4"/>
    <x v="1"/>
    <x v="2"/>
    <n v="82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2"/>
    <x v="0"/>
    <x v="0"/>
    <x v="0"/>
    <n v="101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2"/>
    <x v="1"/>
    <x v="1"/>
    <x v="0"/>
    <n v="100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2"/>
    <x v="2"/>
    <x v="2"/>
    <x v="1"/>
    <n v="101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2"/>
    <x v="3"/>
    <x v="3"/>
    <x v="1"/>
    <n v="0.40412492404054001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2"/>
    <x v="4"/>
    <x v="1"/>
    <x v="2"/>
    <n v="100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3"/>
    <x v="0"/>
    <x v="0"/>
    <x v="0"/>
    <n v="103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3"/>
    <x v="1"/>
    <x v="1"/>
    <x v="0"/>
    <n v="103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3"/>
    <x v="2"/>
    <x v="2"/>
    <x v="1"/>
    <n v="103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3"/>
    <x v="3"/>
    <x v="3"/>
    <x v="1"/>
    <n v="0.38192949867303899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3"/>
    <x v="4"/>
    <x v="1"/>
    <x v="2"/>
    <n v="103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4"/>
    <x v="0"/>
    <x v="0"/>
    <x v="0"/>
    <n v="90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4"/>
    <x v="1"/>
    <x v="1"/>
    <x v="0"/>
    <n v="89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4"/>
    <x v="2"/>
    <x v="2"/>
    <x v="1"/>
    <n v="90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4"/>
    <x v="3"/>
    <x v="3"/>
    <x v="1"/>
    <n v="0.33853517456830601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4"/>
    <x v="4"/>
    <x v="1"/>
    <x v="2"/>
    <n v="89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5"/>
    <x v="0"/>
    <x v="0"/>
    <x v="0"/>
    <n v="96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5"/>
    <x v="1"/>
    <x v="1"/>
    <x v="0"/>
    <n v="94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5"/>
    <x v="2"/>
    <x v="2"/>
    <x v="1"/>
    <n v="96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5"/>
    <x v="3"/>
    <x v="3"/>
    <x v="1"/>
    <n v="0.29697533889166999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5"/>
    <x v="4"/>
    <x v="1"/>
    <x v="2"/>
    <n v="94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6"/>
    <x v="0"/>
    <x v="0"/>
    <x v="0"/>
    <n v="96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6"/>
    <x v="1"/>
    <x v="1"/>
    <x v="0"/>
    <n v="95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6"/>
    <x v="2"/>
    <x v="2"/>
    <x v="1"/>
    <n v="96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6"/>
    <x v="3"/>
    <x v="3"/>
    <x v="1"/>
    <n v="0.38267550564104102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6"/>
    <x v="4"/>
    <x v="1"/>
    <x v="2"/>
    <n v="95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7"/>
    <x v="0"/>
    <x v="0"/>
    <x v="0"/>
    <n v="90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7"/>
    <x v="1"/>
    <x v="1"/>
    <x v="0"/>
    <n v="89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7"/>
    <x v="2"/>
    <x v="2"/>
    <x v="1"/>
    <n v="90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7"/>
    <x v="3"/>
    <x v="3"/>
    <x v="1"/>
    <n v="0.37910240114661697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7"/>
    <x v="4"/>
    <x v="1"/>
    <x v="2"/>
    <n v="89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8"/>
    <x v="0"/>
    <x v="0"/>
    <x v="0"/>
    <n v="74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8"/>
    <x v="1"/>
    <x v="1"/>
    <x v="0"/>
    <n v="73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8"/>
    <x v="2"/>
    <x v="2"/>
    <x v="1"/>
    <n v="74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8"/>
    <x v="3"/>
    <x v="3"/>
    <x v="1"/>
    <n v="0.31497856917895301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8"/>
    <x v="4"/>
    <x v="1"/>
    <x v="2"/>
    <n v="73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9"/>
    <x v="0"/>
    <x v="0"/>
    <x v="0"/>
    <n v="87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9"/>
    <x v="1"/>
    <x v="1"/>
    <x v="0"/>
    <n v="86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9"/>
    <x v="2"/>
    <x v="2"/>
    <x v="1"/>
    <n v="87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9"/>
    <x v="3"/>
    <x v="3"/>
    <x v="1"/>
    <n v="0.30049152490128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9"/>
    <x v="4"/>
    <x v="1"/>
    <x v="2"/>
    <n v="86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10"/>
    <x v="0"/>
    <x v="0"/>
    <x v="0"/>
    <n v="81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10"/>
    <x v="1"/>
    <x v="1"/>
    <x v="0"/>
    <n v="81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10"/>
    <x v="2"/>
    <x v="2"/>
    <x v="1"/>
    <n v="81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10"/>
    <x v="3"/>
    <x v="3"/>
    <x v="1"/>
    <n v="0.24637585883753399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10"/>
    <x v="4"/>
    <x v="1"/>
    <x v="2"/>
    <n v="81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11"/>
    <x v="0"/>
    <x v="0"/>
    <x v="0"/>
    <n v="95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11"/>
    <x v="1"/>
    <x v="1"/>
    <x v="0"/>
    <n v="94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11"/>
    <x v="2"/>
    <x v="2"/>
    <x v="1"/>
    <n v="95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11"/>
    <x v="3"/>
    <x v="3"/>
    <x v="1"/>
    <n v="0.32920760688839401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11"/>
    <x v="4"/>
    <x v="1"/>
    <x v="2"/>
    <n v="94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12"/>
    <x v="0"/>
    <x v="0"/>
    <x v="0"/>
    <n v="84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12"/>
    <x v="1"/>
    <x v="1"/>
    <x v="0"/>
    <n v="84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12"/>
    <x v="2"/>
    <x v="2"/>
    <x v="1"/>
    <n v="84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12"/>
    <x v="3"/>
    <x v="3"/>
    <x v="1"/>
    <n v="0.31648513473560702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12"/>
    <x v="4"/>
    <x v="1"/>
    <x v="2"/>
    <n v="84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13"/>
    <x v="0"/>
    <x v="0"/>
    <x v="0"/>
    <n v="92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13"/>
    <x v="1"/>
    <x v="1"/>
    <x v="0"/>
    <n v="92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13"/>
    <x v="2"/>
    <x v="2"/>
    <x v="1"/>
    <n v="92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13"/>
    <x v="3"/>
    <x v="3"/>
    <x v="1"/>
    <n v="0.36324191265556199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13"/>
    <x v="4"/>
    <x v="1"/>
    <x v="2"/>
    <n v="92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14"/>
    <x v="0"/>
    <x v="0"/>
    <x v="0"/>
    <n v="94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14"/>
    <x v="1"/>
    <x v="1"/>
    <x v="0"/>
    <n v="94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14"/>
    <x v="2"/>
    <x v="2"/>
    <x v="1"/>
    <n v="94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14"/>
    <x v="3"/>
    <x v="3"/>
    <x v="1"/>
    <n v="0.34109498428740198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14"/>
    <x v="4"/>
    <x v="1"/>
    <x v="2"/>
    <n v="94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15"/>
    <x v="0"/>
    <x v="0"/>
    <x v="0"/>
    <n v="86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15"/>
    <x v="1"/>
    <x v="1"/>
    <x v="0"/>
    <n v="86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15"/>
    <x v="2"/>
    <x v="2"/>
    <x v="1"/>
    <n v="86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15"/>
    <x v="3"/>
    <x v="3"/>
    <x v="1"/>
    <n v="0.33032968943257102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15"/>
    <x v="4"/>
    <x v="1"/>
    <x v="2"/>
    <n v="86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16"/>
    <x v="0"/>
    <x v="0"/>
    <x v="0"/>
    <n v="93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16"/>
    <x v="1"/>
    <x v="1"/>
    <x v="0"/>
    <n v="92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16"/>
    <x v="2"/>
    <x v="2"/>
    <x v="1"/>
    <n v="93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16"/>
    <x v="3"/>
    <x v="3"/>
    <x v="1"/>
    <n v="0.43753875749565602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16"/>
    <x v="4"/>
    <x v="1"/>
    <x v="2"/>
    <n v="92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17"/>
    <x v="0"/>
    <x v="0"/>
    <x v="0"/>
    <n v="71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17"/>
    <x v="1"/>
    <x v="1"/>
    <x v="0"/>
    <n v="70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17"/>
    <x v="2"/>
    <x v="2"/>
    <x v="1"/>
    <n v="71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17"/>
    <x v="3"/>
    <x v="3"/>
    <x v="1"/>
    <n v="0.260547287284498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17"/>
    <x v="4"/>
    <x v="1"/>
    <x v="2"/>
    <n v="70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18"/>
    <x v="0"/>
    <x v="0"/>
    <x v="0"/>
    <n v="102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18"/>
    <x v="1"/>
    <x v="1"/>
    <x v="0"/>
    <n v="100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18"/>
    <x v="2"/>
    <x v="2"/>
    <x v="1"/>
    <n v="102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18"/>
    <x v="3"/>
    <x v="3"/>
    <x v="1"/>
    <n v="0.43600870849824802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18"/>
    <x v="4"/>
    <x v="1"/>
    <x v="2"/>
    <n v="100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19"/>
    <x v="0"/>
    <x v="0"/>
    <x v="0"/>
    <n v="84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19"/>
    <x v="1"/>
    <x v="1"/>
    <x v="0"/>
    <n v="84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19"/>
    <x v="2"/>
    <x v="2"/>
    <x v="1"/>
    <n v="84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19"/>
    <x v="3"/>
    <x v="3"/>
    <x v="1"/>
    <n v="0.34128185232251301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19"/>
    <x v="4"/>
    <x v="1"/>
    <x v="2"/>
    <n v="84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20"/>
    <x v="0"/>
    <x v="0"/>
    <x v="0"/>
    <n v="85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20"/>
    <x v="1"/>
    <x v="1"/>
    <x v="0"/>
    <n v="84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20"/>
    <x v="2"/>
    <x v="2"/>
    <x v="1"/>
    <n v="85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20"/>
    <x v="3"/>
    <x v="3"/>
    <x v="1"/>
    <n v="0.29353894592413499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20"/>
    <x v="4"/>
    <x v="1"/>
    <x v="2"/>
    <n v="84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21"/>
    <x v="0"/>
    <x v="0"/>
    <x v="0"/>
    <n v="96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21"/>
    <x v="1"/>
    <x v="1"/>
    <x v="0"/>
    <n v="96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21"/>
    <x v="2"/>
    <x v="2"/>
    <x v="1"/>
    <n v="96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21"/>
    <x v="3"/>
    <x v="3"/>
    <x v="1"/>
    <n v="0.312032872940396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21"/>
    <x v="4"/>
    <x v="1"/>
    <x v="2"/>
    <n v="96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22"/>
    <x v="0"/>
    <x v="0"/>
    <x v="0"/>
    <n v="85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22"/>
    <x v="1"/>
    <x v="1"/>
    <x v="0"/>
    <n v="85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22"/>
    <x v="2"/>
    <x v="2"/>
    <x v="1"/>
    <n v="85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22"/>
    <x v="3"/>
    <x v="3"/>
    <x v="1"/>
    <n v="0.39603896182558501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22"/>
    <x v="4"/>
    <x v="1"/>
    <x v="2"/>
    <n v="85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23"/>
    <x v="0"/>
    <x v="0"/>
    <x v="0"/>
    <n v="91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23"/>
    <x v="1"/>
    <x v="1"/>
    <x v="0"/>
    <n v="91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23"/>
    <x v="2"/>
    <x v="2"/>
    <x v="1"/>
    <n v="91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23"/>
    <x v="3"/>
    <x v="3"/>
    <x v="1"/>
    <n v="0.31864533215706398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23"/>
    <x v="4"/>
    <x v="1"/>
    <x v="2"/>
    <n v="91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24"/>
    <x v="0"/>
    <x v="0"/>
    <x v="0"/>
    <n v="78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24"/>
    <x v="1"/>
    <x v="1"/>
    <x v="0"/>
    <n v="78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24"/>
    <x v="2"/>
    <x v="2"/>
    <x v="1"/>
    <n v="78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24"/>
    <x v="3"/>
    <x v="3"/>
    <x v="1"/>
    <n v="0.32507361550254599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24"/>
    <x v="4"/>
    <x v="1"/>
    <x v="2"/>
    <n v="78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25"/>
    <x v="0"/>
    <x v="0"/>
    <x v="0"/>
    <n v="88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25"/>
    <x v="1"/>
    <x v="1"/>
    <x v="0"/>
    <n v="88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25"/>
    <x v="2"/>
    <x v="2"/>
    <x v="1"/>
    <n v="88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25"/>
    <x v="3"/>
    <x v="3"/>
    <x v="1"/>
    <n v="0.31227866322202602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25"/>
    <x v="4"/>
    <x v="1"/>
    <x v="2"/>
    <n v="88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26"/>
    <x v="0"/>
    <x v="0"/>
    <x v="0"/>
    <n v="88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26"/>
    <x v="1"/>
    <x v="1"/>
    <x v="0"/>
    <n v="86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26"/>
    <x v="2"/>
    <x v="2"/>
    <x v="1"/>
    <n v="88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26"/>
    <x v="3"/>
    <x v="3"/>
    <x v="1"/>
    <n v="0.33968012696710298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26"/>
    <x v="4"/>
    <x v="1"/>
    <x v="2"/>
    <n v="86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27"/>
    <x v="0"/>
    <x v="0"/>
    <x v="0"/>
    <n v="91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27"/>
    <x v="1"/>
    <x v="1"/>
    <x v="0"/>
    <n v="90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27"/>
    <x v="2"/>
    <x v="2"/>
    <x v="1"/>
    <n v="91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27"/>
    <x v="3"/>
    <x v="3"/>
    <x v="1"/>
    <n v="0.376790322565695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27"/>
    <x v="4"/>
    <x v="1"/>
    <x v="2"/>
    <n v="90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28"/>
    <x v="0"/>
    <x v="0"/>
    <x v="0"/>
    <n v="98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28"/>
    <x v="1"/>
    <x v="1"/>
    <x v="0"/>
    <n v="98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28"/>
    <x v="2"/>
    <x v="2"/>
    <x v="1"/>
    <n v="98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28"/>
    <x v="3"/>
    <x v="3"/>
    <x v="1"/>
    <n v="0.36919214235279701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28"/>
    <x v="4"/>
    <x v="1"/>
    <x v="2"/>
    <n v="98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29"/>
    <x v="0"/>
    <x v="0"/>
    <x v="0"/>
    <n v="89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29"/>
    <x v="1"/>
    <x v="1"/>
    <x v="0"/>
    <n v="89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29"/>
    <x v="2"/>
    <x v="2"/>
    <x v="1"/>
    <n v="89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29"/>
    <x v="3"/>
    <x v="3"/>
    <x v="1"/>
    <n v="0.34655940766917498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29"/>
    <x v="4"/>
    <x v="1"/>
    <x v="2"/>
    <n v="89"/>
    <n v="0"/>
    <s v="Unnamed ProjectSystem.NumberOutNumber OutSystem"/>
    <n v="30"/>
    <n v="89.166666666666671"/>
    <n v="7.9658033485961566"/>
    <n v="0.95"/>
    <n v="2.9744798545740272"/>
    <n v="70"/>
    <n v="103"/>
  </r>
  <r>
    <x v="0"/>
    <s v="2025-02-11 20:42:49"/>
    <n v="30"/>
    <x v="0"/>
    <x v="0"/>
    <x v="0"/>
    <n v="102"/>
    <n v="0"/>
    <s v="Unnamed ProjectCustomer.NumberInNumber InEntity"/>
    <n v="30"/>
    <n v="89.733333333333334"/>
    <n v="8.0212361818523625"/>
    <n v="0.95"/>
    <n v="2.9951788146897829"/>
    <n v="71"/>
    <n v="103"/>
  </r>
  <r>
    <x v="0"/>
    <s v="2025-02-11 20:42:49"/>
    <n v="30"/>
    <x v="1"/>
    <x v="1"/>
    <x v="0"/>
    <n v="102"/>
    <n v="0"/>
    <s v="Unnamed ProjectCustomer.NumberOutNumber OutEntity"/>
    <n v="30"/>
    <n v="89.166666666666671"/>
    <n v="7.9658033485961566"/>
    <n v="0.95"/>
    <n v="2.9744798545740272"/>
    <n v="70"/>
    <n v="103"/>
  </r>
  <r>
    <x v="0"/>
    <s v="2025-02-11 20:42:49"/>
    <n v="30"/>
    <x v="2"/>
    <x v="2"/>
    <x v="1"/>
    <n v="102"/>
    <n v="0"/>
    <s v="Unnamed ProjectService Counter.NumberSeizedTotal Number SeizedResource"/>
    <n v="30"/>
    <n v="89.733333333333334"/>
    <n v="8.0212361818523625"/>
    <n v="0.95"/>
    <n v="2.9951788146897829"/>
    <n v="71"/>
    <n v="103"/>
  </r>
  <r>
    <x v="0"/>
    <s v="2025-02-11 20:42:49"/>
    <n v="30"/>
    <x v="3"/>
    <x v="3"/>
    <x v="1"/>
    <n v="0.38124130466846101"/>
    <n v="0"/>
    <s v="Unnamed ProjectService Counter.ScheduledUtilizationScheduled UtilizationResource"/>
    <n v="30"/>
    <n v="0.34420349255945865"/>
    <n v="4.5304829879571427E-2"/>
    <n v="0.95"/>
    <n v="1.6917101501813702E-2"/>
    <n v="0.24637585883753399"/>
    <n v="0.43753875749565602"/>
  </r>
  <r>
    <x v="0"/>
    <s v="2025-02-11 20:42:49"/>
    <n v="30"/>
    <x v="4"/>
    <x v="1"/>
    <x v="2"/>
    <n v="102"/>
    <n v="0"/>
    <s v="Unnamed ProjectSystem.NumberOutNumber OutSystem"/>
    <n v="30"/>
    <n v="89.166666666666671"/>
    <n v="7.9658033485961566"/>
    <n v="0.95"/>
    <n v="2.9744798545740272"/>
    <n v="70"/>
    <n v="10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s v="2025-02-11 20:42:49"/>
    <n v="1"/>
    <x v="0"/>
    <x v="0"/>
    <x v="0"/>
    <n v="82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1"/>
    <x v="1"/>
    <x v="0"/>
    <x v="0"/>
    <n v="0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2"/>
    <x v="0"/>
    <x v="0"/>
    <x v="0"/>
    <n v="100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2"/>
    <x v="1"/>
    <x v="0"/>
    <x v="0"/>
    <n v="1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3"/>
    <x v="0"/>
    <x v="0"/>
    <x v="0"/>
    <n v="103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3"/>
    <x v="1"/>
    <x v="0"/>
    <x v="0"/>
    <n v="1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4"/>
    <x v="0"/>
    <x v="0"/>
    <x v="0"/>
    <n v="89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4"/>
    <x v="1"/>
    <x v="0"/>
    <x v="0"/>
    <n v="1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5"/>
    <x v="0"/>
    <x v="0"/>
    <x v="0"/>
    <n v="94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5"/>
    <x v="1"/>
    <x v="0"/>
    <x v="0"/>
    <n v="1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6"/>
    <x v="0"/>
    <x v="0"/>
    <x v="0"/>
    <n v="95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6"/>
    <x v="1"/>
    <x v="0"/>
    <x v="0"/>
    <n v="1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7"/>
    <x v="0"/>
    <x v="0"/>
    <x v="0"/>
    <n v="89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7"/>
    <x v="1"/>
    <x v="0"/>
    <x v="0"/>
    <n v="5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8"/>
    <x v="0"/>
    <x v="0"/>
    <x v="0"/>
    <n v="73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8"/>
    <x v="1"/>
    <x v="0"/>
    <x v="0"/>
    <n v="1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9"/>
    <x v="0"/>
    <x v="0"/>
    <x v="0"/>
    <n v="86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9"/>
    <x v="1"/>
    <x v="0"/>
    <x v="0"/>
    <n v="1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10"/>
    <x v="0"/>
    <x v="0"/>
    <x v="0"/>
    <n v="81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10"/>
    <x v="1"/>
    <x v="0"/>
    <x v="0"/>
    <n v="0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11"/>
    <x v="0"/>
    <x v="0"/>
    <x v="0"/>
    <n v="94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11"/>
    <x v="1"/>
    <x v="0"/>
    <x v="0"/>
    <n v="1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12"/>
    <x v="0"/>
    <x v="0"/>
    <x v="0"/>
    <n v="84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12"/>
    <x v="1"/>
    <x v="0"/>
    <x v="0"/>
    <n v="5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13"/>
    <x v="0"/>
    <x v="0"/>
    <x v="0"/>
    <n v="92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13"/>
    <x v="1"/>
    <x v="0"/>
    <x v="0"/>
    <n v="0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14"/>
    <x v="0"/>
    <x v="0"/>
    <x v="0"/>
    <n v="94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14"/>
    <x v="1"/>
    <x v="0"/>
    <x v="0"/>
    <n v="2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15"/>
    <x v="0"/>
    <x v="0"/>
    <x v="0"/>
    <n v="86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15"/>
    <x v="1"/>
    <x v="0"/>
    <x v="0"/>
    <n v="0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16"/>
    <x v="0"/>
    <x v="0"/>
    <x v="0"/>
    <n v="92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16"/>
    <x v="1"/>
    <x v="0"/>
    <x v="0"/>
    <n v="3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17"/>
    <x v="0"/>
    <x v="0"/>
    <x v="0"/>
    <n v="70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17"/>
    <x v="1"/>
    <x v="0"/>
    <x v="0"/>
    <n v="1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18"/>
    <x v="0"/>
    <x v="0"/>
    <x v="0"/>
    <n v="100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18"/>
    <x v="1"/>
    <x v="0"/>
    <x v="0"/>
    <n v="1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19"/>
    <x v="0"/>
    <x v="0"/>
    <x v="0"/>
    <n v="84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19"/>
    <x v="1"/>
    <x v="0"/>
    <x v="0"/>
    <n v="1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20"/>
    <x v="0"/>
    <x v="0"/>
    <x v="0"/>
    <n v="84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20"/>
    <x v="1"/>
    <x v="0"/>
    <x v="0"/>
    <n v="0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21"/>
    <x v="0"/>
    <x v="0"/>
    <x v="0"/>
    <n v="96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21"/>
    <x v="1"/>
    <x v="0"/>
    <x v="0"/>
    <n v="3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22"/>
    <x v="0"/>
    <x v="0"/>
    <x v="0"/>
    <n v="85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22"/>
    <x v="1"/>
    <x v="0"/>
    <x v="0"/>
    <n v="9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23"/>
    <x v="0"/>
    <x v="0"/>
    <x v="0"/>
    <n v="91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23"/>
    <x v="1"/>
    <x v="0"/>
    <x v="0"/>
    <n v="1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24"/>
    <x v="0"/>
    <x v="0"/>
    <x v="0"/>
    <n v="78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24"/>
    <x v="1"/>
    <x v="0"/>
    <x v="0"/>
    <n v="2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25"/>
    <x v="0"/>
    <x v="0"/>
    <x v="0"/>
    <n v="88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25"/>
    <x v="1"/>
    <x v="0"/>
    <x v="0"/>
    <n v="1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26"/>
    <x v="0"/>
    <x v="0"/>
    <x v="0"/>
    <n v="86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26"/>
    <x v="1"/>
    <x v="0"/>
    <x v="0"/>
    <n v="6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27"/>
    <x v="0"/>
    <x v="0"/>
    <x v="0"/>
    <n v="90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27"/>
    <x v="1"/>
    <x v="0"/>
    <x v="0"/>
    <n v="4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28"/>
    <x v="0"/>
    <x v="0"/>
    <x v="0"/>
    <n v="98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28"/>
    <x v="1"/>
    <x v="0"/>
    <x v="0"/>
    <n v="2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29"/>
    <x v="0"/>
    <x v="0"/>
    <x v="0"/>
    <n v="89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29"/>
    <x v="1"/>
    <x v="0"/>
    <x v="0"/>
    <n v="1"/>
    <s v="Unnamed Projectwaiting time over 6minsCountUser Specified"/>
    <n v="30"/>
    <n v="1.8333333333333333"/>
    <n v="2.0858031337217993"/>
    <n v="0.95"/>
    <n v="0.77885169020099576"/>
    <n v="0"/>
    <n v="9"/>
  </r>
  <r>
    <x v="0"/>
    <s v="2025-02-11 20:42:49"/>
    <n v="30"/>
    <x v="0"/>
    <x v="0"/>
    <x v="0"/>
    <n v="102"/>
    <s v="Unnamed Projectcustomer servedCountUser Specified"/>
    <n v="30"/>
    <n v="89.166666666666671"/>
    <n v="7.9658033485961566"/>
    <n v="0.95"/>
    <n v="2.9744798545740272"/>
    <n v="70"/>
    <n v="103"/>
  </r>
  <r>
    <x v="0"/>
    <s v="2025-02-11 20:42:49"/>
    <n v="30"/>
    <x v="1"/>
    <x v="0"/>
    <x v="0"/>
    <n v="0"/>
    <s v="Unnamed Projectwaiting time over 6minsCountUser Specified"/>
    <n v="30"/>
    <n v="1.8333333333333333"/>
    <n v="2.0858031337217993"/>
    <n v="0.95"/>
    <n v="0.77885169020099576"/>
    <n v="0"/>
    <n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 v="4"/>
      <x/>
    </i>
    <i r="1">
      <x v="125"/>
      <x/>
      <x v="2"/>
    </i>
    <i r="2">
      <x v="1"/>
      <x v="2"/>
    </i>
    <i r="2">
      <x v="2"/>
      <x v="2"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11" tableType="queryTable" totalsRowShown="0">
  <autoFilter ref="A1:Y211" xr:uid="{C3D003CA-1AFF-426C-A03D-D3AF5760DF1A}"/>
  <sortState xmlns:xlrd2="http://schemas.microsoft.com/office/spreadsheetml/2017/richdata2" ref="A2:Y211">
    <sortCondition ref="D1:D2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5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5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4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4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51" tableType="queryTable" totalsRowShown="0">
  <autoFilter ref="A1:U1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6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6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6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6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6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6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61" tableType="queryTable" totalsRowShown="0">
  <autoFilter ref="A1:O6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51" tableType="queryTable" totalsRowShown="0">
  <autoFilter ref="A1:P1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" x14ac:dyDescent="0.3"/>
  <cols>
    <col min="1" max="1" width="15.1640625" bestFit="1" customWidth="1"/>
    <col min="2" max="2" width="58.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30</v>
      </c>
      <c r="F2">
        <v>540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" x14ac:dyDescent="0.3"/>
  <cols>
    <col min="1" max="1" width="33.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4140625" bestFit="1" customWidth="1"/>
    <col min="31" max="31" width="25.5" bestFit="1" customWidth="1"/>
    <col min="32" max="32" width="12.332031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25" bestFit="1" customWidth="1"/>
    <col min="56" max="56" width="31.9140625" bestFit="1" customWidth="1"/>
    <col min="57" max="57" width="21.7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89.166666666666671</v>
      </c>
      <c r="O3" t="s">
        <v>66</v>
      </c>
      <c r="P3" t="s">
        <v>69</v>
      </c>
      <c r="Q3" t="s">
        <v>80</v>
      </c>
      <c r="R3" t="s">
        <v>71</v>
      </c>
      <c r="S3" s="5">
        <v>0.76963272724315213</v>
      </c>
      <c r="T3" s="5">
        <v>4.1935412470375577E-2</v>
      </c>
      <c r="U3" s="5">
        <v>0.11230509716433017</v>
      </c>
      <c r="V3" s="5">
        <v>0.51620715055831201</v>
      </c>
      <c r="W3" s="5">
        <v>0.96520009407777796</v>
      </c>
      <c r="X3" s="5">
        <v>0</v>
      </c>
      <c r="Y3" s="5">
        <v>7</v>
      </c>
      <c r="AA3" t="s">
        <v>66</v>
      </c>
      <c r="AB3" t="s">
        <v>87</v>
      </c>
      <c r="AC3" t="s">
        <v>88</v>
      </c>
      <c r="AD3" t="s">
        <v>89</v>
      </c>
      <c r="AE3" s="5">
        <v>89.166666666666671</v>
      </c>
      <c r="AF3" s="5">
        <v>2.9744798545740272</v>
      </c>
      <c r="AG3" s="5">
        <v>7.9658033485961566</v>
      </c>
      <c r="AH3" s="5">
        <v>70</v>
      </c>
      <c r="AI3" s="5">
        <v>103</v>
      </c>
      <c r="AK3" t="s">
        <v>66</v>
      </c>
      <c r="AL3" t="s">
        <v>99</v>
      </c>
      <c r="AM3" t="s">
        <v>94</v>
      </c>
      <c r="AN3" t="s">
        <v>100</v>
      </c>
      <c r="AO3" s="5">
        <v>89.166666666666671</v>
      </c>
      <c r="AP3" s="5">
        <v>2.9744798545740272</v>
      </c>
      <c r="AQ3" s="5">
        <v>7.9658033485961566</v>
      </c>
      <c r="AR3" s="5">
        <v>70</v>
      </c>
      <c r="AS3" s="5">
        <v>103</v>
      </c>
      <c r="AU3" t="s">
        <v>101</v>
      </c>
      <c r="AV3" t="s">
        <v>101</v>
      </c>
      <c r="AW3" t="s">
        <v>101</v>
      </c>
      <c r="AX3" t="s">
        <v>101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89.166666666666671</v>
      </c>
      <c r="P4" t="s">
        <v>81</v>
      </c>
      <c r="Q4" t="s">
        <v>82</v>
      </c>
      <c r="R4" t="s">
        <v>83</v>
      </c>
      <c r="S4" s="5">
        <v>0.34420349255945865</v>
      </c>
      <c r="T4" s="5">
        <v>1.6917101501813702E-2</v>
      </c>
      <c r="U4" s="5">
        <v>4.5304829879571427E-2</v>
      </c>
      <c r="V4" s="5">
        <v>0.24637585883753399</v>
      </c>
      <c r="W4" s="5">
        <v>0.43753875749565602</v>
      </c>
      <c r="X4" s="5">
        <v>0</v>
      </c>
      <c r="Y4" s="5">
        <v>1</v>
      </c>
      <c r="AB4" t="s">
        <v>90</v>
      </c>
      <c r="AC4" t="s">
        <v>88</v>
      </c>
      <c r="AD4" t="s">
        <v>89</v>
      </c>
      <c r="AE4" s="5">
        <v>1.8333333333333333</v>
      </c>
      <c r="AF4" s="5">
        <v>0.77885169020099576</v>
      </c>
      <c r="AG4" s="5">
        <v>2.0858031337217993</v>
      </c>
      <c r="AH4" s="5">
        <v>0</v>
      </c>
      <c r="AI4" s="5">
        <v>9</v>
      </c>
      <c r="AL4" t="s">
        <v>91</v>
      </c>
      <c r="AM4" t="s">
        <v>92</v>
      </c>
      <c r="AN4" t="s">
        <v>71</v>
      </c>
      <c r="AO4" s="5">
        <v>89.733333333333334</v>
      </c>
      <c r="AP4" s="5">
        <v>2.9951788146897829</v>
      </c>
      <c r="AQ4" s="5">
        <v>8.0212361818523625</v>
      </c>
      <c r="AR4" s="5">
        <v>71</v>
      </c>
      <c r="AS4" s="5">
        <v>103</v>
      </c>
    </row>
    <row r="5" spans="1:52" x14ac:dyDescent="0.3">
      <c r="C5" t="s">
        <v>73</v>
      </c>
      <c r="D5" t="s">
        <v>71</v>
      </c>
      <c r="E5" s="5">
        <v>4.6400860420021628</v>
      </c>
      <c r="F5" s="5">
        <v>1</v>
      </c>
      <c r="G5" s="5">
        <v>0.2180721449694937</v>
      </c>
      <c r="H5" s="5">
        <v>0.58400792997884021</v>
      </c>
      <c r="I5" s="5">
        <v>3.4413810037220798</v>
      </c>
      <c r="J5" s="5">
        <v>6.0570535223218798</v>
      </c>
      <c r="K5" s="5">
        <v>3.13770240211397E-4</v>
      </c>
      <c r="L5" s="5">
        <v>33.351429551716201</v>
      </c>
      <c r="M5" s="5">
        <v>89.166666666666671</v>
      </c>
      <c r="Q5" t="s">
        <v>84</v>
      </c>
      <c r="R5" t="s">
        <v>83</v>
      </c>
      <c r="S5" s="5">
        <v>0.68840698511891729</v>
      </c>
      <c r="T5" s="5">
        <v>3.3834203003627404E-2</v>
      </c>
      <c r="U5" s="5">
        <v>9.0609659759142855E-2</v>
      </c>
      <c r="V5" s="5">
        <v>0.49275171767506898</v>
      </c>
      <c r="W5" s="5">
        <v>0.87507751499131203</v>
      </c>
      <c r="X5" s="5">
        <v>0</v>
      </c>
      <c r="Y5" s="5">
        <v>2</v>
      </c>
      <c r="AL5" t="s">
        <v>93</v>
      </c>
      <c r="AM5" t="s">
        <v>94</v>
      </c>
      <c r="AN5" t="s">
        <v>71</v>
      </c>
      <c r="AO5" s="5">
        <v>89.166666666666671</v>
      </c>
      <c r="AP5" s="5">
        <v>2.9744798545740272</v>
      </c>
      <c r="AQ5" s="5">
        <v>7.9658033485961566</v>
      </c>
      <c r="AR5" s="5">
        <v>70</v>
      </c>
      <c r="AS5" s="5">
        <v>103</v>
      </c>
    </row>
    <row r="6" spans="1:52" x14ac:dyDescent="0.3">
      <c r="C6" t="s">
        <v>74</v>
      </c>
      <c r="D6" t="s">
        <v>71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89.166666666666671</v>
      </c>
      <c r="Q6" t="s">
        <v>85</v>
      </c>
      <c r="R6" t="s">
        <v>83</v>
      </c>
      <c r="S6" s="5">
        <v>2</v>
      </c>
      <c r="T6" s="5">
        <v>0</v>
      </c>
      <c r="U6" s="5">
        <v>0</v>
      </c>
      <c r="V6" s="5">
        <v>2</v>
      </c>
      <c r="W6" s="5">
        <v>2</v>
      </c>
      <c r="X6" s="5">
        <v>2</v>
      </c>
      <c r="Y6" s="5">
        <v>2</v>
      </c>
      <c r="AL6" t="s">
        <v>95</v>
      </c>
      <c r="AM6" t="s">
        <v>96</v>
      </c>
      <c r="AN6" t="s">
        <v>83</v>
      </c>
      <c r="AO6" s="5">
        <v>89.733333333333334</v>
      </c>
      <c r="AP6" s="5">
        <v>2.9951788146897829</v>
      </c>
      <c r="AQ6" s="5">
        <v>8.0212361818523625</v>
      </c>
      <c r="AR6" s="5">
        <v>71</v>
      </c>
      <c r="AS6" s="5">
        <v>103</v>
      </c>
    </row>
    <row r="7" spans="1:52" x14ac:dyDescent="0.3">
      <c r="C7" t="s">
        <v>75</v>
      </c>
      <c r="D7" t="s">
        <v>71</v>
      </c>
      <c r="E7" s="5">
        <v>4.1484971853511476</v>
      </c>
      <c r="F7" s="5">
        <v>1</v>
      </c>
      <c r="G7" s="5">
        <v>0.16226681795670911</v>
      </c>
      <c r="H7" s="5">
        <v>0.43455851948632768</v>
      </c>
      <c r="I7" s="5">
        <v>3.2850114511671298</v>
      </c>
      <c r="J7" s="5">
        <v>5.0358229399280701</v>
      </c>
      <c r="K7" s="5">
        <v>3.13770240211397E-4</v>
      </c>
      <c r="L7" s="5">
        <v>33.351429551716201</v>
      </c>
      <c r="M7" s="5">
        <v>89.166666666666671</v>
      </c>
      <c r="P7" t="s">
        <v>77</v>
      </c>
      <c r="Q7" t="s">
        <v>86</v>
      </c>
      <c r="R7" t="s">
        <v>79</v>
      </c>
      <c r="S7" s="5">
        <v>8.1225742124235056E-2</v>
      </c>
      <c r="T7" s="5">
        <v>1.4090258842664636E-2</v>
      </c>
      <c r="U7" s="5">
        <v>3.7734406201772173E-2</v>
      </c>
      <c r="V7" s="5">
        <v>2.3455432883242699E-2</v>
      </c>
      <c r="W7" s="5">
        <v>0.18892160918798101</v>
      </c>
      <c r="X7" s="5">
        <v>0</v>
      </c>
      <c r="Y7" s="5">
        <v>5</v>
      </c>
      <c r="AL7" t="s">
        <v>97</v>
      </c>
      <c r="AM7" t="s">
        <v>98</v>
      </c>
      <c r="AN7" t="s">
        <v>83</v>
      </c>
      <c r="AO7" s="5">
        <v>0.34420349255945865</v>
      </c>
      <c r="AP7" s="5">
        <v>1.6917101501813702E-2</v>
      </c>
      <c r="AQ7" s="5">
        <v>4.5304829879571427E-2</v>
      </c>
      <c r="AR7" s="5">
        <v>0.24637585883753399</v>
      </c>
      <c r="AS7" s="5">
        <v>0.43753875749565602</v>
      </c>
    </row>
    <row r="8" spans="1:52" x14ac:dyDescent="0.3">
      <c r="C8" t="s">
        <v>76</v>
      </c>
      <c r="D8" t="s">
        <v>71</v>
      </c>
      <c r="E8" s="5">
        <v>0.49158885665101598</v>
      </c>
      <c r="F8" s="5">
        <v>1</v>
      </c>
      <c r="G8" s="5">
        <v>8.7290125045466668E-2</v>
      </c>
      <c r="H8" s="5">
        <v>0.23376724818535846</v>
      </c>
      <c r="I8" s="5">
        <v>0.156369552554951</v>
      </c>
      <c r="J8" s="5">
        <v>1.18625196466872</v>
      </c>
      <c r="K8" s="5">
        <v>0</v>
      </c>
      <c r="L8" s="5">
        <v>14.014497530459</v>
      </c>
      <c r="M8" s="5">
        <v>89.166666666666671</v>
      </c>
    </row>
    <row r="9" spans="1:52" x14ac:dyDescent="0.3">
      <c r="B9" t="s">
        <v>77</v>
      </c>
      <c r="C9" t="s">
        <v>78</v>
      </c>
      <c r="D9" t="s">
        <v>79</v>
      </c>
      <c r="E9" s="5">
        <v>0.48927345971256209</v>
      </c>
      <c r="F9" s="5">
        <v>1</v>
      </c>
      <c r="G9" s="5">
        <v>8.658586626611614E-2</v>
      </c>
      <c r="H9" s="5">
        <v>0.23188120853570279</v>
      </c>
      <c r="I9" s="5">
        <v>0.156369552554951</v>
      </c>
      <c r="J9" s="5">
        <v>1.1592916927444299</v>
      </c>
      <c r="K9" s="5">
        <v>0</v>
      </c>
      <c r="L9" s="5">
        <v>14.014497530459</v>
      </c>
      <c r="M9" s="5">
        <v>89.733333333333334</v>
      </c>
    </row>
  </sheetData>
  <dataConsolidate/>
  <phoneticPr fontId="3" type="noConversion"/>
  <conditionalFormatting pivot="1" sqref="G3:G9">
    <cfRule type="expression" dxfId="37" priority="10">
      <formula>G3=200000000000000000000</formula>
    </cfRule>
  </conditionalFormatting>
  <conditionalFormatting pivot="1" sqref="T3:T7">
    <cfRule type="expression" dxfId="36" priority="9">
      <formula>T3=200000000000000000000</formula>
    </cfRule>
  </conditionalFormatting>
  <conditionalFormatting pivot="1" sqref="T3:T7">
    <cfRule type="expression" dxfId="35" priority="8">
      <formula>T3=300000000000000000000</formula>
    </cfRule>
  </conditionalFormatting>
  <conditionalFormatting pivot="1" sqref="G3:G9">
    <cfRule type="expression" dxfId="34" priority="7">
      <formula>G3=300000000000000000000</formula>
    </cfRule>
  </conditionalFormatting>
  <conditionalFormatting pivot="1" sqref="F3:F9">
    <cfRule type="expression" dxfId="33" priority="6">
      <formula>F3=0</formula>
    </cfRule>
  </conditionalFormatting>
  <conditionalFormatting pivot="1" sqref="F3:F9">
    <cfRule type="expression" dxfId="32" priority="5">
      <formula>F3=1</formula>
    </cfRule>
  </conditionalFormatting>
  <conditionalFormatting pivot="1" sqref="T3:T7">
    <cfRule type="expression" dxfId="31" priority="4">
      <formula>T3=400000000000000000000</formula>
    </cfRule>
  </conditionalFormatting>
  <conditionalFormatting pivot="1" sqref="AP3:AP7">
    <cfRule type="expression" dxfId="30" priority="3">
      <formula>AP3=400000000000000000000</formula>
    </cfRule>
  </conditionalFormatting>
  <conditionalFormatting pivot="1" sqref="AF3:AF4">
    <cfRule type="expression" dxfId="29" priority="2">
      <formula>AF3=400000000000000000000</formula>
    </cfRule>
  </conditionalFormatting>
  <conditionalFormatting pivot="1" sqref="G3:G9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11"/>
  <sheetViews>
    <sheetView workbookViewId="0">
      <selection activeCell="K2" sqref="K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50.7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82</v>
      </c>
      <c r="L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30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30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82</v>
      </c>
      <c r="L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30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30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5.0079271214447099</v>
      </c>
      <c r="H4">
        <v>2E+20</v>
      </c>
      <c r="I4">
        <v>0.240685415010012</v>
      </c>
      <c r="J4">
        <v>21.9918115238357</v>
      </c>
      <c r="K4">
        <v>82</v>
      </c>
      <c r="L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30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4.6400860420021628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0.58400792997884021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4" cm="1">
        <f t="array" ref="R4">MIN(IF((DiscreteStatsTable[GroupByKey]=DiscreteStatsTable[[#This Row],[GroupByKey]]),(DiscreteStatsTable[GroupByKey]=DiscreteStatsTable[[#This Row],[GroupByKey]])*DiscreteStatsTable[Average]))</f>
        <v>3.4413810037220798</v>
      </c>
      <c r="S4" cm="1">
        <f t="array" ref="S4">MAX(IF((DiscreteStatsTable[GroupByKey]=DiscreteStatsTable[[#This Row],[GroupByKey]]),(DiscreteStatsTable[GroupByKey]=DiscreteStatsTable[[#This Row],[GroupByKey]])*DiscreteStatsTable[Average]))</f>
        <v>6.0570535223218798</v>
      </c>
      <c r="T4" cm="1">
        <f t="array" ref="T4">MIN(IF((DiscreteStatsTable[GroupByKey]=DiscreteStatsTable[[#This Row],[GroupByKey]]),(DiscreteStatsTable[GroupByKey]=DiscreteStatsTable[[#This Row],[GroupByKey]])*DiscreteStatsTable[Minimum]))</f>
        <v>3.13770240211397E-4</v>
      </c>
      <c r="U4" cm="1">
        <f t="array" ref="U4">MAX(IF((DiscreteStatsTable[GroupByKey]=DiscreteStatsTable[[#This Row],[GroupByKey]]),(DiscreteStatsTable[GroupByKey]=DiscreteStatsTable[[#This Row],[GroupByKey]])*DiscreteStatsTable[Maximum]))</f>
        <v>33.351429551716201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4">
        <f>IF((DiscreteStatsTable[[#This Row],[RepsRequested]]&gt;1),DiscreteStatsTable[[#This Row],[HalfWidth]],DiscreteStatsTable[[#This Row],[BatchMeansHalfWidth]])</f>
        <v>0.2180721449694937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30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82</v>
      </c>
      <c r="L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30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30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4.6638660930499096</v>
      </c>
      <c r="H6">
        <v>2E+20</v>
      </c>
      <c r="I6">
        <v>1.2404049856513701E-2</v>
      </c>
      <c r="J6">
        <v>20.5913616663738</v>
      </c>
      <c r="K6">
        <v>82</v>
      </c>
      <c r="L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30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4.1484971853511476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0.43455851948632768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6" cm="1">
        <f t="array" ref="R6">MIN(IF((DiscreteStatsTable[GroupByKey]=DiscreteStatsTable[[#This Row],[GroupByKey]]),(DiscreteStatsTable[GroupByKey]=DiscreteStatsTable[[#This Row],[GroupByKey]])*DiscreteStatsTable[Average]))</f>
        <v>3.2850114511671298</v>
      </c>
      <c r="S6" cm="1">
        <f t="array" ref="S6">MAX(IF((DiscreteStatsTable[GroupByKey]=DiscreteStatsTable[[#This Row],[GroupByKey]]),(DiscreteStatsTable[GroupByKey]=DiscreteStatsTable[[#This Row],[GroupByKey]])*DiscreteStatsTable[Average]))</f>
        <v>5.0358229399280701</v>
      </c>
      <c r="T6" cm="1">
        <f t="array" ref="T6">MIN(IF((DiscreteStatsTable[GroupByKey]=DiscreteStatsTable[[#This Row],[GroupByKey]]),(DiscreteStatsTable[GroupByKey]=DiscreteStatsTable[[#This Row],[GroupByKey]])*DiscreteStatsTable[Minimum]))</f>
        <v>3.13770240211397E-4</v>
      </c>
      <c r="U6" cm="1">
        <f t="array" ref="U6">MAX(IF((DiscreteStatsTable[GroupByKey]=DiscreteStatsTable[[#This Row],[GroupByKey]]),(DiscreteStatsTable[GroupByKey]=DiscreteStatsTable[[#This Row],[GroupByKey]])*DiscreteStatsTable[Maximum]))</f>
        <v>33.351429551716201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6">
        <f>IF((DiscreteStatsTable[[#This Row],[RepsRequested]]&gt;1),DiscreteStatsTable[[#This Row],[HalfWidth]],DiscreteStatsTable[[#This Row],[BatchMeansHalfWidth]])</f>
        <v>0.16226681795670911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30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0.34406102839480401</v>
      </c>
      <c r="H7">
        <v>2E+20</v>
      </c>
      <c r="I7">
        <v>0</v>
      </c>
      <c r="J7">
        <v>5.1618756049953198</v>
      </c>
      <c r="K7">
        <v>82</v>
      </c>
      <c r="L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30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0.49158885665101598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0.23376724818535846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7" cm="1">
        <f t="array" ref="R7">MIN(IF((DiscreteStatsTable[GroupByKey]=DiscreteStatsTable[[#This Row],[GroupByKey]]),(DiscreteStatsTable[GroupByKey]=DiscreteStatsTable[[#This Row],[GroupByKey]])*DiscreteStatsTable[Average]))</f>
        <v>0.156369552554951</v>
      </c>
      <c r="S7" cm="1">
        <f t="array" ref="S7">MAX(IF((DiscreteStatsTable[GroupByKey]=DiscreteStatsTable[[#This Row],[GroupByKey]]),(DiscreteStatsTable[GroupByKey]=DiscreteStatsTable[[#This Row],[GroupByKey]])*DiscreteStatsTable[Average]))</f>
        <v>1.18625196466872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14.014497530459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7">
        <f>IF((DiscreteStatsTable[[#This Row],[RepsRequested]]&gt;1),DiscreteStatsTable[[#This Row],[HalfWidth]],DiscreteStatsTable[[#This Row],[BatchMeansHalfWidth]])</f>
        <v>8.7290125045466668E-2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30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2</v>
      </c>
      <c r="D8" t="s">
        <v>69</v>
      </c>
      <c r="E8" t="s">
        <v>70</v>
      </c>
      <c r="F8" t="s">
        <v>71</v>
      </c>
      <c r="G8">
        <v>0</v>
      </c>
      <c r="H8">
        <v>2E+20</v>
      </c>
      <c r="I8">
        <v>0</v>
      </c>
      <c r="J8">
        <v>0</v>
      </c>
      <c r="K8">
        <v>100</v>
      </c>
      <c r="L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30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30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2</v>
      </c>
      <c r="D9" t="s">
        <v>69</v>
      </c>
      <c r="E9" t="s">
        <v>72</v>
      </c>
      <c r="F9" t="s">
        <v>71</v>
      </c>
      <c r="G9">
        <v>0</v>
      </c>
      <c r="H9">
        <v>2E+20</v>
      </c>
      <c r="I9">
        <v>0</v>
      </c>
      <c r="J9">
        <v>0</v>
      </c>
      <c r="K9">
        <v>100</v>
      </c>
      <c r="L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30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30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2</v>
      </c>
      <c r="D10" t="s">
        <v>69</v>
      </c>
      <c r="E10" t="s">
        <v>73</v>
      </c>
      <c r="F10" t="s">
        <v>71</v>
      </c>
      <c r="G10">
        <v>4.8108815864535499</v>
      </c>
      <c r="H10">
        <v>2E+20</v>
      </c>
      <c r="I10">
        <v>0.10209336941670701</v>
      </c>
      <c r="J10">
        <v>32.330262283832198</v>
      </c>
      <c r="K10">
        <v>100</v>
      </c>
      <c r="L1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30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4.6400860420021628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0.58400792997884021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3.4413810037220798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6.0570535223218798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3.13770240211397E-4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33.351429551716201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0">
        <f>IF((DiscreteStatsTable[[#This Row],[RepsRequested]]&gt;1),DiscreteStatsTable[[#This Row],[HalfWidth]],DiscreteStatsTable[[#This Row],[BatchMeansHalfWidth]])</f>
        <v>0.2180721449694937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30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2</v>
      </c>
      <c r="D11" t="s">
        <v>69</v>
      </c>
      <c r="E11" t="s">
        <v>74</v>
      </c>
      <c r="F11" t="s">
        <v>71</v>
      </c>
      <c r="G11">
        <v>0</v>
      </c>
      <c r="H11">
        <v>2E+20</v>
      </c>
      <c r="I11">
        <v>0</v>
      </c>
      <c r="J11">
        <v>0</v>
      </c>
      <c r="K11">
        <v>100</v>
      </c>
      <c r="L1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30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30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2</v>
      </c>
      <c r="D12" t="s">
        <v>69</v>
      </c>
      <c r="E12" t="s">
        <v>75</v>
      </c>
      <c r="F12" t="s">
        <v>71</v>
      </c>
      <c r="G12">
        <v>4.3375136431926897</v>
      </c>
      <c r="H12">
        <v>2E+20</v>
      </c>
      <c r="I12">
        <v>7.1951440174757395E-2</v>
      </c>
      <c r="J12">
        <v>32.330262283832198</v>
      </c>
      <c r="K12">
        <v>100</v>
      </c>
      <c r="L1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30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4.1484971853511476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0.43455851948632768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3.2850114511671298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5.0358229399280701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3.13770240211397E-4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33.351429551716201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2">
        <f>IF((DiscreteStatsTable[[#This Row],[RepsRequested]]&gt;1),DiscreteStatsTable[[#This Row],[HalfWidth]],DiscreteStatsTable[[#This Row],[BatchMeansHalfWidth]])</f>
        <v>0.16226681795670911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30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69</v>
      </c>
      <c r="E13" t="s">
        <v>76</v>
      </c>
      <c r="F13" t="s">
        <v>71</v>
      </c>
      <c r="G13">
        <v>0.47336794326086301</v>
      </c>
      <c r="H13">
        <v>2E+20</v>
      </c>
      <c r="I13">
        <v>0</v>
      </c>
      <c r="J13">
        <v>7.2860511438748103</v>
      </c>
      <c r="K13">
        <v>100</v>
      </c>
      <c r="L1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30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0.49158885665101598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0.23376724818535846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0.156369552554951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1.18625196466872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14.014497530459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3">
        <f>IF((DiscreteStatsTable[[#This Row],[RepsRequested]]&gt;1),DiscreteStatsTable[[#This Row],[HalfWidth]],DiscreteStatsTable[[#This Row],[BatchMeansHalfWidth]])</f>
        <v>8.7290125045466668E-2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30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69</v>
      </c>
      <c r="E14" t="s">
        <v>70</v>
      </c>
      <c r="F14" t="s">
        <v>71</v>
      </c>
      <c r="G14">
        <v>0</v>
      </c>
      <c r="H14">
        <v>2E+20</v>
      </c>
      <c r="I14">
        <v>0</v>
      </c>
      <c r="J14">
        <v>0</v>
      </c>
      <c r="K14">
        <v>103</v>
      </c>
      <c r="L1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30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30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3</v>
      </c>
      <c r="D15" t="s">
        <v>69</v>
      </c>
      <c r="E15" t="s">
        <v>72</v>
      </c>
      <c r="F15" t="s">
        <v>71</v>
      </c>
      <c r="G15">
        <v>0</v>
      </c>
      <c r="H15">
        <v>2E+20</v>
      </c>
      <c r="I15">
        <v>0</v>
      </c>
      <c r="J15">
        <v>0</v>
      </c>
      <c r="K15">
        <v>103</v>
      </c>
      <c r="L1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30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30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3</v>
      </c>
      <c r="D16" t="s">
        <v>69</v>
      </c>
      <c r="E16" t="s">
        <v>73</v>
      </c>
      <c r="F16" t="s">
        <v>71</v>
      </c>
      <c r="G16">
        <v>4.3209631142309899</v>
      </c>
      <c r="H16">
        <v>2E+20</v>
      </c>
      <c r="I16">
        <v>1.6395282977745701E-2</v>
      </c>
      <c r="J16">
        <v>27.506328014739601</v>
      </c>
      <c r="K16">
        <v>103</v>
      </c>
      <c r="L1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30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4.6400860420021628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0.58400792997884021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3.4413810037220798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6.0570535223218798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3.13770240211397E-4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33.351429551716201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6">
        <f>IF((DiscreteStatsTable[[#This Row],[RepsRequested]]&gt;1),DiscreteStatsTable[[#This Row],[HalfWidth]],DiscreteStatsTable[[#This Row],[BatchMeansHalfWidth]])</f>
        <v>0.2180721449694937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30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3</v>
      </c>
      <c r="D17" t="s">
        <v>69</v>
      </c>
      <c r="E17" t="s">
        <v>74</v>
      </c>
      <c r="F17" t="s">
        <v>71</v>
      </c>
      <c r="G17">
        <v>0</v>
      </c>
      <c r="H17">
        <v>2E+20</v>
      </c>
      <c r="I17">
        <v>0</v>
      </c>
      <c r="J17">
        <v>0</v>
      </c>
      <c r="K17">
        <v>103</v>
      </c>
      <c r="L1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30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30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3</v>
      </c>
      <c r="D18" t="s">
        <v>69</v>
      </c>
      <c r="E18" t="s">
        <v>75</v>
      </c>
      <c r="F18" t="s">
        <v>71</v>
      </c>
      <c r="G18">
        <v>4.0046976559891503</v>
      </c>
      <c r="H18">
        <v>2E+20</v>
      </c>
      <c r="I18">
        <v>1.6395282977745701E-2</v>
      </c>
      <c r="J18">
        <v>27.506328014739601</v>
      </c>
      <c r="K18">
        <v>103</v>
      </c>
      <c r="L1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30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4.1484971853511476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0.43455851948632768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3.2850114511671298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5.0358229399280701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3.13770240211397E-4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33.351429551716201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8">
        <f>IF((DiscreteStatsTable[[#This Row],[RepsRequested]]&gt;1),DiscreteStatsTable[[#This Row],[HalfWidth]],DiscreteStatsTable[[#This Row],[BatchMeansHalfWidth]])</f>
        <v>0.16226681795670911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30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3</v>
      </c>
      <c r="D19" t="s">
        <v>69</v>
      </c>
      <c r="E19" t="s">
        <v>76</v>
      </c>
      <c r="F19" t="s">
        <v>71</v>
      </c>
      <c r="G19">
        <v>0.31626545824183999</v>
      </c>
      <c r="H19">
        <v>2E+20</v>
      </c>
      <c r="I19">
        <v>0</v>
      </c>
      <c r="J19">
        <v>6.2720376716022797</v>
      </c>
      <c r="K19">
        <v>103</v>
      </c>
      <c r="L1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30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0.49158885665101598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0.23376724818535846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0.156369552554951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1.18625196466872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14.014497530459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9">
        <f>IF((DiscreteStatsTable[[#This Row],[RepsRequested]]&gt;1),DiscreteStatsTable[[#This Row],[HalfWidth]],DiscreteStatsTable[[#This Row],[BatchMeansHalfWidth]])</f>
        <v>8.7290125045466668E-2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30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4</v>
      </c>
      <c r="D20" t="s">
        <v>69</v>
      </c>
      <c r="E20" t="s">
        <v>70</v>
      </c>
      <c r="F20" t="s">
        <v>71</v>
      </c>
      <c r="G20">
        <v>0</v>
      </c>
      <c r="H20">
        <v>2E+20</v>
      </c>
      <c r="I20">
        <v>0</v>
      </c>
      <c r="J20">
        <v>0</v>
      </c>
      <c r="K20">
        <v>89</v>
      </c>
      <c r="L2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30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30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4</v>
      </c>
      <c r="D21" t="s">
        <v>69</v>
      </c>
      <c r="E21" t="s">
        <v>72</v>
      </c>
      <c r="F21" t="s">
        <v>71</v>
      </c>
      <c r="G21">
        <v>0</v>
      </c>
      <c r="H21">
        <v>2E+20</v>
      </c>
      <c r="I21">
        <v>0</v>
      </c>
      <c r="J21">
        <v>0</v>
      </c>
      <c r="K21">
        <v>89</v>
      </c>
      <c r="L2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30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30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4</v>
      </c>
      <c r="D22" t="s">
        <v>69</v>
      </c>
      <c r="E22" t="s">
        <v>73</v>
      </c>
      <c r="F22" t="s">
        <v>71</v>
      </c>
      <c r="G22">
        <v>4.5442459553368604</v>
      </c>
      <c r="H22">
        <v>2E+20</v>
      </c>
      <c r="I22">
        <v>1.83590431786342E-2</v>
      </c>
      <c r="J22">
        <v>20.918253774549399</v>
      </c>
      <c r="K22">
        <v>89</v>
      </c>
      <c r="L2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30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4.6400860420021628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0.58400792997884021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3.4413810037220798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6.0570535223218798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3.13770240211397E-4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33.351429551716201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22">
        <f>IF((DiscreteStatsTable[[#This Row],[RepsRequested]]&gt;1),DiscreteStatsTable[[#This Row],[HalfWidth]],DiscreteStatsTable[[#This Row],[BatchMeansHalfWidth]])</f>
        <v>0.2180721449694937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30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4</v>
      </c>
      <c r="D23" t="s">
        <v>69</v>
      </c>
      <c r="E23" t="s">
        <v>74</v>
      </c>
      <c r="F23" t="s">
        <v>71</v>
      </c>
      <c r="G23">
        <v>0</v>
      </c>
      <c r="H23">
        <v>2E+20</v>
      </c>
      <c r="I23">
        <v>0</v>
      </c>
      <c r="J23">
        <v>0</v>
      </c>
      <c r="K23">
        <v>89</v>
      </c>
      <c r="L2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30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30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4</v>
      </c>
      <c r="D24" t="s">
        <v>69</v>
      </c>
      <c r="E24" t="s">
        <v>75</v>
      </c>
      <c r="F24" t="s">
        <v>71</v>
      </c>
      <c r="G24">
        <v>4.0983812880141999</v>
      </c>
      <c r="H24">
        <v>2E+20</v>
      </c>
      <c r="I24">
        <v>1.83590431786342E-2</v>
      </c>
      <c r="J24">
        <v>20.918253774549399</v>
      </c>
      <c r="K24">
        <v>89</v>
      </c>
      <c r="L2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30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4.1484971853511476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0.43455851948632768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3.2850114511671298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5.0358229399280701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3.13770240211397E-4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33.351429551716201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24">
        <f>IF((DiscreteStatsTable[[#This Row],[RepsRequested]]&gt;1),DiscreteStatsTable[[#This Row],[HalfWidth]],DiscreteStatsTable[[#This Row],[BatchMeansHalfWidth]])</f>
        <v>0.16226681795670911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30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69</v>
      </c>
      <c r="E25" t="s">
        <v>76</v>
      </c>
      <c r="F25" t="s">
        <v>71</v>
      </c>
      <c r="G25">
        <v>0.445864667322668</v>
      </c>
      <c r="H25">
        <v>2E+20</v>
      </c>
      <c r="I25">
        <v>0</v>
      </c>
      <c r="J25">
        <v>7.6467339323868799</v>
      </c>
      <c r="K25">
        <v>89</v>
      </c>
      <c r="L2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30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0.49158885665101598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0.23376724818535846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0.156369552554951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1.18625196466872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14.014497530459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25">
        <f>IF((DiscreteStatsTable[[#This Row],[RepsRequested]]&gt;1),DiscreteStatsTable[[#This Row],[HalfWidth]],DiscreteStatsTable[[#This Row],[BatchMeansHalfWidth]])</f>
        <v>8.7290125045466668E-2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30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69</v>
      </c>
      <c r="E26" t="s">
        <v>70</v>
      </c>
      <c r="F26" t="s">
        <v>71</v>
      </c>
      <c r="G26">
        <v>0</v>
      </c>
      <c r="H26">
        <v>2E+20</v>
      </c>
      <c r="I26">
        <v>0</v>
      </c>
      <c r="J26">
        <v>0</v>
      </c>
      <c r="K26">
        <v>94</v>
      </c>
      <c r="L2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30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30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5</v>
      </c>
      <c r="D27" t="s">
        <v>69</v>
      </c>
      <c r="E27" t="s">
        <v>72</v>
      </c>
      <c r="F27" t="s">
        <v>71</v>
      </c>
      <c r="G27">
        <v>0</v>
      </c>
      <c r="H27">
        <v>2E+20</v>
      </c>
      <c r="I27">
        <v>0</v>
      </c>
      <c r="J27">
        <v>0</v>
      </c>
      <c r="K27">
        <v>94</v>
      </c>
      <c r="L2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30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30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5</v>
      </c>
      <c r="D28" t="s">
        <v>69</v>
      </c>
      <c r="E28" t="s">
        <v>73</v>
      </c>
      <c r="F28" t="s">
        <v>71</v>
      </c>
      <c r="G28">
        <v>3.6364344790167098</v>
      </c>
      <c r="H28">
        <v>2E+20</v>
      </c>
      <c r="I28">
        <v>1.99854418926293E-2</v>
      </c>
      <c r="J28">
        <v>17.463232456629001</v>
      </c>
      <c r="K28">
        <v>94</v>
      </c>
      <c r="L2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30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4.6400860420021628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0.58400792997884021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3.4413810037220798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6.0570535223218798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3.13770240211397E-4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33.351429551716201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28">
        <f>IF((DiscreteStatsTable[[#This Row],[RepsRequested]]&gt;1),DiscreteStatsTable[[#This Row],[HalfWidth]],DiscreteStatsTable[[#This Row],[BatchMeansHalfWidth]])</f>
        <v>0.2180721449694937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30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5</v>
      </c>
      <c r="D29" t="s">
        <v>69</v>
      </c>
      <c r="E29" t="s">
        <v>74</v>
      </c>
      <c r="F29" t="s">
        <v>71</v>
      </c>
      <c r="G29">
        <v>0</v>
      </c>
      <c r="H29">
        <v>2E+20</v>
      </c>
      <c r="I29">
        <v>0</v>
      </c>
      <c r="J29">
        <v>0</v>
      </c>
      <c r="K29">
        <v>94</v>
      </c>
      <c r="L2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30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30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5</v>
      </c>
      <c r="D30" t="s">
        <v>69</v>
      </c>
      <c r="E30" t="s">
        <v>75</v>
      </c>
      <c r="F30" t="s">
        <v>71</v>
      </c>
      <c r="G30">
        <v>3.4010526372049599</v>
      </c>
      <c r="H30">
        <v>2E+20</v>
      </c>
      <c r="I30">
        <v>1.99854418926293E-2</v>
      </c>
      <c r="J30">
        <v>17.463232456629001</v>
      </c>
      <c r="K30">
        <v>94</v>
      </c>
      <c r="L3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30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4.1484971853511476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0.43455851948632768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3.2850114511671298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5.0358229399280701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3.13770240211397E-4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33.351429551716201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30">
        <f>IF((DiscreteStatsTable[[#This Row],[RepsRequested]]&gt;1),DiscreteStatsTable[[#This Row],[HalfWidth]],DiscreteStatsTable[[#This Row],[BatchMeansHalfWidth]])</f>
        <v>0.16226681795670911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30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5</v>
      </c>
      <c r="D31" t="s">
        <v>69</v>
      </c>
      <c r="E31" t="s">
        <v>76</v>
      </c>
      <c r="F31" t="s">
        <v>71</v>
      </c>
      <c r="G31">
        <v>0.23538184181174901</v>
      </c>
      <c r="H31">
        <v>2E+20</v>
      </c>
      <c r="I31">
        <v>0</v>
      </c>
      <c r="J31">
        <v>8.1894881252370109</v>
      </c>
      <c r="K31">
        <v>94</v>
      </c>
      <c r="L3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30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0.49158885665101598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0.23376724818535846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0.156369552554951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1.18625196466872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14.014497530459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31">
        <f>IF((DiscreteStatsTable[[#This Row],[RepsRequested]]&gt;1),DiscreteStatsTable[[#This Row],[HalfWidth]],DiscreteStatsTable[[#This Row],[BatchMeansHalfWidth]])</f>
        <v>8.7290125045466668E-2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30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6</v>
      </c>
      <c r="D32" t="s">
        <v>69</v>
      </c>
      <c r="E32" t="s">
        <v>70</v>
      </c>
      <c r="F32" t="s">
        <v>71</v>
      </c>
      <c r="G32">
        <v>0</v>
      </c>
      <c r="H32">
        <v>2E+20</v>
      </c>
      <c r="I32">
        <v>0</v>
      </c>
      <c r="J32">
        <v>0</v>
      </c>
      <c r="K32">
        <v>95</v>
      </c>
      <c r="L3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30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30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6</v>
      </c>
      <c r="D33" t="s">
        <v>69</v>
      </c>
      <c r="E33" t="s">
        <v>72</v>
      </c>
      <c r="F33" t="s">
        <v>71</v>
      </c>
      <c r="G33">
        <v>0</v>
      </c>
      <c r="H33">
        <v>2E+20</v>
      </c>
      <c r="I33">
        <v>0</v>
      </c>
      <c r="J33">
        <v>0</v>
      </c>
      <c r="K33">
        <v>95</v>
      </c>
      <c r="L3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30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30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6</v>
      </c>
      <c r="D34" t="s">
        <v>69</v>
      </c>
      <c r="E34" t="s">
        <v>73</v>
      </c>
      <c r="F34" t="s">
        <v>71</v>
      </c>
      <c r="G34">
        <v>4.8927852392064901</v>
      </c>
      <c r="H34">
        <v>2E+20</v>
      </c>
      <c r="I34">
        <v>1.0013415579521699E-2</v>
      </c>
      <c r="J34">
        <v>24.820760546344101</v>
      </c>
      <c r="K34">
        <v>95</v>
      </c>
      <c r="L3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30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4.6400860420021628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0.58400792997884021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3.4413810037220798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6.0570535223218798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3.13770240211397E-4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33.351429551716201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34">
        <f>IF((DiscreteStatsTable[[#This Row],[RepsRequested]]&gt;1),DiscreteStatsTable[[#This Row],[HalfWidth]],DiscreteStatsTable[[#This Row],[BatchMeansHalfWidth]])</f>
        <v>0.2180721449694937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30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6</v>
      </c>
      <c r="D35" t="s">
        <v>69</v>
      </c>
      <c r="E35" t="s">
        <v>74</v>
      </c>
      <c r="F35" t="s">
        <v>71</v>
      </c>
      <c r="G35">
        <v>0</v>
      </c>
      <c r="H35">
        <v>2E+20</v>
      </c>
      <c r="I35">
        <v>0</v>
      </c>
      <c r="J35">
        <v>0</v>
      </c>
      <c r="K35">
        <v>95</v>
      </c>
      <c r="L3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30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30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6</v>
      </c>
      <c r="D36" t="s">
        <v>69</v>
      </c>
      <c r="E36" t="s">
        <v>75</v>
      </c>
      <c r="F36" t="s">
        <v>71</v>
      </c>
      <c r="G36">
        <v>4.3240745233062903</v>
      </c>
      <c r="H36">
        <v>2E+20</v>
      </c>
      <c r="I36">
        <v>1.0013415579521699E-2</v>
      </c>
      <c r="J36">
        <v>24.820760546344101</v>
      </c>
      <c r="K36">
        <v>95</v>
      </c>
      <c r="L3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30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4.1484971853511476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0.43455851948632768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3.2850114511671298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5.0358229399280701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3.13770240211397E-4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33.351429551716201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36">
        <f>IF((DiscreteStatsTable[[#This Row],[RepsRequested]]&gt;1),DiscreteStatsTable[[#This Row],[HalfWidth]],DiscreteStatsTable[[#This Row],[BatchMeansHalfWidth]])</f>
        <v>0.16226681795670911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30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69</v>
      </c>
      <c r="E37" t="s">
        <v>76</v>
      </c>
      <c r="F37" t="s">
        <v>71</v>
      </c>
      <c r="G37">
        <v>0.56871071590020295</v>
      </c>
      <c r="H37">
        <v>2E+20</v>
      </c>
      <c r="I37">
        <v>0</v>
      </c>
      <c r="J37">
        <v>7.0575744467433896</v>
      </c>
      <c r="K37">
        <v>95</v>
      </c>
      <c r="L3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30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0.49158885665101598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0.23376724818535846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0.156369552554951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1.18625196466872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14.014497530459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37">
        <f>IF((DiscreteStatsTable[[#This Row],[RepsRequested]]&gt;1),DiscreteStatsTable[[#This Row],[HalfWidth]],DiscreteStatsTable[[#This Row],[BatchMeansHalfWidth]])</f>
        <v>8.7290125045466668E-2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30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69</v>
      </c>
      <c r="E38" t="s">
        <v>70</v>
      </c>
      <c r="F38" t="s">
        <v>71</v>
      </c>
      <c r="G38">
        <v>0</v>
      </c>
      <c r="H38">
        <v>2E+20</v>
      </c>
      <c r="I38">
        <v>0</v>
      </c>
      <c r="J38">
        <v>0</v>
      </c>
      <c r="K38">
        <v>89</v>
      </c>
      <c r="L3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30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30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7</v>
      </c>
      <c r="D39" t="s">
        <v>69</v>
      </c>
      <c r="E39" t="s">
        <v>72</v>
      </c>
      <c r="F39" t="s">
        <v>71</v>
      </c>
      <c r="G39">
        <v>0</v>
      </c>
      <c r="H39">
        <v>2E+20</v>
      </c>
      <c r="I39">
        <v>0</v>
      </c>
      <c r="J39">
        <v>0</v>
      </c>
      <c r="K39">
        <v>89</v>
      </c>
      <c r="L3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30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30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7</v>
      </c>
      <c r="D40" t="s">
        <v>69</v>
      </c>
      <c r="E40" t="s">
        <v>73</v>
      </c>
      <c r="F40" t="s">
        <v>71</v>
      </c>
      <c r="G40">
        <v>5.2402578085055902</v>
      </c>
      <c r="H40">
        <v>2E+20</v>
      </c>
      <c r="I40">
        <v>0.15771557832795199</v>
      </c>
      <c r="J40">
        <v>18.3793870542546</v>
      </c>
      <c r="K40">
        <v>89</v>
      </c>
      <c r="L4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30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4.6400860420021628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0.58400792997884021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3.4413810037220798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6.0570535223218798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3.13770240211397E-4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33.351429551716201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40">
        <f>IF((DiscreteStatsTable[[#This Row],[RepsRequested]]&gt;1),DiscreteStatsTable[[#This Row],[HalfWidth]],DiscreteStatsTable[[#This Row],[BatchMeansHalfWidth]])</f>
        <v>0.2180721449694937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30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7</v>
      </c>
      <c r="D41" t="s">
        <v>69</v>
      </c>
      <c r="E41" t="s">
        <v>74</v>
      </c>
      <c r="F41" t="s">
        <v>71</v>
      </c>
      <c r="G41">
        <v>0</v>
      </c>
      <c r="H41">
        <v>2E+20</v>
      </c>
      <c r="I41">
        <v>0</v>
      </c>
      <c r="J41">
        <v>0</v>
      </c>
      <c r="K41">
        <v>89</v>
      </c>
      <c r="L4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30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30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7</v>
      </c>
      <c r="D42" t="s">
        <v>69</v>
      </c>
      <c r="E42" t="s">
        <v>75</v>
      </c>
      <c r="F42" t="s">
        <v>71</v>
      </c>
      <c r="G42">
        <v>4.5974446209943904</v>
      </c>
      <c r="H42">
        <v>2E+20</v>
      </c>
      <c r="I42">
        <v>0.15771557832795199</v>
      </c>
      <c r="J42">
        <v>18.3793870542546</v>
      </c>
      <c r="K42">
        <v>89</v>
      </c>
      <c r="L4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30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4.1484971853511476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0.43455851948632768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3.2850114511671298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5.0358229399280701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3.13770240211397E-4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33.351429551716201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42">
        <f>IF((DiscreteStatsTable[[#This Row],[RepsRequested]]&gt;1),DiscreteStatsTable[[#This Row],[HalfWidth]],DiscreteStatsTable[[#This Row],[BatchMeansHalfWidth]])</f>
        <v>0.16226681795670911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30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7</v>
      </c>
      <c r="D43" t="s">
        <v>69</v>
      </c>
      <c r="E43" t="s">
        <v>76</v>
      </c>
      <c r="F43" t="s">
        <v>71</v>
      </c>
      <c r="G43">
        <v>0.64281318751119798</v>
      </c>
      <c r="H43">
        <v>2E+20</v>
      </c>
      <c r="I43">
        <v>0</v>
      </c>
      <c r="J43">
        <v>10.450076017116499</v>
      </c>
      <c r="K43">
        <v>89</v>
      </c>
      <c r="L4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30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0.49158885665101598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0.23376724818535846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0.156369552554951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1.18625196466872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14.014497530459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43">
        <f>IF((DiscreteStatsTable[[#This Row],[RepsRequested]]&gt;1),DiscreteStatsTable[[#This Row],[HalfWidth]],DiscreteStatsTable[[#This Row],[BatchMeansHalfWidth]])</f>
        <v>8.7290125045466668E-2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30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8</v>
      </c>
      <c r="D44" t="s">
        <v>69</v>
      </c>
      <c r="E44" t="s">
        <v>70</v>
      </c>
      <c r="F44" t="s">
        <v>71</v>
      </c>
      <c r="G44">
        <v>0</v>
      </c>
      <c r="H44">
        <v>2E+20</v>
      </c>
      <c r="I44">
        <v>0</v>
      </c>
      <c r="J44">
        <v>0</v>
      </c>
      <c r="K44">
        <v>73</v>
      </c>
      <c r="L4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30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30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8</v>
      </c>
      <c r="D45" t="s">
        <v>69</v>
      </c>
      <c r="E45" t="s">
        <v>72</v>
      </c>
      <c r="F45" t="s">
        <v>71</v>
      </c>
      <c r="G45">
        <v>0</v>
      </c>
      <c r="H45">
        <v>2E+20</v>
      </c>
      <c r="I45">
        <v>0</v>
      </c>
      <c r="J45">
        <v>0</v>
      </c>
      <c r="K45">
        <v>73</v>
      </c>
      <c r="L4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30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30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8</v>
      </c>
      <c r="D46" t="s">
        <v>69</v>
      </c>
      <c r="E46" t="s">
        <v>73</v>
      </c>
      <c r="F46" t="s">
        <v>71</v>
      </c>
      <c r="G46">
        <v>4.9666044555133597</v>
      </c>
      <c r="H46">
        <v>2E+20</v>
      </c>
      <c r="I46">
        <v>6.8363053507425803E-2</v>
      </c>
      <c r="J46">
        <v>29.244246884876102</v>
      </c>
      <c r="K46">
        <v>73</v>
      </c>
      <c r="L4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30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4.6400860420021628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0.58400792997884021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3.4413810037220798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6.0570535223218798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3.13770240211397E-4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33.351429551716201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46">
        <f>IF((DiscreteStatsTable[[#This Row],[RepsRequested]]&gt;1),DiscreteStatsTable[[#This Row],[HalfWidth]],DiscreteStatsTable[[#This Row],[BatchMeansHalfWidth]])</f>
        <v>0.2180721449694937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30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8</v>
      </c>
      <c r="D47" t="s">
        <v>69</v>
      </c>
      <c r="E47" t="s">
        <v>74</v>
      </c>
      <c r="F47" t="s">
        <v>71</v>
      </c>
      <c r="G47">
        <v>0</v>
      </c>
      <c r="H47">
        <v>2E+20</v>
      </c>
      <c r="I47">
        <v>0</v>
      </c>
      <c r="J47">
        <v>0</v>
      </c>
      <c r="K47">
        <v>73</v>
      </c>
      <c r="L4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30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30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8</v>
      </c>
      <c r="D48" t="s">
        <v>69</v>
      </c>
      <c r="E48" t="s">
        <v>75</v>
      </c>
      <c r="F48" t="s">
        <v>71</v>
      </c>
      <c r="G48">
        <v>4.64076693825211</v>
      </c>
      <c r="H48">
        <v>2E+20</v>
      </c>
      <c r="I48">
        <v>6.8363053507425803E-2</v>
      </c>
      <c r="J48">
        <v>29.244246884876102</v>
      </c>
      <c r="K48">
        <v>73</v>
      </c>
      <c r="L4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30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4.1484971853511476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0.43455851948632768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3.2850114511671298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5.0358229399280701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3.13770240211397E-4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33.351429551716201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48">
        <f>IF((DiscreteStatsTable[[#This Row],[RepsRequested]]&gt;1),DiscreteStatsTable[[#This Row],[HalfWidth]],DiscreteStatsTable[[#This Row],[BatchMeansHalfWidth]])</f>
        <v>0.16226681795670911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30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69</v>
      </c>
      <c r="E49" t="s">
        <v>76</v>
      </c>
      <c r="F49" t="s">
        <v>71</v>
      </c>
      <c r="G49">
        <v>0.32583751726124699</v>
      </c>
      <c r="H49">
        <v>2E+20</v>
      </c>
      <c r="I49">
        <v>0</v>
      </c>
      <c r="J49">
        <v>12.9064950161582</v>
      </c>
      <c r="K49">
        <v>73</v>
      </c>
      <c r="L4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30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0.49158885665101598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0.23376724818535846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0.156369552554951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1.18625196466872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14.014497530459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49">
        <f>IF((DiscreteStatsTable[[#This Row],[RepsRequested]]&gt;1),DiscreteStatsTable[[#This Row],[HalfWidth]],DiscreteStatsTable[[#This Row],[BatchMeansHalfWidth]])</f>
        <v>8.7290125045466668E-2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30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69</v>
      </c>
      <c r="E50" t="s">
        <v>70</v>
      </c>
      <c r="F50" t="s">
        <v>71</v>
      </c>
      <c r="G50">
        <v>0</v>
      </c>
      <c r="H50">
        <v>2E+20</v>
      </c>
      <c r="I50">
        <v>0</v>
      </c>
      <c r="J50">
        <v>0</v>
      </c>
      <c r="K50">
        <v>86</v>
      </c>
      <c r="L5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30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30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9</v>
      </c>
      <c r="D51" t="s">
        <v>69</v>
      </c>
      <c r="E51" t="s">
        <v>72</v>
      </c>
      <c r="F51" t="s">
        <v>71</v>
      </c>
      <c r="G51">
        <v>0</v>
      </c>
      <c r="H51">
        <v>2E+20</v>
      </c>
      <c r="I51">
        <v>0</v>
      </c>
      <c r="J51">
        <v>0</v>
      </c>
      <c r="K51">
        <v>86</v>
      </c>
      <c r="L5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30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30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9</v>
      </c>
      <c r="D52" t="s">
        <v>69</v>
      </c>
      <c r="E52" t="s">
        <v>73</v>
      </c>
      <c r="F52" t="s">
        <v>71</v>
      </c>
      <c r="G52">
        <v>3.91173441918373</v>
      </c>
      <c r="H52">
        <v>2E+20</v>
      </c>
      <c r="I52">
        <v>3.8911726062963198E-2</v>
      </c>
      <c r="J52">
        <v>19.154615512568899</v>
      </c>
      <c r="K52">
        <v>86</v>
      </c>
      <c r="L5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30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4.6400860420021628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0.58400792997884021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3.4413810037220798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6.0570535223218798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3.13770240211397E-4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33.351429551716201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52">
        <f>IF((DiscreteStatsTable[[#This Row],[RepsRequested]]&gt;1),DiscreteStatsTable[[#This Row],[HalfWidth]],DiscreteStatsTable[[#This Row],[BatchMeansHalfWidth]])</f>
        <v>0.2180721449694937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30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9</v>
      </c>
      <c r="D53" t="s">
        <v>69</v>
      </c>
      <c r="E53" t="s">
        <v>74</v>
      </c>
      <c r="F53" t="s">
        <v>71</v>
      </c>
      <c r="G53">
        <v>0</v>
      </c>
      <c r="H53">
        <v>2E+20</v>
      </c>
      <c r="I53">
        <v>0</v>
      </c>
      <c r="J53">
        <v>0</v>
      </c>
      <c r="K53">
        <v>86</v>
      </c>
      <c r="L5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30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30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9</v>
      </c>
      <c r="D54" t="s">
        <v>69</v>
      </c>
      <c r="E54" t="s">
        <v>75</v>
      </c>
      <c r="F54" t="s">
        <v>71</v>
      </c>
      <c r="G54">
        <v>3.62403746324145</v>
      </c>
      <c r="H54">
        <v>2E+20</v>
      </c>
      <c r="I54">
        <v>3.8911726062963198E-2</v>
      </c>
      <c r="J54">
        <v>17.634519404967399</v>
      </c>
      <c r="K54">
        <v>86</v>
      </c>
      <c r="L5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30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4.1484971853511476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0.43455851948632768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3.2850114511671298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5.0358229399280701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3.13770240211397E-4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33.351429551716201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54">
        <f>IF((DiscreteStatsTable[[#This Row],[RepsRequested]]&gt;1),DiscreteStatsTable[[#This Row],[HalfWidth]],DiscreteStatsTable[[#This Row],[BatchMeansHalfWidth]])</f>
        <v>0.16226681795670911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30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9</v>
      </c>
      <c r="D55" t="s">
        <v>69</v>
      </c>
      <c r="E55" t="s">
        <v>76</v>
      </c>
      <c r="F55" t="s">
        <v>71</v>
      </c>
      <c r="G55">
        <v>0.28769695594227301</v>
      </c>
      <c r="H55">
        <v>2E+20</v>
      </c>
      <c r="I55">
        <v>0</v>
      </c>
      <c r="J55">
        <v>7.3354654807358504</v>
      </c>
      <c r="K55">
        <v>86</v>
      </c>
      <c r="L5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30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0.49158885665101598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0.23376724818535846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0.156369552554951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1.18625196466872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14.014497530459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55">
        <f>IF((DiscreteStatsTable[[#This Row],[RepsRequested]]&gt;1),DiscreteStatsTable[[#This Row],[HalfWidth]],DiscreteStatsTable[[#This Row],[BatchMeansHalfWidth]])</f>
        <v>8.7290125045466668E-2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30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10</v>
      </c>
      <c r="D56" t="s">
        <v>69</v>
      </c>
      <c r="E56" t="s">
        <v>70</v>
      </c>
      <c r="F56" t="s">
        <v>71</v>
      </c>
      <c r="G56">
        <v>0</v>
      </c>
      <c r="H56">
        <v>2E+20</v>
      </c>
      <c r="I56">
        <v>0</v>
      </c>
      <c r="J56">
        <v>0</v>
      </c>
      <c r="K56">
        <v>81</v>
      </c>
      <c r="L5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30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30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10</v>
      </c>
      <c r="D57" t="s">
        <v>69</v>
      </c>
      <c r="E57" t="s">
        <v>72</v>
      </c>
      <c r="F57" t="s">
        <v>71</v>
      </c>
      <c r="G57">
        <v>0</v>
      </c>
      <c r="H57">
        <v>2E+20</v>
      </c>
      <c r="I57">
        <v>0</v>
      </c>
      <c r="J57">
        <v>0</v>
      </c>
      <c r="K57">
        <v>81</v>
      </c>
      <c r="L5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30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30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10</v>
      </c>
      <c r="D58" t="s">
        <v>69</v>
      </c>
      <c r="E58" t="s">
        <v>73</v>
      </c>
      <c r="F58" t="s">
        <v>71</v>
      </c>
      <c r="G58">
        <v>3.4413810037220798</v>
      </c>
      <c r="H58">
        <v>2E+20</v>
      </c>
      <c r="I58">
        <v>3.8828841476515698E-2</v>
      </c>
      <c r="J58">
        <v>16.265802907969501</v>
      </c>
      <c r="K58">
        <v>81</v>
      </c>
      <c r="L5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30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4.6400860420021628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0.58400792997884021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3.4413810037220798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6.0570535223218798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3.13770240211397E-4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33.351429551716201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58">
        <f>IF((DiscreteStatsTable[[#This Row],[RepsRequested]]&gt;1),DiscreteStatsTable[[#This Row],[HalfWidth]],DiscreteStatsTable[[#This Row],[BatchMeansHalfWidth]])</f>
        <v>0.2180721449694937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30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10</v>
      </c>
      <c r="D59" t="s">
        <v>69</v>
      </c>
      <c r="E59" t="s">
        <v>74</v>
      </c>
      <c r="F59" t="s">
        <v>71</v>
      </c>
      <c r="G59">
        <v>0</v>
      </c>
      <c r="H59">
        <v>2E+20</v>
      </c>
      <c r="I59">
        <v>0</v>
      </c>
      <c r="J59">
        <v>0</v>
      </c>
      <c r="K59">
        <v>81</v>
      </c>
      <c r="L5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30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30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10</v>
      </c>
      <c r="D60" t="s">
        <v>69</v>
      </c>
      <c r="E60" t="s">
        <v>75</v>
      </c>
      <c r="F60" t="s">
        <v>71</v>
      </c>
      <c r="G60">
        <v>3.2850114511671298</v>
      </c>
      <c r="H60">
        <v>2E+20</v>
      </c>
      <c r="I60">
        <v>3.8828841476515698E-2</v>
      </c>
      <c r="J60">
        <v>16.265802907969501</v>
      </c>
      <c r="K60">
        <v>81</v>
      </c>
      <c r="L6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30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4.1484971853511476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0.43455851948632768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3.2850114511671298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5.0358229399280701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3.13770240211397E-4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33.351429551716201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60">
        <f>IF((DiscreteStatsTable[[#This Row],[RepsRequested]]&gt;1),DiscreteStatsTable[[#This Row],[HalfWidth]],DiscreteStatsTable[[#This Row],[BatchMeansHalfWidth]])</f>
        <v>0.16226681795670911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30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69</v>
      </c>
      <c r="E61" t="s">
        <v>76</v>
      </c>
      <c r="F61" t="s">
        <v>71</v>
      </c>
      <c r="G61">
        <v>0.156369552554951</v>
      </c>
      <c r="H61">
        <v>2E+20</v>
      </c>
      <c r="I61">
        <v>0</v>
      </c>
      <c r="J61">
        <v>3.7710833368039398</v>
      </c>
      <c r="K61">
        <v>81</v>
      </c>
      <c r="L6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30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0.49158885665101598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0.23376724818535846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0.156369552554951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1.18625196466872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14.014497530459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61">
        <f>IF((DiscreteStatsTable[[#This Row],[RepsRequested]]&gt;1),DiscreteStatsTable[[#This Row],[HalfWidth]],DiscreteStatsTable[[#This Row],[BatchMeansHalfWidth]])</f>
        <v>8.7290125045466668E-2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30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11</v>
      </c>
      <c r="D62" t="s">
        <v>69</v>
      </c>
      <c r="E62" t="s">
        <v>70</v>
      </c>
      <c r="F62" t="s">
        <v>71</v>
      </c>
      <c r="G62">
        <v>0</v>
      </c>
      <c r="H62">
        <v>2E+20</v>
      </c>
      <c r="I62">
        <v>0</v>
      </c>
      <c r="J62">
        <v>0</v>
      </c>
      <c r="K62">
        <v>94</v>
      </c>
      <c r="L6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30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30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11</v>
      </c>
      <c r="D63" t="s">
        <v>69</v>
      </c>
      <c r="E63" t="s">
        <v>72</v>
      </c>
      <c r="F63" t="s">
        <v>71</v>
      </c>
      <c r="G63">
        <v>0</v>
      </c>
      <c r="H63">
        <v>2E+20</v>
      </c>
      <c r="I63">
        <v>0</v>
      </c>
      <c r="J63">
        <v>0</v>
      </c>
      <c r="K63">
        <v>94</v>
      </c>
      <c r="L6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30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30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11</v>
      </c>
      <c r="D64" t="s">
        <v>69</v>
      </c>
      <c r="E64" t="s">
        <v>73</v>
      </c>
      <c r="F64" t="s">
        <v>71</v>
      </c>
      <c r="G64">
        <v>4.1851326646525804</v>
      </c>
      <c r="H64">
        <v>2E+20</v>
      </c>
      <c r="I64">
        <v>1.3228759104101999E-2</v>
      </c>
      <c r="J64">
        <v>15.913783101505301</v>
      </c>
      <c r="K64">
        <v>94</v>
      </c>
      <c r="L6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30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4.6400860420021628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0.58400792997884021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3.4413810037220798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6.0570535223218798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3.13770240211397E-4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33.351429551716201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64">
        <f>IF((DiscreteStatsTable[[#This Row],[RepsRequested]]&gt;1),DiscreteStatsTable[[#This Row],[HalfWidth]],DiscreteStatsTable[[#This Row],[BatchMeansHalfWidth]])</f>
        <v>0.2180721449694937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30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11</v>
      </c>
      <c r="D65" t="s">
        <v>69</v>
      </c>
      <c r="E65" t="s">
        <v>74</v>
      </c>
      <c r="F65" t="s">
        <v>71</v>
      </c>
      <c r="G65">
        <v>0</v>
      </c>
      <c r="H65">
        <v>2E+20</v>
      </c>
      <c r="I65">
        <v>0</v>
      </c>
      <c r="J65">
        <v>0</v>
      </c>
      <c r="K65">
        <v>94</v>
      </c>
      <c r="L6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30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30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11</v>
      </c>
      <c r="D66" t="s">
        <v>69</v>
      </c>
      <c r="E66" t="s">
        <v>75</v>
      </c>
      <c r="F66" t="s">
        <v>71</v>
      </c>
      <c r="G66">
        <v>3.7759568516326101</v>
      </c>
      <c r="H66">
        <v>2E+20</v>
      </c>
      <c r="I66">
        <v>1.3228759104101999E-2</v>
      </c>
      <c r="J66">
        <v>15.913783101505301</v>
      </c>
      <c r="K66">
        <v>94</v>
      </c>
      <c r="L6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30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4.1484971853511476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0.43455851948632768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3.2850114511671298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5.0358229399280701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3.13770240211397E-4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33.351429551716201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66">
        <f>IF((DiscreteStatsTable[[#This Row],[RepsRequested]]&gt;1),DiscreteStatsTable[[#This Row],[HalfWidth]],DiscreteStatsTable[[#This Row],[BatchMeansHalfWidth]])</f>
        <v>0.16226681795670911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30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11</v>
      </c>
      <c r="D67" t="s">
        <v>69</v>
      </c>
      <c r="E67" t="s">
        <v>76</v>
      </c>
      <c r="F67" t="s">
        <v>71</v>
      </c>
      <c r="G67">
        <v>0.40917581301997102</v>
      </c>
      <c r="H67">
        <v>2E+20</v>
      </c>
      <c r="I67">
        <v>0</v>
      </c>
      <c r="J67">
        <v>7.7612742434857296</v>
      </c>
      <c r="K67">
        <v>94</v>
      </c>
      <c r="L6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30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0.49158885665101598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0.23376724818535846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0.156369552554951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1.18625196466872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14.014497530459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67">
        <f>IF((DiscreteStatsTable[[#This Row],[RepsRequested]]&gt;1),DiscreteStatsTable[[#This Row],[HalfWidth]],DiscreteStatsTable[[#This Row],[BatchMeansHalfWidth]])</f>
        <v>8.7290125045466668E-2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30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12</v>
      </c>
      <c r="D68" t="s">
        <v>69</v>
      </c>
      <c r="E68" t="s">
        <v>70</v>
      </c>
      <c r="F68" t="s">
        <v>71</v>
      </c>
      <c r="G68">
        <v>0</v>
      </c>
      <c r="H68">
        <v>2E+20</v>
      </c>
      <c r="I68">
        <v>0</v>
      </c>
      <c r="J68">
        <v>0</v>
      </c>
      <c r="K68">
        <v>84</v>
      </c>
      <c r="L6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30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30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12</v>
      </c>
      <c r="D69" t="s">
        <v>69</v>
      </c>
      <c r="E69" t="s">
        <v>72</v>
      </c>
      <c r="F69" t="s">
        <v>71</v>
      </c>
      <c r="G69">
        <v>0</v>
      </c>
      <c r="H69">
        <v>2E+20</v>
      </c>
      <c r="I69">
        <v>0</v>
      </c>
      <c r="J69">
        <v>0</v>
      </c>
      <c r="K69">
        <v>84</v>
      </c>
      <c r="L6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30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30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12</v>
      </c>
      <c r="D70" t="s">
        <v>69</v>
      </c>
      <c r="E70" t="s">
        <v>73</v>
      </c>
      <c r="F70" t="s">
        <v>71</v>
      </c>
      <c r="G70">
        <v>4.9462401559646301</v>
      </c>
      <c r="H70">
        <v>2E+20</v>
      </c>
      <c r="I70">
        <v>1.6055413281264901E-2</v>
      </c>
      <c r="J70">
        <v>20.305755213045099</v>
      </c>
      <c r="K70">
        <v>84</v>
      </c>
      <c r="L7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30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4.6400860420021628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0.58400792997884021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3.4413810037220798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6.0570535223218798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3.13770240211397E-4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33.351429551716201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70">
        <f>IF((DiscreteStatsTable[[#This Row],[RepsRequested]]&gt;1),DiscreteStatsTable[[#This Row],[HalfWidth]],DiscreteStatsTable[[#This Row],[BatchMeansHalfWidth]])</f>
        <v>0.2180721449694937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30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12</v>
      </c>
      <c r="D71" t="s">
        <v>69</v>
      </c>
      <c r="E71" t="s">
        <v>74</v>
      </c>
      <c r="F71" t="s">
        <v>71</v>
      </c>
      <c r="G71">
        <v>0</v>
      </c>
      <c r="H71">
        <v>2E+20</v>
      </c>
      <c r="I71">
        <v>0</v>
      </c>
      <c r="J71">
        <v>0</v>
      </c>
      <c r="K71">
        <v>84</v>
      </c>
      <c r="L7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30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30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12</v>
      </c>
      <c r="D72" t="s">
        <v>69</v>
      </c>
      <c r="E72" t="s">
        <v>75</v>
      </c>
      <c r="F72" t="s">
        <v>71</v>
      </c>
      <c r="G72">
        <v>4.0690945894577997</v>
      </c>
      <c r="H72">
        <v>2E+20</v>
      </c>
      <c r="I72">
        <v>1.6055413281264901E-2</v>
      </c>
      <c r="J72">
        <v>20.305755213045099</v>
      </c>
      <c r="K72">
        <v>84</v>
      </c>
      <c r="L7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30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4.1484971853511476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0.43455851948632768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3.2850114511671298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5.0358229399280701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3.13770240211397E-4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33.351429551716201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72">
        <f>IF((DiscreteStatsTable[[#This Row],[RepsRequested]]&gt;1),DiscreteStatsTable[[#This Row],[HalfWidth]],DiscreteStatsTable[[#This Row],[BatchMeansHalfWidth]])</f>
        <v>0.16226681795670911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30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12</v>
      </c>
      <c r="D73" t="s">
        <v>69</v>
      </c>
      <c r="E73" t="s">
        <v>76</v>
      </c>
      <c r="F73" t="s">
        <v>71</v>
      </c>
      <c r="G73">
        <v>0.87714556650682596</v>
      </c>
      <c r="H73">
        <v>2E+20</v>
      </c>
      <c r="I73">
        <v>0</v>
      </c>
      <c r="J73">
        <v>14.014497530459</v>
      </c>
      <c r="K73">
        <v>84</v>
      </c>
      <c r="L7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30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0.49158885665101598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0.23376724818535846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0.156369552554951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1.18625196466872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14.014497530459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73">
        <f>IF((DiscreteStatsTable[[#This Row],[RepsRequested]]&gt;1),DiscreteStatsTable[[#This Row],[HalfWidth]],DiscreteStatsTable[[#This Row],[BatchMeansHalfWidth]])</f>
        <v>8.7290125045466668E-2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30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13</v>
      </c>
      <c r="D74" t="s">
        <v>69</v>
      </c>
      <c r="E74" t="s">
        <v>70</v>
      </c>
      <c r="F74" t="s">
        <v>71</v>
      </c>
      <c r="G74">
        <v>0</v>
      </c>
      <c r="H74">
        <v>2E+20</v>
      </c>
      <c r="I74">
        <v>0</v>
      </c>
      <c r="J74">
        <v>0</v>
      </c>
      <c r="K74">
        <v>92</v>
      </c>
      <c r="L7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30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30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13</v>
      </c>
      <c r="D75" t="s">
        <v>69</v>
      </c>
      <c r="E75" t="s">
        <v>72</v>
      </c>
      <c r="F75" t="s">
        <v>71</v>
      </c>
      <c r="G75">
        <v>0</v>
      </c>
      <c r="H75">
        <v>2E+20</v>
      </c>
      <c r="I75">
        <v>0</v>
      </c>
      <c r="J75">
        <v>0</v>
      </c>
      <c r="K75">
        <v>92</v>
      </c>
      <c r="L7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30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30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13</v>
      </c>
      <c r="D76" t="s">
        <v>69</v>
      </c>
      <c r="E76" t="s">
        <v>73</v>
      </c>
      <c r="F76" t="s">
        <v>71</v>
      </c>
      <c r="G76">
        <v>4.8321388988101797</v>
      </c>
      <c r="H76">
        <v>2E+20</v>
      </c>
      <c r="I76">
        <v>3.48170437481485E-2</v>
      </c>
      <c r="J76">
        <v>22.857515278955201</v>
      </c>
      <c r="K76">
        <v>92</v>
      </c>
      <c r="L7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30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4.6400860420021628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0.58400792997884021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3.4413810037220798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6.0570535223218798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3.13770240211397E-4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33.351429551716201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76">
        <f>IF((DiscreteStatsTable[[#This Row],[RepsRequested]]&gt;1),DiscreteStatsTable[[#This Row],[HalfWidth]],DiscreteStatsTable[[#This Row],[BatchMeansHalfWidth]])</f>
        <v>0.2180721449694937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30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13</v>
      </c>
      <c r="D77" t="s">
        <v>69</v>
      </c>
      <c r="E77" t="s">
        <v>74</v>
      </c>
      <c r="F77" t="s">
        <v>71</v>
      </c>
      <c r="G77">
        <v>0</v>
      </c>
      <c r="H77">
        <v>2E+20</v>
      </c>
      <c r="I77">
        <v>0</v>
      </c>
      <c r="J77">
        <v>0</v>
      </c>
      <c r="K77">
        <v>92</v>
      </c>
      <c r="L7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30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30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13</v>
      </c>
      <c r="D78" t="s">
        <v>69</v>
      </c>
      <c r="E78" t="s">
        <v>75</v>
      </c>
      <c r="F78" t="s">
        <v>71</v>
      </c>
      <c r="G78">
        <v>4.2641441920435499</v>
      </c>
      <c r="H78">
        <v>2E+20</v>
      </c>
      <c r="I78">
        <v>3.48170437481485E-2</v>
      </c>
      <c r="J78">
        <v>21.056817627539399</v>
      </c>
      <c r="K78">
        <v>92</v>
      </c>
      <c r="L7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30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4.1484971853511476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0.43455851948632768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3.2850114511671298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5.0358229399280701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3.13770240211397E-4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33.351429551716201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78">
        <f>IF((DiscreteStatsTable[[#This Row],[RepsRequested]]&gt;1),DiscreteStatsTable[[#This Row],[HalfWidth]],DiscreteStatsTable[[#This Row],[BatchMeansHalfWidth]])</f>
        <v>0.16226681795670911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30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13</v>
      </c>
      <c r="D79" t="s">
        <v>69</v>
      </c>
      <c r="E79" t="s">
        <v>76</v>
      </c>
      <c r="F79" t="s">
        <v>71</v>
      </c>
      <c r="G79">
        <v>0.567994706766621</v>
      </c>
      <c r="H79">
        <v>2E+20</v>
      </c>
      <c r="I79">
        <v>0</v>
      </c>
      <c r="J79">
        <v>5.57517319722953</v>
      </c>
      <c r="K79">
        <v>92</v>
      </c>
      <c r="L7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30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0.49158885665101598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0.23376724818535846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0.156369552554951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1.18625196466872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14.014497530459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79">
        <f>IF((DiscreteStatsTable[[#This Row],[RepsRequested]]&gt;1),DiscreteStatsTable[[#This Row],[HalfWidth]],DiscreteStatsTable[[#This Row],[BatchMeansHalfWidth]])</f>
        <v>8.7290125045466668E-2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30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14</v>
      </c>
      <c r="D80" t="s">
        <v>69</v>
      </c>
      <c r="E80" t="s">
        <v>70</v>
      </c>
      <c r="F80" t="s">
        <v>71</v>
      </c>
      <c r="G80">
        <v>0</v>
      </c>
      <c r="H80">
        <v>2E+20</v>
      </c>
      <c r="I80">
        <v>0</v>
      </c>
      <c r="J80">
        <v>0</v>
      </c>
      <c r="K80">
        <v>94</v>
      </c>
      <c r="L8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30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30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14</v>
      </c>
      <c r="D81" t="s">
        <v>69</v>
      </c>
      <c r="E81" t="s">
        <v>72</v>
      </c>
      <c r="F81" t="s">
        <v>71</v>
      </c>
      <c r="G81">
        <v>0</v>
      </c>
      <c r="H81">
        <v>2E+20</v>
      </c>
      <c r="I81">
        <v>0</v>
      </c>
      <c r="J81">
        <v>0</v>
      </c>
      <c r="K81">
        <v>94</v>
      </c>
      <c r="L8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30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30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14</v>
      </c>
      <c r="D82" t="s">
        <v>69</v>
      </c>
      <c r="E82" t="s">
        <v>73</v>
      </c>
      <c r="F82" t="s">
        <v>71</v>
      </c>
      <c r="G82">
        <v>4.5280376892077898</v>
      </c>
      <c r="H82">
        <v>2E+20</v>
      </c>
      <c r="I82">
        <v>9.6572354293670101E-2</v>
      </c>
      <c r="J82">
        <v>18.548914318909699</v>
      </c>
      <c r="K82">
        <v>94</v>
      </c>
      <c r="L8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30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4.6400860420021628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0.58400792997884021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3.4413810037220798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6.0570535223218798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3.13770240211397E-4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33.351429551716201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82">
        <f>IF((DiscreteStatsTable[[#This Row],[RepsRequested]]&gt;1),DiscreteStatsTable[[#This Row],[HalfWidth]],DiscreteStatsTable[[#This Row],[BatchMeansHalfWidth]])</f>
        <v>0.2180721449694937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30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14</v>
      </c>
      <c r="D83" t="s">
        <v>69</v>
      </c>
      <c r="E83" t="s">
        <v>74</v>
      </c>
      <c r="F83" t="s">
        <v>71</v>
      </c>
      <c r="G83">
        <v>0</v>
      </c>
      <c r="H83">
        <v>2E+20</v>
      </c>
      <c r="I83">
        <v>0</v>
      </c>
      <c r="J83">
        <v>0</v>
      </c>
      <c r="K83">
        <v>94</v>
      </c>
      <c r="L8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30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30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14</v>
      </c>
      <c r="D84" t="s">
        <v>69</v>
      </c>
      <c r="E84" t="s">
        <v>75</v>
      </c>
      <c r="F84" t="s">
        <v>71</v>
      </c>
      <c r="G84">
        <v>3.9189636492595201</v>
      </c>
      <c r="H84">
        <v>2E+20</v>
      </c>
      <c r="I84">
        <v>9.6572354293670101E-2</v>
      </c>
      <c r="J84">
        <v>18.548914318909699</v>
      </c>
      <c r="K84">
        <v>94</v>
      </c>
      <c r="L8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30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4.1484971853511476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0.43455851948632768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3.2850114511671298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5.0358229399280701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3.13770240211397E-4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33.351429551716201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84">
        <f>IF((DiscreteStatsTable[[#This Row],[RepsRequested]]&gt;1),DiscreteStatsTable[[#This Row],[HalfWidth]],DiscreteStatsTable[[#This Row],[BatchMeansHalfWidth]])</f>
        <v>0.16226681795670911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30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14</v>
      </c>
      <c r="D85" t="s">
        <v>69</v>
      </c>
      <c r="E85" t="s">
        <v>76</v>
      </c>
      <c r="F85" t="s">
        <v>71</v>
      </c>
      <c r="G85">
        <v>0.60907403994826803</v>
      </c>
      <c r="H85">
        <v>2E+20</v>
      </c>
      <c r="I85">
        <v>0</v>
      </c>
      <c r="J85">
        <v>7.0528453148146504</v>
      </c>
      <c r="K85">
        <v>94</v>
      </c>
      <c r="L8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30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0.49158885665101598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0.23376724818535846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0.156369552554951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1.18625196466872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14.014497530459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85">
        <f>IF((DiscreteStatsTable[[#This Row],[RepsRequested]]&gt;1),DiscreteStatsTable[[#This Row],[HalfWidth]],DiscreteStatsTable[[#This Row],[BatchMeansHalfWidth]])</f>
        <v>8.7290125045466668E-2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30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15</v>
      </c>
      <c r="D86" t="s">
        <v>69</v>
      </c>
      <c r="E86" t="s">
        <v>70</v>
      </c>
      <c r="F86" t="s">
        <v>71</v>
      </c>
      <c r="G86">
        <v>0</v>
      </c>
      <c r="H86">
        <v>2E+20</v>
      </c>
      <c r="I86">
        <v>0</v>
      </c>
      <c r="J86">
        <v>0</v>
      </c>
      <c r="K86">
        <v>86</v>
      </c>
      <c r="L8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30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30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15</v>
      </c>
      <c r="D87" t="s">
        <v>69</v>
      </c>
      <c r="E87" t="s">
        <v>72</v>
      </c>
      <c r="F87" t="s">
        <v>71</v>
      </c>
      <c r="G87">
        <v>0</v>
      </c>
      <c r="H87">
        <v>2E+20</v>
      </c>
      <c r="I87">
        <v>0</v>
      </c>
      <c r="J87">
        <v>0</v>
      </c>
      <c r="K87">
        <v>86</v>
      </c>
      <c r="L8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30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30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15</v>
      </c>
      <c r="D88" t="s">
        <v>69</v>
      </c>
      <c r="E88" t="s">
        <v>73</v>
      </c>
      <c r="F88" t="s">
        <v>71</v>
      </c>
      <c r="G88">
        <v>4.4935924171499604</v>
      </c>
      <c r="H88">
        <v>2E+20</v>
      </c>
      <c r="I88">
        <v>9.5069880302872903E-2</v>
      </c>
      <c r="J88">
        <v>26.1128415091889</v>
      </c>
      <c r="K88">
        <v>86</v>
      </c>
      <c r="L8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30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4.6400860420021628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0.58400792997884021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3.4413810037220798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6.0570535223218798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3.13770240211397E-4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33.351429551716201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88">
        <f>IF((DiscreteStatsTable[[#This Row],[RepsRequested]]&gt;1),DiscreteStatsTable[[#This Row],[HalfWidth]],DiscreteStatsTable[[#This Row],[BatchMeansHalfWidth]])</f>
        <v>0.2180721449694937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30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15</v>
      </c>
      <c r="D89" t="s">
        <v>69</v>
      </c>
      <c r="E89" t="s">
        <v>74</v>
      </c>
      <c r="F89" t="s">
        <v>71</v>
      </c>
      <c r="G89">
        <v>0</v>
      </c>
      <c r="H89">
        <v>2E+20</v>
      </c>
      <c r="I89">
        <v>0</v>
      </c>
      <c r="J89">
        <v>0</v>
      </c>
      <c r="K89">
        <v>86</v>
      </c>
      <c r="L8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30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30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15</v>
      </c>
      <c r="D90" t="s">
        <v>69</v>
      </c>
      <c r="E90" t="s">
        <v>75</v>
      </c>
      <c r="F90" t="s">
        <v>71</v>
      </c>
      <c r="G90">
        <v>4.14832633240903</v>
      </c>
      <c r="H90">
        <v>2E+20</v>
      </c>
      <c r="I90">
        <v>9.5069880302872903E-2</v>
      </c>
      <c r="J90">
        <v>23.906762905306699</v>
      </c>
      <c r="K90">
        <v>86</v>
      </c>
      <c r="L9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30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4.1484971853511476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0.43455851948632768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3.2850114511671298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5.0358229399280701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3.13770240211397E-4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33.351429551716201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90">
        <f>IF((DiscreteStatsTable[[#This Row],[RepsRequested]]&gt;1),DiscreteStatsTable[[#This Row],[HalfWidth]],DiscreteStatsTable[[#This Row],[BatchMeansHalfWidth]])</f>
        <v>0.16226681795670911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30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15</v>
      </c>
      <c r="D91" t="s">
        <v>69</v>
      </c>
      <c r="E91" t="s">
        <v>76</v>
      </c>
      <c r="F91" t="s">
        <v>71</v>
      </c>
      <c r="G91">
        <v>0.34526608474093901</v>
      </c>
      <c r="H91">
        <v>2E+20</v>
      </c>
      <c r="I91">
        <v>0</v>
      </c>
      <c r="J91">
        <v>5.1864784117029803</v>
      </c>
      <c r="K91">
        <v>86</v>
      </c>
      <c r="L9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30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0.49158885665101598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0.23376724818535846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0.156369552554951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1.18625196466872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14.014497530459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91">
        <f>IF((DiscreteStatsTable[[#This Row],[RepsRequested]]&gt;1),DiscreteStatsTable[[#This Row],[HalfWidth]],DiscreteStatsTable[[#This Row],[BatchMeansHalfWidth]])</f>
        <v>8.7290125045466668E-2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30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16</v>
      </c>
      <c r="D92" t="s">
        <v>69</v>
      </c>
      <c r="E92" t="s">
        <v>70</v>
      </c>
      <c r="F92" t="s">
        <v>71</v>
      </c>
      <c r="G92">
        <v>0</v>
      </c>
      <c r="H92">
        <v>2E+20</v>
      </c>
      <c r="I92">
        <v>0</v>
      </c>
      <c r="J92">
        <v>0</v>
      </c>
      <c r="K92">
        <v>92</v>
      </c>
      <c r="L9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30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30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16</v>
      </c>
      <c r="D93" t="s">
        <v>69</v>
      </c>
      <c r="E93" t="s">
        <v>72</v>
      </c>
      <c r="F93" t="s">
        <v>71</v>
      </c>
      <c r="G93">
        <v>0</v>
      </c>
      <c r="H93">
        <v>2E+20</v>
      </c>
      <c r="I93">
        <v>0</v>
      </c>
      <c r="J93">
        <v>0</v>
      </c>
      <c r="K93">
        <v>92</v>
      </c>
      <c r="L9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30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30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16</v>
      </c>
      <c r="D94" t="s">
        <v>69</v>
      </c>
      <c r="E94" t="s">
        <v>73</v>
      </c>
      <c r="F94" t="s">
        <v>71</v>
      </c>
      <c r="G94">
        <v>5.5648032954355902</v>
      </c>
      <c r="H94">
        <v>2E+20</v>
      </c>
      <c r="I94">
        <v>3.6399854718638401E-2</v>
      </c>
      <c r="J94">
        <v>25.918017625496599</v>
      </c>
      <c r="K94">
        <v>92</v>
      </c>
      <c r="L9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30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4.6400860420021628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0.58400792997884021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3.4413810037220798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6.0570535223218798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3.13770240211397E-4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33.351429551716201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94">
        <f>IF((DiscreteStatsTable[[#This Row],[RepsRequested]]&gt;1),DiscreteStatsTable[[#This Row],[HalfWidth]],DiscreteStatsTable[[#This Row],[BatchMeansHalfWidth]])</f>
        <v>0.2180721449694937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30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16</v>
      </c>
      <c r="D95" t="s">
        <v>69</v>
      </c>
      <c r="E95" t="s">
        <v>74</v>
      </c>
      <c r="F95" t="s">
        <v>71</v>
      </c>
      <c r="G95">
        <v>0</v>
      </c>
      <c r="H95">
        <v>2E+20</v>
      </c>
      <c r="I95">
        <v>0</v>
      </c>
      <c r="J95">
        <v>0</v>
      </c>
      <c r="K95">
        <v>92</v>
      </c>
      <c r="L9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30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30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16</v>
      </c>
      <c r="D96" t="s">
        <v>69</v>
      </c>
      <c r="E96" t="s">
        <v>75</v>
      </c>
      <c r="F96" t="s">
        <v>71</v>
      </c>
      <c r="G96">
        <v>5.0358229399280701</v>
      </c>
      <c r="H96">
        <v>2E+20</v>
      </c>
      <c r="I96">
        <v>3.6399854718638401E-2</v>
      </c>
      <c r="J96">
        <v>25.918017625496599</v>
      </c>
      <c r="K96">
        <v>92</v>
      </c>
      <c r="L9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30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4.1484971853511476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0.43455851948632768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3.2850114511671298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5.0358229399280701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3.13770240211397E-4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33.351429551716201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96">
        <f>IF((DiscreteStatsTable[[#This Row],[RepsRequested]]&gt;1),DiscreteStatsTable[[#This Row],[HalfWidth]],DiscreteStatsTable[[#This Row],[BatchMeansHalfWidth]])</f>
        <v>0.16226681795670911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30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16</v>
      </c>
      <c r="D97" t="s">
        <v>69</v>
      </c>
      <c r="E97" t="s">
        <v>76</v>
      </c>
      <c r="F97" t="s">
        <v>71</v>
      </c>
      <c r="G97">
        <v>0.52898035550751998</v>
      </c>
      <c r="H97">
        <v>2E+20</v>
      </c>
      <c r="I97">
        <v>0</v>
      </c>
      <c r="J97">
        <v>8.0293573369554707</v>
      </c>
      <c r="K97">
        <v>92</v>
      </c>
      <c r="L9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30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0.49158885665101598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0.23376724818535846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0.156369552554951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1.18625196466872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14.014497530459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97">
        <f>IF((DiscreteStatsTable[[#This Row],[RepsRequested]]&gt;1),DiscreteStatsTable[[#This Row],[HalfWidth]],DiscreteStatsTable[[#This Row],[BatchMeansHalfWidth]])</f>
        <v>8.7290125045466668E-2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30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17</v>
      </c>
      <c r="D98" t="s">
        <v>69</v>
      </c>
      <c r="E98" t="s">
        <v>70</v>
      </c>
      <c r="F98" t="s">
        <v>71</v>
      </c>
      <c r="G98">
        <v>0</v>
      </c>
      <c r="H98">
        <v>2E+20</v>
      </c>
      <c r="I98">
        <v>0</v>
      </c>
      <c r="J98">
        <v>0</v>
      </c>
      <c r="K98">
        <v>70</v>
      </c>
      <c r="L9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30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30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17</v>
      </c>
      <c r="D99" t="s">
        <v>69</v>
      </c>
      <c r="E99" t="s">
        <v>72</v>
      </c>
      <c r="F99" t="s">
        <v>71</v>
      </c>
      <c r="G99">
        <v>0</v>
      </c>
      <c r="H99">
        <v>2E+20</v>
      </c>
      <c r="I99">
        <v>0</v>
      </c>
      <c r="J99">
        <v>0</v>
      </c>
      <c r="K99">
        <v>70</v>
      </c>
      <c r="L9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30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30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17</v>
      </c>
      <c r="D100" t="s">
        <v>69</v>
      </c>
      <c r="E100" t="s">
        <v>73</v>
      </c>
      <c r="F100" t="s">
        <v>71</v>
      </c>
      <c r="G100">
        <v>4.2292946422998803</v>
      </c>
      <c r="H100">
        <v>2E+20</v>
      </c>
      <c r="I100">
        <v>7.8352324239006094E-2</v>
      </c>
      <c r="J100">
        <v>15.2820267841507</v>
      </c>
      <c r="K100">
        <v>70</v>
      </c>
      <c r="L10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30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4.6400860420021628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0.58400792997884021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3.4413810037220798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6.0570535223218798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3.13770240211397E-4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33.351429551716201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00">
        <f>IF((DiscreteStatsTable[[#This Row],[RepsRequested]]&gt;1),DiscreteStatsTable[[#This Row],[HalfWidth]],DiscreteStatsTable[[#This Row],[BatchMeansHalfWidth]])</f>
        <v>0.2180721449694937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30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17</v>
      </c>
      <c r="D101" t="s">
        <v>69</v>
      </c>
      <c r="E101" t="s">
        <v>74</v>
      </c>
      <c r="F101" t="s">
        <v>71</v>
      </c>
      <c r="G101">
        <v>0</v>
      </c>
      <c r="H101">
        <v>2E+20</v>
      </c>
      <c r="I101">
        <v>0</v>
      </c>
      <c r="J101">
        <v>0</v>
      </c>
      <c r="K101">
        <v>70</v>
      </c>
      <c r="L10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30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30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17</v>
      </c>
      <c r="D102" t="s">
        <v>69</v>
      </c>
      <c r="E102" t="s">
        <v>75</v>
      </c>
      <c r="F102" t="s">
        <v>71</v>
      </c>
      <c r="G102">
        <v>3.90283320190168</v>
      </c>
      <c r="H102">
        <v>2E+20</v>
      </c>
      <c r="I102">
        <v>7.8352324239006094E-2</v>
      </c>
      <c r="J102">
        <v>15.2820267841507</v>
      </c>
      <c r="K102">
        <v>70</v>
      </c>
      <c r="L10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30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4.1484971853511476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0.43455851948632768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3.2850114511671298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5.0358229399280701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3.13770240211397E-4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33.351429551716201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02">
        <f>IF((DiscreteStatsTable[[#This Row],[RepsRequested]]&gt;1),DiscreteStatsTable[[#This Row],[HalfWidth]],DiscreteStatsTable[[#This Row],[BatchMeansHalfWidth]])</f>
        <v>0.16226681795670911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30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17</v>
      </c>
      <c r="D103" t="s">
        <v>69</v>
      </c>
      <c r="E103" t="s">
        <v>76</v>
      </c>
      <c r="F103" t="s">
        <v>71</v>
      </c>
      <c r="G103">
        <v>0.32646144039820002</v>
      </c>
      <c r="H103">
        <v>2E+20</v>
      </c>
      <c r="I103">
        <v>0</v>
      </c>
      <c r="J103">
        <v>6.6545673628106199</v>
      </c>
      <c r="K103">
        <v>70</v>
      </c>
      <c r="L10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30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0.49158885665101598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0.23376724818535846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0.156369552554951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1.18625196466872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14.014497530459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03">
        <f>IF((DiscreteStatsTable[[#This Row],[RepsRequested]]&gt;1),DiscreteStatsTable[[#This Row],[HalfWidth]],DiscreteStatsTable[[#This Row],[BatchMeansHalfWidth]])</f>
        <v>8.7290125045466668E-2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30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18</v>
      </c>
      <c r="D104" t="s">
        <v>69</v>
      </c>
      <c r="E104" t="s">
        <v>70</v>
      </c>
      <c r="F104" t="s">
        <v>71</v>
      </c>
      <c r="G104">
        <v>0</v>
      </c>
      <c r="H104">
        <v>2E+20</v>
      </c>
      <c r="I104">
        <v>0</v>
      </c>
      <c r="J104">
        <v>0</v>
      </c>
      <c r="K104">
        <v>100</v>
      </c>
      <c r="L10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30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30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18</v>
      </c>
      <c r="D105" t="s">
        <v>69</v>
      </c>
      <c r="E105" t="s">
        <v>72</v>
      </c>
      <c r="F105" t="s">
        <v>71</v>
      </c>
      <c r="G105">
        <v>0</v>
      </c>
      <c r="H105">
        <v>2E+20</v>
      </c>
      <c r="I105">
        <v>0</v>
      </c>
      <c r="J105">
        <v>0</v>
      </c>
      <c r="K105">
        <v>100</v>
      </c>
      <c r="L10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30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30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18</v>
      </c>
      <c r="D106" t="s">
        <v>69</v>
      </c>
      <c r="E106" t="s">
        <v>73</v>
      </c>
      <c r="F106" t="s">
        <v>71</v>
      </c>
      <c r="G106">
        <v>4.9759709996741099</v>
      </c>
      <c r="H106">
        <v>2E+20</v>
      </c>
      <c r="I106">
        <v>6.7642649030517504E-2</v>
      </c>
      <c r="J106">
        <v>21.385544871039901</v>
      </c>
      <c r="K106">
        <v>100</v>
      </c>
      <c r="L10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30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4.6400860420021628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0.58400792997884021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3.4413810037220798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6.0570535223218798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3.13770240211397E-4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33.351429551716201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06">
        <f>IF((DiscreteStatsTable[[#This Row],[RepsRequested]]&gt;1),DiscreteStatsTable[[#This Row],[HalfWidth]],DiscreteStatsTable[[#This Row],[BatchMeansHalfWidth]])</f>
        <v>0.2180721449694937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30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18</v>
      </c>
      <c r="D107" t="s">
        <v>69</v>
      </c>
      <c r="E107" t="s">
        <v>74</v>
      </c>
      <c r="F107" t="s">
        <v>71</v>
      </c>
      <c r="G107">
        <v>0</v>
      </c>
      <c r="H107">
        <v>2E+20</v>
      </c>
      <c r="I107">
        <v>0</v>
      </c>
      <c r="J107">
        <v>0</v>
      </c>
      <c r="K107">
        <v>100</v>
      </c>
      <c r="L10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30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30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18</v>
      </c>
      <c r="D108" t="s">
        <v>69</v>
      </c>
      <c r="E108" t="s">
        <v>75</v>
      </c>
      <c r="F108" t="s">
        <v>71</v>
      </c>
      <c r="G108">
        <v>4.5435515942717899</v>
      </c>
      <c r="H108">
        <v>2E+20</v>
      </c>
      <c r="I108">
        <v>1.1710553480952499E-3</v>
      </c>
      <c r="J108">
        <v>21.385544871039901</v>
      </c>
      <c r="K108">
        <v>100</v>
      </c>
      <c r="L10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30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4.1484971853511476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0.43455851948632768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3.2850114511671298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5.0358229399280701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3.13770240211397E-4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33.351429551716201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08">
        <f>IF((DiscreteStatsTable[[#This Row],[RepsRequested]]&gt;1),DiscreteStatsTable[[#This Row],[HalfWidth]],DiscreteStatsTable[[#This Row],[BatchMeansHalfWidth]])</f>
        <v>0.16226681795670911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30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18</v>
      </c>
      <c r="D109" t="s">
        <v>69</v>
      </c>
      <c r="E109" t="s">
        <v>76</v>
      </c>
      <c r="F109" t="s">
        <v>71</v>
      </c>
      <c r="G109">
        <v>0.43241940540231399</v>
      </c>
      <c r="H109">
        <v>2E+20</v>
      </c>
      <c r="I109">
        <v>0</v>
      </c>
      <c r="J109">
        <v>6.5454643326073096</v>
      </c>
      <c r="K109">
        <v>100</v>
      </c>
      <c r="L10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30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0.49158885665101598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0.23376724818535846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0.156369552554951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1.18625196466872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14.014497530459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09">
        <f>IF((DiscreteStatsTable[[#This Row],[RepsRequested]]&gt;1),DiscreteStatsTable[[#This Row],[HalfWidth]],DiscreteStatsTable[[#This Row],[BatchMeansHalfWidth]])</f>
        <v>8.7290125045466668E-2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30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19</v>
      </c>
      <c r="D110" t="s">
        <v>69</v>
      </c>
      <c r="E110" t="s">
        <v>70</v>
      </c>
      <c r="F110" t="s">
        <v>71</v>
      </c>
      <c r="G110">
        <v>0</v>
      </c>
      <c r="H110">
        <v>2E+20</v>
      </c>
      <c r="I110">
        <v>0</v>
      </c>
      <c r="J110">
        <v>0</v>
      </c>
      <c r="K110">
        <v>84</v>
      </c>
      <c r="L11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30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30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19</v>
      </c>
      <c r="D111" t="s">
        <v>69</v>
      </c>
      <c r="E111" t="s">
        <v>72</v>
      </c>
      <c r="F111" t="s">
        <v>71</v>
      </c>
      <c r="G111">
        <v>0</v>
      </c>
      <c r="H111">
        <v>2E+20</v>
      </c>
      <c r="I111">
        <v>0</v>
      </c>
      <c r="J111">
        <v>0</v>
      </c>
      <c r="K111">
        <v>84</v>
      </c>
      <c r="L11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30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30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19</v>
      </c>
      <c r="D112" t="s">
        <v>69</v>
      </c>
      <c r="E112" t="s">
        <v>73</v>
      </c>
      <c r="F112" t="s">
        <v>71</v>
      </c>
      <c r="G112">
        <v>4.9279743233441904</v>
      </c>
      <c r="H112">
        <v>2E+20</v>
      </c>
      <c r="I112">
        <v>3.2031945276571601E-3</v>
      </c>
      <c r="J112">
        <v>19.030163450748699</v>
      </c>
      <c r="K112">
        <v>84</v>
      </c>
      <c r="L11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30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4.6400860420021628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0.58400792997884021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3.4413810037220798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6.0570535223218798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3.13770240211397E-4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33.351429551716201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12">
        <f>IF((DiscreteStatsTable[[#This Row],[RepsRequested]]&gt;1),DiscreteStatsTable[[#This Row],[HalfWidth]],DiscreteStatsTable[[#This Row],[BatchMeansHalfWidth]])</f>
        <v>0.2180721449694937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30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19</v>
      </c>
      <c r="D113" t="s">
        <v>69</v>
      </c>
      <c r="E113" t="s">
        <v>74</v>
      </c>
      <c r="F113" t="s">
        <v>71</v>
      </c>
      <c r="G113">
        <v>0</v>
      </c>
      <c r="H113">
        <v>2E+20</v>
      </c>
      <c r="I113">
        <v>0</v>
      </c>
      <c r="J113">
        <v>0</v>
      </c>
      <c r="K113">
        <v>84</v>
      </c>
      <c r="L11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30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30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19</v>
      </c>
      <c r="D114" t="s">
        <v>69</v>
      </c>
      <c r="E114" t="s">
        <v>75</v>
      </c>
      <c r="F114" t="s">
        <v>71</v>
      </c>
      <c r="G114">
        <v>4.3879095298608801</v>
      </c>
      <c r="H114">
        <v>2E+20</v>
      </c>
      <c r="I114">
        <v>3.2031945276571601E-3</v>
      </c>
      <c r="J114">
        <v>19.030163450748699</v>
      </c>
      <c r="K114">
        <v>84</v>
      </c>
      <c r="L11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30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4.1484971853511476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0.43455851948632768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3.2850114511671298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5.0358229399280701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3.13770240211397E-4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33.351429551716201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14">
        <f>IF((DiscreteStatsTable[[#This Row],[RepsRequested]]&gt;1),DiscreteStatsTable[[#This Row],[HalfWidth]],DiscreteStatsTable[[#This Row],[BatchMeansHalfWidth]])</f>
        <v>0.16226681795670911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30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19</v>
      </c>
      <c r="D115" t="s">
        <v>69</v>
      </c>
      <c r="E115" t="s">
        <v>76</v>
      </c>
      <c r="F115" t="s">
        <v>71</v>
      </c>
      <c r="G115">
        <v>0.54006479348330805</v>
      </c>
      <c r="H115">
        <v>2E+20</v>
      </c>
      <c r="I115">
        <v>0</v>
      </c>
      <c r="J115">
        <v>13.270526293502</v>
      </c>
      <c r="K115">
        <v>84</v>
      </c>
      <c r="L11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30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0.49158885665101598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0.23376724818535846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0.156369552554951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1.18625196466872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14.014497530459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15">
        <f>IF((DiscreteStatsTable[[#This Row],[RepsRequested]]&gt;1),DiscreteStatsTable[[#This Row],[HalfWidth]],DiscreteStatsTable[[#This Row],[BatchMeansHalfWidth]])</f>
        <v>8.7290125045466668E-2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30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20</v>
      </c>
      <c r="D116" t="s">
        <v>69</v>
      </c>
      <c r="E116" t="s">
        <v>70</v>
      </c>
      <c r="F116" t="s">
        <v>71</v>
      </c>
      <c r="G116">
        <v>0</v>
      </c>
      <c r="H116">
        <v>2E+20</v>
      </c>
      <c r="I116">
        <v>0</v>
      </c>
      <c r="J116">
        <v>0</v>
      </c>
      <c r="K116">
        <v>84</v>
      </c>
      <c r="L11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30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30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20</v>
      </c>
      <c r="D117" t="s">
        <v>69</v>
      </c>
      <c r="E117" t="s">
        <v>72</v>
      </c>
      <c r="F117" t="s">
        <v>71</v>
      </c>
      <c r="G117">
        <v>0</v>
      </c>
      <c r="H117">
        <v>2E+20</v>
      </c>
      <c r="I117">
        <v>0</v>
      </c>
      <c r="J117">
        <v>0</v>
      </c>
      <c r="K117">
        <v>84</v>
      </c>
      <c r="L11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30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30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20</v>
      </c>
      <c r="D118" t="s">
        <v>69</v>
      </c>
      <c r="E118" t="s">
        <v>73</v>
      </c>
      <c r="F118" t="s">
        <v>71</v>
      </c>
      <c r="G118">
        <v>3.9709253516479701</v>
      </c>
      <c r="H118">
        <v>2E+20</v>
      </c>
      <c r="I118">
        <v>2.5837933009142899E-2</v>
      </c>
      <c r="J118">
        <v>33.351429551716201</v>
      </c>
      <c r="K118">
        <v>84</v>
      </c>
      <c r="L11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30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4.6400860420021628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0.58400792997884021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3.4413810037220798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6.0570535223218798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3.13770240211397E-4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33.351429551716201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18">
        <f>IF((DiscreteStatsTable[[#This Row],[RepsRequested]]&gt;1),DiscreteStatsTable[[#This Row],[HalfWidth]],DiscreteStatsTable[[#This Row],[BatchMeansHalfWidth]])</f>
        <v>0.2180721449694937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30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20</v>
      </c>
      <c r="D119" t="s">
        <v>69</v>
      </c>
      <c r="E119" t="s">
        <v>74</v>
      </c>
      <c r="F119" t="s">
        <v>71</v>
      </c>
      <c r="G119">
        <v>0</v>
      </c>
      <c r="H119">
        <v>2E+20</v>
      </c>
      <c r="I119">
        <v>0</v>
      </c>
      <c r="J119">
        <v>0</v>
      </c>
      <c r="K119">
        <v>84</v>
      </c>
      <c r="L11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30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30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20</v>
      </c>
      <c r="D120" t="s">
        <v>69</v>
      </c>
      <c r="E120" t="s">
        <v>75</v>
      </c>
      <c r="F120" t="s">
        <v>71</v>
      </c>
      <c r="G120">
        <v>3.76209476446257</v>
      </c>
      <c r="H120">
        <v>2E+20</v>
      </c>
      <c r="I120">
        <v>2.5837933009142899E-2</v>
      </c>
      <c r="J120">
        <v>33.351429551716201</v>
      </c>
      <c r="K120">
        <v>84</v>
      </c>
      <c r="L12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30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4.1484971853511476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0.43455851948632768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3.2850114511671298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5.0358229399280701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3.13770240211397E-4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33.351429551716201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20">
        <f>IF((DiscreteStatsTable[[#This Row],[RepsRequested]]&gt;1),DiscreteStatsTable[[#This Row],[HalfWidth]],DiscreteStatsTable[[#This Row],[BatchMeansHalfWidth]])</f>
        <v>0.16226681795670911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30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20</v>
      </c>
      <c r="D121" t="s">
        <v>69</v>
      </c>
      <c r="E121" t="s">
        <v>76</v>
      </c>
      <c r="F121" t="s">
        <v>71</v>
      </c>
      <c r="G121">
        <v>0.20883058718539599</v>
      </c>
      <c r="H121">
        <v>2E+20</v>
      </c>
      <c r="I121">
        <v>0</v>
      </c>
      <c r="J121">
        <v>4.6967727750628701</v>
      </c>
      <c r="K121">
        <v>84</v>
      </c>
      <c r="L12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30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0.49158885665101598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0.23376724818535846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0.156369552554951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1.18625196466872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14.014497530459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21">
        <f>IF((DiscreteStatsTable[[#This Row],[RepsRequested]]&gt;1),DiscreteStatsTable[[#This Row],[HalfWidth]],DiscreteStatsTable[[#This Row],[BatchMeansHalfWidth]])</f>
        <v>8.7290125045466668E-2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30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21</v>
      </c>
      <c r="D122" t="s">
        <v>69</v>
      </c>
      <c r="E122" t="s">
        <v>70</v>
      </c>
      <c r="F122" t="s">
        <v>71</v>
      </c>
      <c r="G122">
        <v>0</v>
      </c>
      <c r="H122">
        <v>2E+20</v>
      </c>
      <c r="I122">
        <v>0</v>
      </c>
      <c r="J122">
        <v>0</v>
      </c>
      <c r="K122">
        <v>96</v>
      </c>
      <c r="L12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30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30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21</v>
      </c>
      <c r="D123" t="s">
        <v>69</v>
      </c>
      <c r="E123" t="s">
        <v>72</v>
      </c>
      <c r="F123" t="s">
        <v>71</v>
      </c>
      <c r="G123">
        <v>0</v>
      </c>
      <c r="H123">
        <v>2E+20</v>
      </c>
      <c r="I123">
        <v>0</v>
      </c>
      <c r="J123">
        <v>0</v>
      </c>
      <c r="K123">
        <v>96</v>
      </c>
      <c r="L12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30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30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21</v>
      </c>
      <c r="D124" t="s">
        <v>69</v>
      </c>
      <c r="E124" t="s">
        <v>73</v>
      </c>
      <c r="F124" t="s">
        <v>71</v>
      </c>
      <c r="G124">
        <v>4.0157206441557101</v>
      </c>
      <c r="H124">
        <v>2E+20</v>
      </c>
      <c r="I124">
        <v>3.2851357311187698E-2</v>
      </c>
      <c r="J124">
        <v>16.9146733184403</v>
      </c>
      <c r="K124">
        <v>96</v>
      </c>
      <c r="L12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30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4.6400860420021628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0.58400792997884021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3.4413810037220798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6.0570535223218798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3.13770240211397E-4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33.351429551716201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24" s="5">
        <f>IF((DiscreteStatsTable[[#This Row],[RepsRequested]]&gt;1),DiscreteStatsTable[[#This Row],[HalfWidth]],DiscreteStatsTable[[#This Row],[BatchMeansHalfWidth]])</f>
        <v>0.2180721449694937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30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21</v>
      </c>
      <c r="D125" t="s">
        <v>69</v>
      </c>
      <c r="E125" t="s">
        <v>74</v>
      </c>
      <c r="F125" t="s">
        <v>71</v>
      </c>
      <c r="G125">
        <v>0</v>
      </c>
      <c r="H125">
        <v>2E+20</v>
      </c>
      <c r="I125">
        <v>0</v>
      </c>
      <c r="J125">
        <v>0</v>
      </c>
      <c r="K125">
        <v>96</v>
      </c>
      <c r="L12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30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30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21</v>
      </c>
      <c r="D126" t="s">
        <v>69</v>
      </c>
      <c r="E126" t="s">
        <v>75</v>
      </c>
      <c r="F126" t="s">
        <v>71</v>
      </c>
      <c r="G126">
        <v>3.51036982057945</v>
      </c>
      <c r="H126">
        <v>2E+20</v>
      </c>
      <c r="I126">
        <v>3.2851357311187698E-2</v>
      </c>
      <c r="J126">
        <v>16.9146733184403</v>
      </c>
      <c r="K126">
        <v>96</v>
      </c>
      <c r="L12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30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4.1484971853511476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0.43455851948632768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3.2850114511671298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5.0358229399280701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3.13770240211397E-4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33.351429551716201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26" s="5">
        <f>IF((DiscreteStatsTable[[#This Row],[RepsRequested]]&gt;1),DiscreteStatsTable[[#This Row],[HalfWidth]],DiscreteStatsTable[[#This Row],[BatchMeansHalfWidth]])</f>
        <v>0.16226681795670911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30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21</v>
      </c>
      <c r="D127" t="s">
        <v>69</v>
      </c>
      <c r="E127" t="s">
        <v>76</v>
      </c>
      <c r="F127" t="s">
        <v>71</v>
      </c>
      <c r="G127">
        <v>0.50535082357625805</v>
      </c>
      <c r="H127">
        <v>2E+20</v>
      </c>
      <c r="I127">
        <v>0</v>
      </c>
      <c r="J127">
        <v>11.603410848195301</v>
      </c>
      <c r="K127">
        <v>96</v>
      </c>
      <c r="L12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30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0.49158885665101598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0.23376724818535846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0.156369552554951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1.18625196466872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14.014497530459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27" s="5">
        <f>IF((DiscreteStatsTable[[#This Row],[RepsRequested]]&gt;1),DiscreteStatsTable[[#This Row],[HalfWidth]],DiscreteStatsTable[[#This Row],[BatchMeansHalfWidth]])</f>
        <v>8.7290125045466668E-2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30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22</v>
      </c>
      <c r="D128" t="s">
        <v>69</v>
      </c>
      <c r="E128" t="s">
        <v>70</v>
      </c>
      <c r="F128" t="s">
        <v>71</v>
      </c>
      <c r="G128">
        <v>0</v>
      </c>
      <c r="H128">
        <v>2E+20</v>
      </c>
      <c r="I128">
        <v>0</v>
      </c>
      <c r="J128">
        <v>0</v>
      </c>
      <c r="K128">
        <v>85</v>
      </c>
      <c r="L12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30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30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22</v>
      </c>
      <c r="D129" t="s">
        <v>69</v>
      </c>
      <c r="E129" t="s">
        <v>72</v>
      </c>
      <c r="F129" t="s">
        <v>71</v>
      </c>
      <c r="G129">
        <v>0</v>
      </c>
      <c r="H129">
        <v>2E+20</v>
      </c>
      <c r="I129">
        <v>0</v>
      </c>
      <c r="J129">
        <v>0</v>
      </c>
      <c r="K129">
        <v>85</v>
      </c>
      <c r="L12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30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30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22</v>
      </c>
      <c r="D130" t="s">
        <v>69</v>
      </c>
      <c r="E130" t="s">
        <v>73</v>
      </c>
      <c r="F130" t="s">
        <v>71</v>
      </c>
      <c r="G130">
        <v>6.0570535223218798</v>
      </c>
      <c r="H130">
        <v>2E+20</v>
      </c>
      <c r="I130">
        <v>1.2572128034577201E-2</v>
      </c>
      <c r="J130">
        <v>20.807750219040599</v>
      </c>
      <c r="K130">
        <v>85</v>
      </c>
      <c r="L13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30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4.6400860420021628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0.58400792997884021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3.4413810037220798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6.0570535223218798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3.13770240211397E-4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33.351429551716201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30" s="5">
        <f>IF((DiscreteStatsTable[[#This Row],[RepsRequested]]&gt;1),DiscreteStatsTable[[#This Row],[HalfWidth]],DiscreteStatsTable[[#This Row],[BatchMeansHalfWidth]])</f>
        <v>0.2180721449694937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30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22</v>
      </c>
      <c r="D131" t="s">
        <v>69</v>
      </c>
      <c r="E131" t="s">
        <v>74</v>
      </c>
      <c r="F131" t="s">
        <v>71</v>
      </c>
      <c r="G131">
        <v>0</v>
      </c>
      <c r="H131">
        <v>2E+20</v>
      </c>
      <c r="I131">
        <v>0</v>
      </c>
      <c r="J131">
        <v>0</v>
      </c>
      <c r="K131">
        <v>85</v>
      </c>
      <c r="L13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30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30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22</v>
      </c>
      <c r="D132" t="s">
        <v>69</v>
      </c>
      <c r="E132" t="s">
        <v>75</v>
      </c>
      <c r="F132" t="s">
        <v>71</v>
      </c>
      <c r="G132">
        <v>5.0320244561368499</v>
      </c>
      <c r="H132">
        <v>2E+20</v>
      </c>
      <c r="I132">
        <v>1.2572128034577201E-2</v>
      </c>
      <c r="J132">
        <v>16.119336768182901</v>
      </c>
      <c r="K132">
        <v>85</v>
      </c>
      <c r="L13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30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4.1484971853511476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0.43455851948632768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3.2850114511671298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5.0358229399280701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3.13770240211397E-4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33.351429551716201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32" s="5">
        <f>IF((DiscreteStatsTable[[#This Row],[RepsRequested]]&gt;1),DiscreteStatsTable[[#This Row],[HalfWidth]],DiscreteStatsTable[[#This Row],[BatchMeansHalfWidth]])</f>
        <v>0.16226681795670911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30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22</v>
      </c>
      <c r="D133" t="s">
        <v>69</v>
      </c>
      <c r="E133" t="s">
        <v>76</v>
      </c>
      <c r="F133" t="s">
        <v>71</v>
      </c>
      <c r="G133">
        <v>1.0250290661850301</v>
      </c>
      <c r="H133">
        <v>2E+20</v>
      </c>
      <c r="I133">
        <v>0</v>
      </c>
      <c r="J133">
        <v>10.344806383927001</v>
      </c>
      <c r="K133">
        <v>85</v>
      </c>
      <c r="L13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30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0.49158885665101598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0.23376724818535846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0.156369552554951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1.18625196466872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14.014497530459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33" s="5">
        <f>IF((DiscreteStatsTable[[#This Row],[RepsRequested]]&gt;1),DiscreteStatsTable[[#This Row],[HalfWidth]],DiscreteStatsTable[[#This Row],[BatchMeansHalfWidth]])</f>
        <v>8.7290125045466668E-2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30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23</v>
      </c>
      <c r="D134" t="s">
        <v>69</v>
      </c>
      <c r="E134" t="s">
        <v>70</v>
      </c>
      <c r="F134" t="s">
        <v>71</v>
      </c>
      <c r="G134">
        <v>0</v>
      </c>
      <c r="H134">
        <v>2E+20</v>
      </c>
      <c r="I134">
        <v>0</v>
      </c>
      <c r="J134">
        <v>0</v>
      </c>
      <c r="K134">
        <v>91</v>
      </c>
      <c r="L13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30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30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23</v>
      </c>
      <c r="D135" t="s">
        <v>69</v>
      </c>
      <c r="E135" t="s">
        <v>72</v>
      </c>
      <c r="F135" t="s">
        <v>71</v>
      </c>
      <c r="G135">
        <v>0</v>
      </c>
      <c r="H135">
        <v>2E+20</v>
      </c>
      <c r="I135">
        <v>0</v>
      </c>
      <c r="J135">
        <v>0</v>
      </c>
      <c r="K135">
        <v>91</v>
      </c>
      <c r="L13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30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30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23</v>
      </c>
      <c r="D136" t="s">
        <v>69</v>
      </c>
      <c r="E136" t="s">
        <v>73</v>
      </c>
      <c r="F136" t="s">
        <v>71</v>
      </c>
      <c r="G136">
        <v>4.1591403527727104</v>
      </c>
      <c r="H136">
        <v>2E+20</v>
      </c>
      <c r="I136">
        <v>6.55522631655003E-3</v>
      </c>
      <c r="J136">
        <v>16.7293216689602</v>
      </c>
      <c r="K136">
        <v>91</v>
      </c>
      <c r="L13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30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4.6400860420021628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0.58400792997884021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3.4413810037220798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6.0570535223218798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3.13770240211397E-4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33.351429551716201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36" s="5">
        <f>IF((DiscreteStatsTable[[#This Row],[RepsRequested]]&gt;1),DiscreteStatsTable[[#This Row],[HalfWidth]],DiscreteStatsTable[[#This Row],[BatchMeansHalfWidth]])</f>
        <v>0.2180721449694937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30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23</v>
      </c>
      <c r="D137" t="s">
        <v>69</v>
      </c>
      <c r="E137" t="s">
        <v>74</v>
      </c>
      <c r="F137" t="s">
        <v>71</v>
      </c>
      <c r="G137">
        <v>0</v>
      </c>
      <c r="H137">
        <v>2E+20</v>
      </c>
      <c r="I137">
        <v>0</v>
      </c>
      <c r="J137">
        <v>0</v>
      </c>
      <c r="K137">
        <v>91</v>
      </c>
      <c r="L13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30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30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23</v>
      </c>
      <c r="D138" t="s">
        <v>69</v>
      </c>
      <c r="E138" t="s">
        <v>75</v>
      </c>
      <c r="F138" t="s">
        <v>71</v>
      </c>
      <c r="G138">
        <v>3.7817248212047101</v>
      </c>
      <c r="H138">
        <v>2E+20</v>
      </c>
      <c r="I138">
        <v>6.55522631655003E-3</v>
      </c>
      <c r="J138">
        <v>16.7293216689602</v>
      </c>
      <c r="K138">
        <v>91</v>
      </c>
      <c r="L13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30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4.1484971853511476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0.43455851948632768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3.2850114511671298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5.0358229399280701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3.13770240211397E-4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33.351429551716201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38" s="5">
        <f>IF((DiscreteStatsTable[[#This Row],[RepsRequested]]&gt;1),DiscreteStatsTable[[#This Row],[HalfWidth]],DiscreteStatsTable[[#This Row],[BatchMeansHalfWidth]])</f>
        <v>0.16226681795670911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30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23</v>
      </c>
      <c r="D139" t="s">
        <v>69</v>
      </c>
      <c r="E139" t="s">
        <v>76</v>
      </c>
      <c r="F139" t="s">
        <v>71</v>
      </c>
      <c r="G139">
        <v>0.377415531568003</v>
      </c>
      <c r="H139">
        <v>2E+20</v>
      </c>
      <c r="I139">
        <v>0</v>
      </c>
      <c r="J139">
        <v>6.6507290802092598</v>
      </c>
      <c r="K139">
        <v>91</v>
      </c>
      <c r="L13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30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0.49158885665101598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0.23376724818535846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0.156369552554951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1.18625196466872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14.014497530459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39" s="5">
        <f>IF((DiscreteStatsTable[[#This Row],[RepsRequested]]&gt;1),DiscreteStatsTable[[#This Row],[HalfWidth]],DiscreteStatsTable[[#This Row],[BatchMeansHalfWidth]])</f>
        <v>8.7290125045466668E-2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30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24</v>
      </c>
      <c r="D140" t="s">
        <v>69</v>
      </c>
      <c r="E140" t="s">
        <v>70</v>
      </c>
      <c r="F140" t="s">
        <v>71</v>
      </c>
      <c r="G140">
        <v>0</v>
      </c>
      <c r="H140">
        <v>2E+20</v>
      </c>
      <c r="I140">
        <v>0</v>
      </c>
      <c r="J140">
        <v>0</v>
      </c>
      <c r="K140">
        <v>78</v>
      </c>
      <c r="L14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30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30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24</v>
      </c>
      <c r="D141" t="s">
        <v>69</v>
      </c>
      <c r="E141" t="s">
        <v>72</v>
      </c>
      <c r="F141" t="s">
        <v>71</v>
      </c>
      <c r="G141">
        <v>0</v>
      </c>
      <c r="H141">
        <v>2E+20</v>
      </c>
      <c r="I141">
        <v>0</v>
      </c>
      <c r="J141">
        <v>0</v>
      </c>
      <c r="K141">
        <v>78</v>
      </c>
      <c r="L14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30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30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24</v>
      </c>
      <c r="D142" t="s">
        <v>69</v>
      </c>
      <c r="E142" t="s">
        <v>73</v>
      </c>
      <c r="F142" t="s">
        <v>71</v>
      </c>
      <c r="G142">
        <v>5.0105705739001198</v>
      </c>
      <c r="H142">
        <v>2E+20</v>
      </c>
      <c r="I142">
        <v>5.6738030640815403E-2</v>
      </c>
      <c r="J142">
        <v>27.0703882575398</v>
      </c>
      <c r="K142">
        <v>78</v>
      </c>
      <c r="L14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30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4.6400860420021628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0.58400792997884021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3.4413810037220798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6.0570535223218798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3.13770240211397E-4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33.351429551716201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42" s="5">
        <f>IF((DiscreteStatsTable[[#This Row],[RepsRequested]]&gt;1),DiscreteStatsTable[[#This Row],[HalfWidth]],DiscreteStatsTable[[#This Row],[BatchMeansHalfWidth]])</f>
        <v>0.2180721449694937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30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24</v>
      </c>
      <c r="D143" t="s">
        <v>69</v>
      </c>
      <c r="E143" t="s">
        <v>74</v>
      </c>
      <c r="F143" t="s">
        <v>71</v>
      </c>
      <c r="G143">
        <v>0</v>
      </c>
      <c r="H143">
        <v>2E+20</v>
      </c>
      <c r="I143">
        <v>0</v>
      </c>
      <c r="J143">
        <v>0</v>
      </c>
      <c r="K143">
        <v>78</v>
      </c>
      <c r="L14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30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30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24</v>
      </c>
      <c r="D144" t="s">
        <v>69</v>
      </c>
      <c r="E144" t="s">
        <v>75</v>
      </c>
      <c r="F144" t="s">
        <v>71</v>
      </c>
      <c r="G144">
        <v>4.5010192915737202</v>
      </c>
      <c r="H144">
        <v>2E+20</v>
      </c>
      <c r="I144">
        <v>5.6738030640815403E-2</v>
      </c>
      <c r="J144">
        <v>19.766318881011799</v>
      </c>
      <c r="K144">
        <v>78</v>
      </c>
      <c r="L14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30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4.1484971853511476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0.43455851948632768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3.2850114511671298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5.0358229399280701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3.13770240211397E-4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33.351429551716201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44" s="5">
        <f>IF((DiscreteStatsTable[[#This Row],[RepsRequested]]&gt;1),DiscreteStatsTable[[#This Row],[HalfWidth]],DiscreteStatsTable[[#This Row],[BatchMeansHalfWidth]])</f>
        <v>0.16226681795670911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30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24</v>
      </c>
      <c r="D145" t="s">
        <v>69</v>
      </c>
      <c r="E145" t="s">
        <v>76</v>
      </c>
      <c r="F145" t="s">
        <v>71</v>
      </c>
      <c r="G145">
        <v>0.50955128232640601</v>
      </c>
      <c r="H145">
        <v>2E+20</v>
      </c>
      <c r="I145">
        <v>0</v>
      </c>
      <c r="J145">
        <v>8.0699681458624202</v>
      </c>
      <c r="K145">
        <v>78</v>
      </c>
      <c r="L14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30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0.49158885665101598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0.23376724818535846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0.156369552554951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1.18625196466872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14.014497530459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45" s="5">
        <f>IF((DiscreteStatsTable[[#This Row],[RepsRequested]]&gt;1),DiscreteStatsTable[[#This Row],[HalfWidth]],DiscreteStatsTable[[#This Row],[BatchMeansHalfWidth]])</f>
        <v>8.7290125045466668E-2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30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25</v>
      </c>
      <c r="D146" t="s">
        <v>69</v>
      </c>
      <c r="E146" t="s">
        <v>70</v>
      </c>
      <c r="F146" t="s">
        <v>71</v>
      </c>
      <c r="G146">
        <v>0</v>
      </c>
      <c r="H146">
        <v>2E+20</v>
      </c>
      <c r="I146">
        <v>0</v>
      </c>
      <c r="J146">
        <v>0</v>
      </c>
      <c r="K146">
        <v>88</v>
      </c>
      <c r="L14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30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30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25</v>
      </c>
      <c r="D147" t="s">
        <v>69</v>
      </c>
      <c r="E147" t="s">
        <v>72</v>
      </c>
      <c r="F147" t="s">
        <v>71</v>
      </c>
      <c r="G147">
        <v>0</v>
      </c>
      <c r="H147">
        <v>2E+20</v>
      </c>
      <c r="I147">
        <v>0</v>
      </c>
      <c r="J147">
        <v>0</v>
      </c>
      <c r="K147">
        <v>88</v>
      </c>
      <c r="L14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30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30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25</v>
      </c>
      <c r="D148" t="s">
        <v>69</v>
      </c>
      <c r="E148" t="s">
        <v>73</v>
      </c>
      <c r="F148" t="s">
        <v>71</v>
      </c>
      <c r="G148">
        <v>4.2473379124783603</v>
      </c>
      <c r="H148">
        <v>2E+20</v>
      </c>
      <c r="I148">
        <v>4.5135967113054702E-3</v>
      </c>
      <c r="J148">
        <v>18.3296285997734</v>
      </c>
      <c r="K148">
        <v>88</v>
      </c>
      <c r="L14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30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4.6400860420021628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0.58400792997884021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3.4413810037220798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6.0570535223218798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3.13770240211397E-4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33.351429551716201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48" s="5">
        <f>IF((DiscreteStatsTable[[#This Row],[RepsRequested]]&gt;1),DiscreteStatsTable[[#This Row],[HalfWidth]],DiscreteStatsTable[[#This Row],[BatchMeansHalfWidth]])</f>
        <v>0.2180721449694937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30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25</v>
      </c>
      <c r="D149" t="s">
        <v>69</v>
      </c>
      <c r="E149" t="s">
        <v>74</v>
      </c>
      <c r="F149" t="s">
        <v>71</v>
      </c>
      <c r="G149">
        <v>0</v>
      </c>
      <c r="H149">
        <v>2E+20</v>
      </c>
      <c r="I149">
        <v>0</v>
      </c>
      <c r="J149">
        <v>0</v>
      </c>
      <c r="K149">
        <v>88</v>
      </c>
      <c r="L14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30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30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25</v>
      </c>
      <c r="D150" t="s">
        <v>69</v>
      </c>
      <c r="E150" t="s">
        <v>75</v>
      </c>
      <c r="F150" t="s">
        <v>71</v>
      </c>
      <c r="G150">
        <v>3.8325108668157699</v>
      </c>
      <c r="H150">
        <v>2E+20</v>
      </c>
      <c r="I150">
        <v>4.5135967113054702E-3</v>
      </c>
      <c r="J150">
        <v>18.3296285997734</v>
      </c>
      <c r="K150">
        <v>88</v>
      </c>
      <c r="L15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30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4.1484971853511476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0.43455851948632768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3.2850114511671298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5.0358229399280701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3.13770240211397E-4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33.351429551716201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50" s="5">
        <f>IF((DiscreteStatsTable[[#This Row],[RepsRequested]]&gt;1),DiscreteStatsTable[[#This Row],[HalfWidth]],DiscreteStatsTable[[#This Row],[BatchMeansHalfWidth]])</f>
        <v>0.16226681795670911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30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25</v>
      </c>
      <c r="D151" t="s">
        <v>69</v>
      </c>
      <c r="E151" t="s">
        <v>76</v>
      </c>
      <c r="F151" t="s">
        <v>71</v>
      </c>
      <c r="G151">
        <v>0.41482704566259299</v>
      </c>
      <c r="H151">
        <v>2E+20</v>
      </c>
      <c r="I151">
        <v>0</v>
      </c>
      <c r="J151">
        <v>9.3215954023698693</v>
      </c>
      <c r="K151">
        <v>88</v>
      </c>
      <c r="L15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30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0.49158885665101598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0.23376724818535846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0.156369552554951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1.18625196466872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14.014497530459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51" s="5">
        <f>IF((DiscreteStatsTable[[#This Row],[RepsRequested]]&gt;1),DiscreteStatsTable[[#This Row],[HalfWidth]],DiscreteStatsTable[[#This Row],[BatchMeansHalfWidth]])</f>
        <v>8.7290125045466668E-2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30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26</v>
      </c>
      <c r="D152" t="s">
        <v>69</v>
      </c>
      <c r="E152" t="s">
        <v>70</v>
      </c>
      <c r="F152" t="s">
        <v>71</v>
      </c>
      <c r="G152">
        <v>0</v>
      </c>
      <c r="H152">
        <v>2E+20</v>
      </c>
      <c r="I152">
        <v>0</v>
      </c>
      <c r="J152">
        <v>0</v>
      </c>
      <c r="K152">
        <v>86</v>
      </c>
      <c r="L15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30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30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26</v>
      </c>
      <c r="D153" t="s">
        <v>69</v>
      </c>
      <c r="E153" t="s">
        <v>72</v>
      </c>
      <c r="F153" t="s">
        <v>71</v>
      </c>
      <c r="G153">
        <v>0</v>
      </c>
      <c r="H153">
        <v>2E+20</v>
      </c>
      <c r="I153">
        <v>0</v>
      </c>
      <c r="J153">
        <v>0</v>
      </c>
      <c r="K153">
        <v>86</v>
      </c>
      <c r="L15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30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30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26</v>
      </c>
      <c r="D154" t="s">
        <v>69</v>
      </c>
      <c r="E154" t="s">
        <v>73</v>
      </c>
      <c r="F154" t="s">
        <v>71</v>
      </c>
      <c r="G154">
        <v>5.4225129145345701</v>
      </c>
      <c r="H154">
        <v>2E+20</v>
      </c>
      <c r="I154">
        <v>3.13770240211397E-4</v>
      </c>
      <c r="J154">
        <v>19.4469114102356</v>
      </c>
      <c r="K154">
        <v>86</v>
      </c>
      <c r="L15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30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4.6400860420021628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0.58400792997884021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3.4413810037220798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6.0570535223218798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3.13770240211397E-4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33.351429551716201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54" s="5">
        <f>IF((DiscreteStatsTable[[#This Row],[RepsRequested]]&gt;1),DiscreteStatsTable[[#This Row],[HalfWidth]],DiscreteStatsTable[[#This Row],[BatchMeansHalfWidth]])</f>
        <v>0.2180721449694937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30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26</v>
      </c>
      <c r="D155" t="s">
        <v>69</v>
      </c>
      <c r="E155" t="s">
        <v>74</v>
      </c>
      <c r="F155" t="s">
        <v>71</v>
      </c>
      <c r="G155">
        <v>0</v>
      </c>
      <c r="H155">
        <v>2E+20</v>
      </c>
      <c r="I155">
        <v>0</v>
      </c>
      <c r="J155">
        <v>0</v>
      </c>
      <c r="K155">
        <v>86</v>
      </c>
      <c r="L15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30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30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26</v>
      </c>
      <c r="D156" t="s">
        <v>69</v>
      </c>
      <c r="E156" t="s">
        <v>75</v>
      </c>
      <c r="F156" t="s">
        <v>71</v>
      </c>
      <c r="G156">
        <v>4.2362609498658497</v>
      </c>
      <c r="H156">
        <v>2E+20</v>
      </c>
      <c r="I156">
        <v>3.13770240211397E-4</v>
      </c>
      <c r="J156">
        <v>19.4469114102356</v>
      </c>
      <c r="K156">
        <v>86</v>
      </c>
      <c r="L15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30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4.1484971853511476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0.43455851948632768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3.2850114511671298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5.0358229399280701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3.13770240211397E-4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33.351429551716201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56" s="5">
        <f>IF((DiscreteStatsTable[[#This Row],[RepsRequested]]&gt;1),DiscreteStatsTable[[#This Row],[HalfWidth]],DiscreteStatsTable[[#This Row],[BatchMeansHalfWidth]])</f>
        <v>0.16226681795670911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30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26</v>
      </c>
      <c r="D157" t="s">
        <v>69</v>
      </c>
      <c r="E157" t="s">
        <v>76</v>
      </c>
      <c r="F157" t="s">
        <v>71</v>
      </c>
      <c r="G157">
        <v>1.18625196466872</v>
      </c>
      <c r="H157">
        <v>2E+20</v>
      </c>
      <c r="I157">
        <v>0</v>
      </c>
      <c r="J157">
        <v>9.6461467716840694</v>
      </c>
      <c r="K157">
        <v>86</v>
      </c>
      <c r="L15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30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0.49158885665101598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0.23376724818535846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0.156369552554951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1.18625196466872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14.014497530459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57" s="5">
        <f>IF((DiscreteStatsTable[[#This Row],[RepsRequested]]&gt;1),DiscreteStatsTable[[#This Row],[HalfWidth]],DiscreteStatsTable[[#This Row],[BatchMeansHalfWidth]])</f>
        <v>8.7290125045466668E-2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30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27</v>
      </c>
      <c r="D158" t="s">
        <v>69</v>
      </c>
      <c r="E158" t="s">
        <v>70</v>
      </c>
      <c r="F158" t="s">
        <v>71</v>
      </c>
      <c r="G158">
        <v>0</v>
      </c>
      <c r="H158">
        <v>2E+20</v>
      </c>
      <c r="I158">
        <v>0</v>
      </c>
      <c r="J158">
        <v>0</v>
      </c>
      <c r="K158">
        <v>90</v>
      </c>
      <c r="L15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30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30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27</v>
      </c>
      <c r="D159" t="s">
        <v>69</v>
      </c>
      <c r="E159" t="s">
        <v>72</v>
      </c>
      <c r="F159" t="s">
        <v>71</v>
      </c>
      <c r="G159">
        <v>0</v>
      </c>
      <c r="H159">
        <v>2E+20</v>
      </c>
      <c r="I159">
        <v>0</v>
      </c>
      <c r="J159">
        <v>0</v>
      </c>
      <c r="K159">
        <v>90</v>
      </c>
      <c r="L15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30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30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27</v>
      </c>
      <c r="D160" t="s">
        <v>69</v>
      </c>
      <c r="E160" t="s">
        <v>73</v>
      </c>
      <c r="F160" t="s">
        <v>71</v>
      </c>
      <c r="G160">
        <v>5.2413536495186497</v>
      </c>
      <c r="H160">
        <v>2E+20</v>
      </c>
      <c r="I160">
        <v>9.0993359215502806E-2</v>
      </c>
      <c r="J160">
        <v>32.2685486663513</v>
      </c>
      <c r="K160">
        <v>90</v>
      </c>
      <c r="L16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30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4.6400860420021628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0.58400792997884021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3.4413810037220798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6.0570535223218798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3.13770240211397E-4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33.351429551716201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60" s="5">
        <f>IF((DiscreteStatsTable[[#This Row],[RepsRequested]]&gt;1),DiscreteStatsTable[[#This Row],[HalfWidth]],DiscreteStatsTable[[#This Row],[BatchMeansHalfWidth]])</f>
        <v>0.2180721449694937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30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27</v>
      </c>
      <c r="D161" t="s">
        <v>69</v>
      </c>
      <c r="E161" t="s">
        <v>74</v>
      </c>
      <c r="F161" t="s">
        <v>71</v>
      </c>
      <c r="G161">
        <v>0</v>
      </c>
      <c r="H161">
        <v>2E+20</v>
      </c>
      <c r="I161">
        <v>0</v>
      </c>
      <c r="J161">
        <v>0</v>
      </c>
      <c r="K161">
        <v>90</v>
      </c>
      <c r="L16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30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30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27</v>
      </c>
      <c r="D162" t="s">
        <v>69</v>
      </c>
      <c r="E162" t="s">
        <v>75</v>
      </c>
      <c r="F162" t="s">
        <v>71</v>
      </c>
      <c r="G162">
        <v>4.4647006544775598</v>
      </c>
      <c r="H162">
        <v>2E+20</v>
      </c>
      <c r="I162">
        <v>9.0993359215502806E-2</v>
      </c>
      <c r="J162">
        <v>30.2689124761696</v>
      </c>
      <c r="K162">
        <v>90</v>
      </c>
      <c r="L16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30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4.1484971853511476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0.43455851948632768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3.2850114511671298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5.0358229399280701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3.13770240211397E-4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33.351429551716201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62" s="5">
        <f>IF((DiscreteStatsTable[[#This Row],[RepsRequested]]&gt;1),DiscreteStatsTable[[#This Row],[HalfWidth]],DiscreteStatsTable[[#This Row],[BatchMeansHalfWidth]])</f>
        <v>0.16226681795670911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30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27</v>
      </c>
      <c r="D163" t="s">
        <v>69</v>
      </c>
      <c r="E163" t="s">
        <v>76</v>
      </c>
      <c r="F163" t="s">
        <v>71</v>
      </c>
      <c r="G163">
        <v>0.77665299504109397</v>
      </c>
      <c r="H163">
        <v>2E+20</v>
      </c>
      <c r="I163">
        <v>0</v>
      </c>
      <c r="J163">
        <v>10.895186736851</v>
      </c>
      <c r="K163">
        <v>90</v>
      </c>
      <c r="L16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30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0.49158885665101598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0.23376724818535846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0.156369552554951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1.18625196466872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14.014497530459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63" s="5">
        <f>IF((DiscreteStatsTable[[#This Row],[RepsRequested]]&gt;1),DiscreteStatsTable[[#This Row],[HalfWidth]],DiscreteStatsTable[[#This Row],[BatchMeansHalfWidth]])</f>
        <v>8.7290125045466668E-2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30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28</v>
      </c>
      <c r="D164" t="s">
        <v>69</v>
      </c>
      <c r="E164" t="s">
        <v>70</v>
      </c>
      <c r="F164" t="s">
        <v>71</v>
      </c>
      <c r="G164">
        <v>0</v>
      </c>
      <c r="H164">
        <v>2E+20</v>
      </c>
      <c r="I164">
        <v>0</v>
      </c>
      <c r="J164">
        <v>0</v>
      </c>
      <c r="K164">
        <v>98</v>
      </c>
      <c r="L16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30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30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28</v>
      </c>
      <c r="D165" t="s">
        <v>69</v>
      </c>
      <c r="E165" t="s">
        <v>72</v>
      </c>
      <c r="F165" t="s">
        <v>71</v>
      </c>
      <c r="G165">
        <v>0</v>
      </c>
      <c r="H165">
        <v>2E+20</v>
      </c>
      <c r="I165">
        <v>0</v>
      </c>
      <c r="J165">
        <v>0</v>
      </c>
      <c r="K165">
        <v>98</v>
      </c>
      <c r="L16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30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30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28</v>
      </c>
      <c r="D166" t="s">
        <v>69</v>
      </c>
      <c r="E166" t="s">
        <v>73</v>
      </c>
      <c r="F166" t="s">
        <v>71</v>
      </c>
      <c r="G166">
        <v>4.4562834547221204</v>
      </c>
      <c r="H166">
        <v>2E+20</v>
      </c>
      <c r="I166">
        <v>8.77373856103532E-2</v>
      </c>
      <c r="J166">
        <v>31.696222054109501</v>
      </c>
      <c r="K166">
        <v>98</v>
      </c>
      <c r="L16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30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4.6400860420021628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0.58400792997884021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3.4413810037220798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6.0570535223218798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3.13770240211397E-4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33.351429551716201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66" s="5">
        <f>IF((DiscreteStatsTable[[#This Row],[RepsRequested]]&gt;1),DiscreteStatsTable[[#This Row],[HalfWidth]],DiscreteStatsTable[[#This Row],[BatchMeansHalfWidth]])</f>
        <v>0.2180721449694937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30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28</v>
      </c>
      <c r="D167" t="s">
        <v>69</v>
      </c>
      <c r="E167" t="s">
        <v>74</v>
      </c>
      <c r="F167" t="s">
        <v>71</v>
      </c>
      <c r="G167">
        <v>0</v>
      </c>
      <c r="H167">
        <v>2E+20</v>
      </c>
      <c r="I167">
        <v>0</v>
      </c>
      <c r="J167">
        <v>0</v>
      </c>
      <c r="K167">
        <v>98</v>
      </c>
      <c r="L16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30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30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28</v>
      </c>
      <c r="D168" t="s">
        <v>69</v>
      </c>
      <c r="E168" t="s">
        <v>75</v>
      </c>
      <c r="F168" t="s">
        <v>71</v>
      </c>
      <c r="G168">
        <v>4.0686480993981702</v>
      </c>
      <c r="H168">
        <v>2E+20</v>
      </c>
      <c r="I168">
        <v>8.77373856103532E-2</v>
      </c>
      <c r="J168">
        <v>31.696222054109501</v>
      </c>
      <c r="K168">
        <v>98</v>
      </c>
      <c r="L16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30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4.1484971853511476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0.43455851948632768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3.2850114511671298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5.0358229399280701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3.13770240211397E-4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33.351429551716201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68" s="5">
        <f>IF((DiscreteStatsTable[[#This Row],[RepsRequested]]&gt;1),DiscreteStatsTable[[#This Row],[HalfWidth]],DiscreteStatsTable[[#This Row],[BatchMeansHalfWidth]])</f>
        <v>0.16226681795670911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30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28</v>
      </c>
      <c r="D169" t="s">
        <v>69</v>
      </c>
      <c r="E169" t="s">
        <v>76</v>
      </c>
      <c r="F169" t="s">
        <v>71</v>
      </c>
      <c r="G169">
        <v>0.38763535532395099</v>
      </c>
      <c r="H169">
        <v>2E+20</v>
      </c>
      <c r="I169">
        <v>0</v>
      </c>
      <c r="J169">
        <v>10.0524580281369</v>
      </c>
      <c r="K169">
        <v>98</v>
      </c>
      <c r="L16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30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0.49158885665101598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0.23376724818535846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0.156369552554951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1.18625196466872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14.014497530459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69" s="5">
        <f>IF((DiscreteStatsTable[[#This Row],[RepsRequested]]&gt;1),DiscreteStatsTable[[#This Row],[HalfWidth]],DiscreteStatsTable[[#This Row],[BatchMeansHalfWidth]])</f>
        <v>8.7290125045466668E-2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30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29</v>
      </c>
      <c r="D170" t="s">
        <v>69</v>
      </c>
      <c r="E170" t="s">
        <v>70</v>
      </c>
      <c r="F170" t="s">
        <v>71</v>
      </c>
      <c r="G170">
        <v>0</v>
      </c>
      <c r="H170">
        <v>2E+20</v>
      </c>
      <c r="I170">
        <v>0</v>
      </c>
      <c r="J170">
        <v>0</v>
      </c>
      <c r="K170">
        <v>89</v>
      </c>
      <c r="L17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30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30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29</v>
      </c>
      <c r="D171" t="s">
        <v>69</v>
      </c>
      <c r="E171" t="s">
        <v>72</v>
      </c>
      <c r="F171" t="s">
        <v>71</v>
      </c>
      <c r="G171">
        <v>0</v>
      </c>
      <c r="H171">
        <v>2E+20</v>
      </c>
      <c r="I171">
        <v>0</v>
      </c>
      <c r="J171">
        <v>0</v>
      </c>
      <c r="K171">
        <v>89</v>
      </c>
      <c r="L17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30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30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29</v>
      </c>
      <c r="D172" t="s">
        <v>69</v>
      </c>
      <c r="E172" t="s">
        <v>73</v>
      </c>
      <c r="F172" t="s">
        <v>71</v>
      </c>
      <c r="G172">
        <v>4.8439096342274697</v>
      </c>
      <c r="H172">
        <v>2E+20</v>
      </c>
      <c r="I172">
        <v>1.8171384465688299E-2</v>
      </c>
      <c r="J172">
        <v>28.0760024066652</v>
      </c>
      <c r="K172">
        <v>89</v>
      </c>
      <c r="L17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30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4.6400860420021628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0.58400792997884021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3.4413810037220798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6.0570535223218798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3.13770240211397E-4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33.351429551716201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72" s="5">
        <f>IF((DiscreteStatsTable[[#This Row],[RepsRequested]]&gt;1),DiscreteStatsTable[[#This Row],[HalfWidth]],DiscreteStatsTable[[#This Row],[BatchMeansHalfWidth]])</f>
        <v>0.2180721449694937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30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29</v>
      </c>
      <c r="D173" t="s">
        <v>69</v>
      </c>
      <c r="E173" t="s">
        <v>74</v>
      </c>
      <c r="F173" t="s">
        <v>71</v>
      </c>
      <c r="G173">
        <v>0</v>
      </c>
      <c r="H173">
        <v>2E+20</v>
      </c>
      <c r="I173">
        <v>0</v>
      </c>
      <c r="J173">
        <v>0</v>
      </c>
      <c r="K173">
        <v>89</v>
      </c>
      <c r="L17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30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30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29</v>
      </c>
      <c r="D174" t="s">
        <v>69</v>
      </c>
      <c r="E174" t="s">
        <v>75</v>
      </c>
      <c r="F174" t="s">
        <v>71</v>
      </c>
      <c r="G174">
        <v>4.2054400031765002</v>
      </c>
      <c r="H174">
        <v>2E+20</v>
      </c>
      <c r="I174">
        <v>1.8171384465688299E-2</v>
      </c>
      <c r="J174">
        <v>27.585470710813599</v>
      </c>
      <c r="K174">
        <v>89</v>
      </c>
      <c r="L17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30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4.1484971853511476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0.43455851948632768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3.2850114511671298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5.0358229399280701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3.13770240211397E-4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33.351429551716201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74" s="5">
        <f>IF((DiscreteStatsTable[[#This Row],[RepsRequested]]&gt;1),DiscreteStatsTable[[#This Row],[HalfWidth]],DiscreteStatsTable[[#This Row],[BatchMeansHalfWidth]])</f>
        <v>0.16226681795670911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30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29</v>
      </c>
      <c r="D175" t="s">
        <v>69</v>
      </c>
      <c r="E175" t="s">
        <v>76</v>
      </c>
      <c r="F175" t="s">
        <v>71</v>
      </c>
      <c r="G175">
        <v>0.63846963105096499</v>
      </c>
      <c r="H175">
        <v>2E+20</v>
      </c>
      <c r="I175">
        <v>0</v>
      </c>
      <c r="J175">
        <v>6.1651240398059004</v>
      </c>
      <c r="K175">
        <v>89</v>
      </c>
      <c r="L17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30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0.49158885665101598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0.23376724818535846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0.156369552554951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1.18625196466872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14.014497530459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75" s="5">
        <f>IF((DiscreteStatsTable[[#This Row],[RepsRequested]]&gt;1),DiscreteStatsTable[[#This Row],[HalfWidth]],DiscreteStatsTable[[#This Row],[BatchMeansHalfWidth]])</f>
        <v>8.7290125045466668E-2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30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30</v>
      </c>
      <c r="D176" t="s">
        <v>69</v>
      </c>
      <c r="E176" t="s">
        <v>70</v>
      </c>
      <c r="F176" t="s">
        <v>71</v>
      </c>
      <c r="G176">
        <v>0</v>
      </c>
      <c r="H176">
        <v>2E+20</v>
      </c>
      <c r="I176">
        <v>0</v>
      </c>
      <c r="J176">
        <v>0</v>
      </c>
      <c r="K176">
        <v>102</v>
      </c>
      <c r="L17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30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30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30</v>
      </c>
      <c r="D177" t="s">
        <v>69</v>
      </c>
      <c r="E177" t="s">
        <v>72</v>
      </c>
      <c r="F177" t="s">
        <v>71</v>
      </c>
      <c r="G177">
        <v>0</v>
      </c>
      <c r="H177">
        <v>2E+20</v>
      </c>
      <c r="I177">
        <v>0</v>
      </c>
      <c r="J177">
        <v>0</v>
      </c>
      <c r="K177">
        <v>102</v>
      </c>
      <c r="L17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30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30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30</v>
      </c>
      <c r="D178" t="s">
        <v>69</v>
      </c>
      <c r="E178" t="s">
        <v>73</v>
      </c>
      <c r="F178" t="s">
        <v>71</v>
      </c>
      <c r="G178">
        <v>4.3213729806323604</v>
      </c>
      <c r="H178">
        <v>2E+20</v>
      </c>
      <c r="I178">
        <v>3.2073921548459297E-2</v>
      </c>
      <c r="J178">
        <v>19.847067821601001</v>
      </c>
      <c r="K178">
        <v>102</v>
      </c>
      <c r="L17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30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4.6400860420021628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0.58400792997884021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0.2180721449694937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3.4413810037220798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6.0570535223218798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3.13770240211397E-4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33.351429551716201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78" s="5">
        <f>IF((DiscreteStatsTable[[#This Row],[RepsRequested]]&gt;1),DiscreteStatsTable[[#This Row],[HalfWidth]],DiscreteStatsTable[[#This Row],[BatchMeansHalfWidth]])</f>
        <v>0.2180721449694937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30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30</v>
      </c>
      <c r="D179" t="s">
        <v>69</v>
      </c>
      <c r="E179" t="s">
        <v>74</v>
      </c>
      <c r="F179" t="s">
        <v>71</v>
      </c>
      <c r="G179">
        <v>0</v>
      </c>
      <c r="H179">
        <v>2E+20</v>
      </c>
      <c r="I179">
        <v>0</v>
      </c>
      <c r="J179">
        <v>0</v>
      </c>
      <c r="K179">
        <v>102</v>
      </c>
      <c r="L17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30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30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30</v>
      </c>
      <c r="D180" t="s">
        <v>69</v>
      </c>
      <c r="E180" t="s">
        <v>75</v>
      </c>
      <c r="F180" t="s">
        <v>71</v>
      </c>
      <c r="G180">
        <v>4.03667263766605</v>
      </c>
      <c r="H180">
        <v>2E+20</v>
      </c>
      <c r="I180">
        <v>3.2073921548459297E-2</v>
      </c>
      <c r="J180">
        <v>19.847067821601001</v>
      </c>
      <c r="K180">
        <v>102</v>
      </c>
      <c r="L18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30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4.1484971853511476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0.43455851948632768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0.16226681795670911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3.2850114511671298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5.0358229399280701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3.13770240211397E-4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33.351429551716201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80" s="5">
        <f>IF((DiscreteStatsTable[[#This Row],[RepsRequested]]&gt;1),DiscreteStatsTable[[#This Row],[HalfWidth]],DiscreteStatsTable[[#This Row],[BatchMeansHalfWidth]])</f>
        <v>0.16226681795670911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30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30</v>
      </c>
      <c r="D181" t="s">
        <v>69</v>
      </c>
      <c r="E181" t="s">
        <v>76</v>
      </c>
      <c r="F181" t="s">
        <v>71</v>
      </c>
      <c r="G181">
        <v>0.28470034296629898</v>
      </c>
      <c r="H181">
        <v>2E+20</v>
      </c>
      <c r="I181">
        <v>0</v>
      </c>
      <c r="J181">
        <v>5.4736925658894604</v>
      </c>
      <c r="K181">
        <v>102</v>
      </c>
      <c r="L18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30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0.49158885665101598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0.23376724818535846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8.7290125045466668E-2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0.156369552554951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1.18625196466872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14.014497530459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89.166666666666671</v>
      </c>
      <c r="W181" s="5">
        <f>IF((DiscreteStatsTable[[#This Row],[RepsRequested]]&gt;1),DiscreteStatsTable[[#This Row],[HalfWidth]],DiscreteStatsTable[[#This Row],[BatchMeansHalfWidth]])</f>
        <v>8.7290125045466668E-2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30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1</v>
      </c>
      <c r="D182" t="s">
        <v>77</v>
      </c>
      <c r="E182" t="s">
        <v>78</v>
      </c>
      <c r="F182" t="s">
        <v>79</v>
      </c>
      <c r="G182">
        <v>0.34406102839480401</v>
      </c>
      <c r="H182">
        <v>2E+20</v>
      </c>
      <c r="I182">
        <v>0</v>
      </c>
      <c r="J182">
        <v>5.1618756049953198</v>
      </c>
      <c r="K182">
        <v>82</v>
      </c>
      <c r="L18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30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0.48927345971256209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0.23188120853570279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0.156369552554951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1.1592916927444299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14.014497530459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182" s="5">
        <f>IF((DiscreteStatsTable[[#This Row],[RepsRequested]]&gt;1),DiscreteStatsTable[[#This Row],[HalfWidth]],DiscreteStatsTable[[#This Row],[BatchMeansHalfWidth]])</f>
        <v>8.658586626611614E-2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30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2</v>
      </c>
      <c r="D183" t="s">
        <v>77</v>
      </c>
      <c r="E183" t="s">
        <v>78</v>
      </c>
      <c r="F183" t="s">
        <v>79</v>
      </c>
      <c r="G183">
        <v>0.468681131941448</v>
      </c>
      <c r="H183">
        <v>2E+20</v>
      </c>
      <c r="I183">
        <v>0</v>
      </c>
      <c r="J183">
        <v>7.2860511438748103</v>
      </c>
      <c r="K183">
        <v>101</v>
      </c>
      <c r="L18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30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0.48927345971256209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0.23188120853570279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0.156369552554951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1.1592916927444299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14.014497530459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183" s="5">
        <f>IF((DiscreteStatsTable[[#This Row],[RepsRequested]]&gt;1),DiscreteStatsTable[[#This Row],[HalfWidth]],DiscreteStatsTable[[#This Row],[BatchMeansHalfWidth]])</f>
        <v>8.658586626611614E-2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30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3</v>
      </c>
      <c r="D184" t="s">
        <v>77</v>
      </c>
      <c r="E184" t="s">
        <v>78</v>
      </c>
      <c r="F184" t="s">
        <v>79</v>
      </c>
      <c r="G184">
        <v>0.31626545824183999</v>
      </c>
      <c r="H184">
        <v>2E+20</v>
      </c>
      <c r="I184">
        <v>0</v>
      </c>
      <c r="J184">
        <v>6.2720376716022797</v>
      </c>
      <c r="K184">
        <v>103</v>
      </c>
      <c r="L18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30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0.48927345971256209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0.23188120853570279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0.156369552554951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1.1592916927444299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14.014497530459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184" s="5">
        <f>IF((DiscreteStatsTable[[#This Row],[RepsRequested]]&gt;1),DiscreteStatsTable[[#This Row],[HalfWidth]],DiscreteStatsTable[[#This Row],[BatchMeansHalfWidth]])</f>
        <v>8.658586626611614E-2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30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4</v>
      </c>
      <c r="D185" t="s">
        <v>77</v>
      </c>
      <c r="E185" t="s">
        <v>78</v>
      </c>
      <c r="F185" t="s">
        <v>79</v>
      </c>
      <c r="G185">
        <v>0.440910615463527</v>
      </c>
      <c r="H185">
        <v>2E+20</v>
      </c>
      <c r="I185">
        <v>0</v>
      </c>
      <c r="J185">
        <v>7.6467339323868799</v>
      </c>
      <c r="K185">
        <v>90</v>
      </c>
      <c r="L18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30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0.48927345971256209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0.23188120853570279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0.156369552554951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1.1592916927444299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14.014497530459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185" s="5">
        <f>IF((DiscreteStatsTable[[#This Row],[RepsRequested]]&gt;1),DiscreteStatsTable[[#This Row],[HalfWidth]],DiscreteStatsTable[[#This Row],[BatchMeansHalfWidth]])</f>
        <v>8.658586626611614E-2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30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5</v>
      </c>
      <c r="D186" t="s">
        <v>77</v>
      </c>
      <c r="E186" t="s">
        <v>78</v>
      </c>
      <c r="F186" t="s">
        <v>79</v>
      </c>
      <c r="G186">
        <v>0.23654774380153101</v>
      </c>
      <c r="H186">
        <v>2E+20</v>
      </c>
      <c r="I186">
        <v>0</v>
      </c>
      <c r="J186">
        <v>8.1894881252370109</v>
      </c>
      <c r="K186">
        <v>96</v>
      </c>
      <c r="L18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30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0.48927345971256209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0.23188120853570279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0.156369552554951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1.1592916927444299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14.014497530459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186" s="5">
        <f>IF((DiscreteStatsTable[[#This Row],[RepsRequested]]&gt;1),DiscreteStatsTable[[#This Row],[HalfWidth]],DiscreteStatsTable[[#This Row],[BatchMeansHalfWidth]])</f>
        <v>8.658586626611614E-2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30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6</v>
      </c>
      <c r="D187" t="s">
        <v>77</v>
      </c>
      <c r="E187" t="s">
        <v>78</v>
      </c>
      <c r="F187" t="s">
        <v>79</v>
      </c>
      <c r="G187">
        <v>0.56278664594290995</v>
      </c>
      <c r="H187">
        <v>2E+20</v>
      </c>
      <c r="I187">
        <v>0</v>
      </c>
      <c r="J187">
        <v>7.0575744467433896</v>
      </c>
      <c r="K187">
        <v>96</v>
      </c>
      <c r="L18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30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0.48927345971256209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0.23188120853570279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0.156369552554951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1.1592916927444299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14.014497530459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187" s="5">
        <f>IF((DiscreteStatsTable[[#This Row],[RepsRequested]]&gt;1),DiscreteStatsTable[[#This Row],[HalfWidth]],DiscreteStatsTable[[#This Row],[BatchMeansHalfWidth]])</f>
        <v>8.658586626611614E-2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30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7</v>
      </c>
      <c r="D188" t="s">
        <v>77</v>
      </c>
      <c r="E188" t="s">
        <v>78</v>
      </c>
      <c r="F188" t="s">
        <v>79</v>
      </c>
      <c r="G188">
        <v>0.63567081876107401</v>
      </c>
      <c r="H188">
        <v>2E+20</v>
      </c>
      <c r="I188">
        <v>0</v>
      </c>
      <c r="J188">
        <v>10.450076017116499</v>
      </c>
      <c r="K188">
        <v>90</v>
      </c>
      <c r="L18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30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0.48927345971256209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0.23188120853570279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0.156369552554951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1.1592916927444299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14.014497530459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188" s="5">
        <f>IF((DiscreteStatsTable[[#This Row],[RepsRequested]]&gt;1),DiscreteStatsTable[[#This Row],[HalfWidth]],DiscreteStatsTable[[#This Row],[BatchMeansHalfWidth]])</f>
        <v>8.658586626611614E-2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30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8</v>
      </c>
      <c r="D189" t="s">
        <v>77</v>
      </c>
      <c r="E189" t="s">
        <v>78</v>
      </c>
      <c r="F189" t="s">
        <v>79</v>
      </c>
      <c r="G189">
        <v>0.32143430756852798</v>
      </c>
      <c r="H189">
        <v>2E+20</v>
      </c>
      <c r="I189">
        <v>0</v>
      </c>
      <c r="J189">
        <v>12.9064950161582</v>
      </c>
      <c r="K189">
        <v>74</v>
      </c>
      <c r="L18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30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0.48927345971256209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0.23188120853570279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0.156369552554951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1.1592916927444299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14.014497530459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189" s="5">
        <f>IF((DiscreteStatsTable[[#This Row],[RepsRequested]]&gt;1),DiscreteStatsTable[[#This Row],[HalfWidth]],DiscreteStatsTable[[#This Row],[BatchMeansHalfWidth]])</f>
        <v>8.658586626611614E-2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30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9</v>
      </c>
      <c r="D190" t="s">
        <v>77</v>
      </c>
      <c r="E190" t="s">
        <v>78</v>
      </c>
      <c r="F190" t="s">
        <v>79</v>
      </c>
      <c r="G190">
        <v>0.28439009437971802</v>
      </c>
      <c r="H190">
        <v>2E+20</v>
      </c>
      <c r="I190">
        <v>0</v>
      </c>
      <c r="J190">
        <v>7.3354654807358504</v>
      </c>
      <c r="K190">
        <v>87</v>
      </c>
      <c r="L19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30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0.48927345971256209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0.23188120853570279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0.156369552554951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1.1592916927444299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14.014497530459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190" s="5">
        <f>IF((DiscreteStatsTable[[#This Row],[RepsRequested]]&gt;1),DiscreteStatsTable[[#This Row],[HalfWidth]],DiscreteStatsTable[[#This Row],[BatchMeansHalfWidth]])</f>
        <v>8.658586626611614E-2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30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77</v>
      </c>
      <c r="E191" t="s">
        <v>78</v>
      </c>
      <c r="F191" t="s">
        <v>79</v>
      </c>
      <c r="G191">
        <v>0.156369552554951</v>
      </c>
      <c r="H191">
        <v>2E+20</v>
      </c>
      <c r="I191">
        <v>0</v>
      </c>
      <c r="J191">
        <v>3.7710833368039398</v>
      </c>
      <c r="K191">
        <v>81</v>
      </c>
      <c r="L19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30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0.48927345971256209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0.23188120853570279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0.156369552554951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1.1592916927444299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14.014497530459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191" s="5">
        <f>IF((DiscreteStatsTable[[#This Row],[RepsRequested]]&gt;1),DiscreteStatsTable[[#This Row],[HalfWidth]],DiscreteStatsTable[[#This Row],[BatchMeansHalfWidth]])</f>
        <v>8.658586626611614E-2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30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11</v>
      </c>
      <c r="D192" t="s">
        <v>77</v>
      </c>
      <c r="E192" t="s">
        <v>78</v>
      </c>
      <c r="F192" t="s">
        <v>79</v>
      </c>
      <c r="G192">
        <v>0.40486869919870799</v>
      </c>
      <c r="H192">
        <v>2E+20</v>
      </c>
      <c r="I192">
        <v>0</v>
      </c>
      <c r="J192">
        <v>7.7612742434857296</v>
      </c>
      <c r="K192">
        <v>95</v>
      </c>
      <c r="L19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30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0.48927345971256209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0.23188120853570279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0.156369552554951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1.1592916927444299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14.014497530459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192" s="5">
        <f>IF((DiscreteStatsTable[[#This Row],[RepsRequested]]&gt;1),DiscreteStatsTable[[#This Row],[HalfWidth]],DiscreteStatsTable[[#This Row],[BatchMeansHalfWidth]])</f>
        <v>8.658586626611614E-2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30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12</v>
      </c>
      <c r="D193" t="s">
        <v>77</v>
      </c>
      <c r="E193" t="s">
        <v>78</v>
      </c>
      <c r="F193" t="s">
        <v>79</v>
      </c>
      <c r="G193">
        <v>0.87714556650682596</v>
      </c>
      <c r="H193">
        <v>2E+20</v>
      </c>
      <c r="I193">
        <v>0</v>
      </c>
      <c r="J193">
        <v>14.014497530459</v>
      </c>
      <c r="K193">
        <v>84</v>
      </c>
      <c r="L19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30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0.48927345971256209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0.23188120853570279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0.156369552554951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1.1592916927444299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14.014497530459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193" s="5">
        <f>IF((DiscreteStatsTable[[#This Row],[RepsRequested]]&gt;1),DiscreteStatsTable[[#This Row],[HalfWidth]],DiscreteStatsTable[[#This Row],[BatchMeansHalfWidth]])</f>
        <v>8.658586626611614E-2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30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13</v>
      </c>
      <c r="D194" t="s">
        <v>77</v>
      </c>
      <c r="E194" t="s">
        <v>78</v>
      </c>
      <c r="F194" t="s">
        <v>79</v>
      </c>
      <c r="G194">
        <v>0.567994706766621</v>
      </c>
      <c r="H194">
        <v>2E+20</v>
      </c>
      <c r="I194">
        <v>0</v>
      </c>
      <c r="J194">
        <v>5.57517319722953</v>
      </c>
      <c r="K194">
        <v>92</v>
      </c>
      <c r="L19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30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0.48927345971256209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0.23188120853570279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0.156369552554951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1.1592916927444299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14.014497530459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194" s="5">
        <f>IF((DiscreteStatsTable[[#This Row],[RepsRequested]]&gt;1),DiscreteStatsTable[[#This Row],[HalfWidth]],DiscreteStatsTable[[#This Row],[BatchMeansHalfWidth]])</f>
        <v>8.658586626611614E-2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30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14</v>
      </c>
      <c r="D195" t="s">
        <v>77</v>
      </c>
      <c r="E195" t="s">
        <v>78</v>
      </c>
      <c r="F195" t="s">
        <v>79</v>
      </c>
      <c r="G195">
        <v>0.60907403994826803</v>
      </c>
      <c r="H195">
        <v>2E+20</v>
      </c>
      <c r="I195">
        <v>0</v>
      </c>
      <c r="J195">
        <v>7.0528453148146504</v>
      </c>
      <c r="K195">
        <v>94</v>
      </c>
      <c r="L19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30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0.48927345971256209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0.23188120853570279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0.156369552554951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1.1592916927444299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14.014497530459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195" s="5">
        <f>IF((DiscreteStatsTable[[#This Row],[RepsRequested]]&gt;1),DiscreteStatsTable[[#This Row],[HalfWidth]],DiscreteStatsTable[[#This Row],[BatchMeansHalfWidth]])</f>
        <v>8.658586626611614E-2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30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15</v>
      </c>
      <c r="D196" t="s">
        <v>77</v>
      </c>
      <c r="E196" t="s">
        <v>78</v>
      </c>
      <c r="F196" t="s">
        <v>79</v>
      </c>
      <c r="G196">
        <v>0.34526608474093901</v>
      </c>
      <c r="H196">
        <v>2E+20</v>
      </c>
      <c r="I196">
        <v>0</v>
      </c>
      <c r="J196">
        <v>5.1864784117029803</v>
      </c>
      <c r="K196">
        <v>86</v>
      </c>
      <c r="L19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30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0.48927345971256209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0.23188120853570279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0.156369552554951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1.1592916927444299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14.014497530459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196" s="5">
        <f>IF((DiscreteStatsTable[[#This Row],[RepsRequested]]&gt;1),DiscreteStatsTable[[#This Row],[HalfWidth]],DiscreteStatsTable[[#This Row],[BatchMeansHalfWidth]])</f>
        <v>8.658586626611614E-2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30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16</v>
      </c>
      <c r="D197" t="s">
        <v>77</v>
      </c>
      <c r="E197" t="s">
        <v>78</v>
      </c>
      <c r="F197" t="s">
        <v>79</v>
      </c>
      <c r="G197">
        <v>0.52329239469561195</v>
      </c>
      <c r="H197">
        <v>2E+20</v>
      </c>
      <c r="I197">
        <v>0</v>
      </c>
      <c r="J197">
        <v>8.0293573369554707</v>
      </c>
      <c r="K197">
        <v>93</v>
      </c>
      <c r="L19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30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0.48927345971256209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0.23188120853570279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0.156369552554951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1.1592916927444299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14.014497530459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197" s="5">
        <f>IF((DiscreteStatsTable[[#This Row],[RepsRequested]]&gt;1),DiscreteStatsTable[[#This Row],[HalfWidth]],DiscreteStatsTable[[#This Row],[BatchMeansHalfWidth]])</f>
        <v>8.658586626611614E-2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30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17</v>
      </c>
      <c r="D198" t="s">
        <v>77</v>
      </c>
      <c r="E198" t="s">
        <v>78</v>
      </c>
      <c r="F198" t="s">
        <v>79</v>
      </c>
      <c r="G198">
        <v>0.32186339194188801</v>
      </c>
      <c r="H198">
        <v>2E+20</v>
      </c>
      <c r="I198">
        <v>0</v>
      </c>
      <c r="J198">
        <v>6.6545673628106199</v>
      </c>
      <c r="K198">
        <v>71</v>
      </c>
      <c r="L19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30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0.48927345971256209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0.23188120853570279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0.156369552554951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1.1592916927444299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14.014497530459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198" s="5">
        <f>IF((DiscreteStatsTable[[#This Row],[RepsRequested]]&gt;1),DiscreteStatsTable[[#This Row],[HalfWidth]],DiscreteStatsTable[[#This Row],[BatchMeansHalfWidth]])</f>
        <v>8.658586626611614E-2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30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18</v>
      </c>
      <c r="D199" t="s">
        <v>77</v>
      </c>
      <c r="E199" t="s">
        <v>78</v>
      </c>
      <c r="F199" t="s">
        <v>79</v>
      </c>
      <c r="G199">
        <v>0.42394059353168101</v>
      </c>
      <c r="H199">
        <v>2E+20</v>
      </c>
      <c r="I199">
        <v>0</v>
      </c>
      <c r="J199">
        <v>6.5454643326073096</v>
      </c>
      <c r="K199">
        <v>102</v>
      </c>
      <c r="L19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30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0.48927345971256209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0.23188120853570279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0.156369552554951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1.1592916927444299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14.014497530459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199" s="5">
        <f>IF((DiscreteStatsTable[[#This Row],[RepsRequested]]&gt;1),DiscreteStatsTable[[#This Row],[HalfWidth]],DiscreteStatsTable[[#This Row],[BatchMeansHalfWidth]])</f>
        <v>8.658586626611614E-2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30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19</v>
      </c>
      <c r="D200" t="s">
        <v>77</v>
      </c>
      <c r="E200" t="s">
        <v>78</v>
      </c>
      <c r="F200" t="s">
        <v>79</v>
      </c>
      <c r="G200">
        <v>0.54006479348330805</v>
      </c>
      <c r="H200">
        <v>2E+20</v>
      </c>
      <c r="I200">
        <v>0</v>
      </c>
      <c r="J200">
        <v>13.270526293502</v>
      </c>
      <c r="K200">
        <v>84</v>
      </c>
      <c r="L20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30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0.48927345971256209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0.23188120853570279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0.156369552554951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1.1592916927444299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14.014497530459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200" s="5">
        <f>IF((DiscreteStatsTable[[#This Row],[RepsRequested]]&gt;1),DiscreteStatsTable[[#This Row],[HalfWidth]],DiscreteStatsTable[[#This Row],[BatchMeansHalfWidth]])</f>
        <v>8.658586626611614E-2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30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20</v>
      </c>
      <c r="D201" t="s">
        <v>77</v>
      </c>
      <c r="E201" t="s">
        <v>78</v>
      </c>
      <c r="F201" t="s">
        <v>79</v>
      </c>
      <c r="G201">
        <v>0.20637375674792</v>
      </c>
      <c r="H201">
        <v>2E+20</v>
      </c>
      <c r="I201">
        <v>0</v>
      </c>
      <c r="J201">
        <v>4.6967727750628701</v>
      </c>
      <c r="K201">
        <v>85</v>
      </c>
      <c r="L20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30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0.48927345971256209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0.23188120853570279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0.156369552554951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1.1592916927444299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14.014497530459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201" s="5">
        <f>IF((DiscreteStatsTable[[#This Row],[RepsRequested]]&gt;1),DiscreteStatsTable[[#This Row],[HalfWidth]],DiscreteStatsTable[[#This Row],[BatchMeansHalfWidth]])</f>
        <v>8.658586626611614E-2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30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21</v>
      </c>
      <c r="D202" t="s">
        <v>77</v>
      </c>
      <c r="E202" t="s">
        <v>78</v>
      </c>
      <c r="F202" t="s">
        <v>79</v>
      </c>
      <c r="G202">
        <v>0.50535082357625805</v>
      </c>
      <c r="H202">
        <v>2E+20</v>
      </c>
      <c r="I202">
        <v>0</v>
      </c>
      <c r="J202">
        <v>11.603410848195301</v>
      </c>
      <c r="K202">
        <v>96</v>
      </c>
      <c r="L20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30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0.48927345971256209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0.23188120853570279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0.156369552554951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1.1592916927444299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14.014497530459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202" s="5">
        <f>IF((DiscreteStatsTable[[#This Row],[RepsRequested]]&gt;1),DiscreteStatsTable[[#This Row],[HalfWidth]],DiscreteStatsTable[[#This Row],[BatchMeansHalfWidth]])</f>
        <v>8.658586626611614E-2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30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22</v>
      </c>
      <c r="D203" t="s">
        <v>77</v>
      </c>
      <c r="E203" t="s">
        <v>78</v>
      </c>
      <c r="F203" t="s">
        <v>79</v>
      </c>
      <c r="G203">
        <v>1.0250290661850301</v>
      </c>
      <c r="H203">
        <v>2E+20</v>
      </c>
      <c r="I203">
        <v>0</v>
      </c>
      <c r="J203">
        <v>10.344806383927001</v>
      </c>
      <c r="K203">
        <v>85</v>
      </c>
      <c r="L20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30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0.48927345971256209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0.23188120853570279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0.156369552554951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1.1592916927444299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14.014497530459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203" s="5">
        <f>IF((DiscreteStatsTable[[#This Row],[RepsRequested]]&gt;1),DiscreteStatsTable[[#This Row],[HalfWidth]],DiscreteStatsTable[[#This Row],[BatchMeansHalfWidth]])</f>
        <v>8.658586626611614E-2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30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23</v>
      </c>
      <c r="D204" t="s">
        <v>77</v>
      </c>
      <c r="E204" t="s">
        <v>78</v>
      </c>
      <c r="F204" t="s">
        <v>79</v>
      </c>
      <c r="G204">
        <v>0.377415531568003</v>
      </c>
      <c r="H204">
        <v>2E+20</v>
      </c>
      <c r="I204">
        <v>0</v>
      </c>
      <c r="J204">
        <v>6.6507290802092598</v>
      </c>
      <c r="K204">
        <v>91</v>
      </c>
      <c r="L20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30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0.48927345971256209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0.23188120853570279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0.156369552554951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1.1592916927444299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14.014497530459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204" s="5">
        <f>IF((DiscreteStatsTable[[#This Row],[RepsRequested]]&gt;1),DiscreteStatsTable[[#This Row],[HalfWidth]],DiscreteStatsTable[[#This Row],[BatchMeansHalfWidth]])</f>
        <v>8.658586626611614E-2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30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24</v>
      </c>
      <c r="D205" t="s">
        <v>77</v>
      </c>
      <c r="E205" t="s">
        <v>78</v>
      </c>
      <c r="F205" t="s">
        <v>79</v>
      </c>
      <c r="G205">
        <v>0.50955128232640701</v>
      </c>
      <c r="H205">
        <v>2E+20</v>
      </c>
      <c r="I205">
        <v>0</v>
      </c>
      <c r="J205">
        <v>8.0699681458624202</v>
      </c>
      <c r="K205">
        <v>78</v>
      </c>
      <c r="L20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30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0.48927345971256209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0.23188120853570279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0.156369552554951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1.1592916927444299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14.014497530459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205" s="5">
        <f>IF((DiscreteStatsTable[[#This Row],[RepsRequested]]&gt;1),DiscreteStatsTable[[#This Row],[HalfWidth]],DiscreteStatsTable[[#This Row],[BatchMeansHalfWidth]])</f>
        <v>8.658586626611614E-2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30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25</v>
      </c>
      <c r="D206" t="s">
        <v>77</v>
      </c>
      <c r="E206" t="s">
        <v>78</v>
      </c>
      <c r="F206" t="s">
        <v>79</v>
      </c>
      <c r="G206">
        <v>0.41482704566259299</v>
      </c>
      <c r="H206">
        <v>2E+20</v>
      </c>
      <c r="I206">
        <v>0</v>
      </c>
      <c r="J206">
        <v>9.3215954023698693</v>
      </c>
      <c r="K206">
        <v>88</v>
      </c>
      <c r="L20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30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0.48927345971256209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0.23188120853570279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0.156369552554951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1.1592916927444299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14.014497530459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206" s="5">
        <f>IF((DiscreteStatsTable[[#This Row],[RepsRequested]]&gt;1),DiscreteStatsTable[[#This Row],[HalfWidth]],DiscreteStatsTable[[#This Row],[BatchMeansHalfWidth]])</f>
        <v>8.658586626611614E-2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30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26</v>
      </c>
      <c r="D207" t="s">
        <v>77</v>
      </c>
      <c r="E207" t="s">
        <v>78</v>
      </c>
      <c r="F207" t="s">
        <v>79</v>
      </c>
      <c r="G207">
        <v>1.1592916927444299</v>
      </c>
      <c r="H207">
        <v>2E+20</v>
      </c>
      <c r="I207">
        <v>0</v>
      </c>
      <c r="J207">
        <v>9.6461467716840694</v>
      </c>
      <c r="K207">
        <v>88</v>
      </c>
      <c r="L20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30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0.48927345971256209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0.23188120853570279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0.156369552554951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1.1592916927444299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14.014497530459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207" s="5">
        <f>IF((DiscreteStatsTable[[#This Row],[RepsRequested]]&gt;1),DiscreteStatsTable[[#This Row],[HalfWidth]],DiscreteStatsTable[[#This Row],[BatchMeansHalfWidth]])</f>
        <v>8.658586626611614E-2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30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27</v>
      </c>
      <c r="D208" t="s">
        <v>77</v>
      </c>
      <c r="E208" t="s">
        <v>78</v>
      </c>
      <c r="F208" t="s">
        <v>79</v>
      </c>
      <c r="G208">
        <v>0.78893159536082103</v>
      </c>
      <c r="H208">
        <v>2E+20</v>
      </c>
      <c r="I208">
        <v>0</v>
      </c>
      <c r="J208">
        <v>10.895186736851</v>
      </c>
      <c r="K208">
        <v>91</v>
      </c>
      <c r="L20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30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0.48927345971256209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0.23188120853570279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0.156369552554951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1.1592916927444299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14.014497530459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208" s="5">
        <f>IF((DiscreteStatsTable[[#This Row],[RepsRequested]]&gt;1),DiscreteStatsTable[[#This Row],[HalfWidth]],DiscreteStatsTable[[#This Row],[BatchMeansHalfWidth]])</f>
        <v>8.658586626611614E-2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30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28</v>
      </c>
      <c r="D209" t="s">
        <v>77</v>
      </c>
      <c r="E209" t="s">
        <v>78</v>
      </c>
      <c r="F209" t="s">
        <v>79</v>
      </c>
      <c r="G209">
        <v>0.38763535532395099</v>
      </c>
      <c r="H209">
        <v>2E+20</v>
      </c>
      <c r="I209">
        <v>0</v>
      </c>
      <c r="J209">
        <v>10.0524580281369</v>
      </c>
      <c r="K209">
        <v>98</v>
      </c>
      <c r="L20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30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0.48927345971256209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0.23188120853570279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0.156369552554951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1.1592916927444299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14.014497530459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209" s="5">
        <f>IF((DiscreteStatsTable[[#This Row],[RepsRequested]]&gt;1),DiscreteStatsTable[[#This Row],[HalfWidth]],DiscreteStatsTable[[#This Row],[BatchMeansHalfWidth]])</f>
        <v>8.658586626611614E-2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30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29</v>
      </c>
      <c r="D210" t="s">
        <v>77</v>
      </c>
      <c r="E210" t="s">
        <v>78</v>
      </c>
      <c r="F210" t="s">
        <v>79</v>
      </c>
      <c r="G210">
        <v>0.63846963105096499</v>
      </c>
      <c r="H210">
        <v>2E+20</v>
      </c>
      <c r="I210">
        <v>0</v>
      </c>
      <c r="J210">
        <v>6.1651240398059004</v>
      </c>
      <c r="K210">
        <v>89</v>
      </c>
      <c r="L21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30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0.48927345971256209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0.23188120853570279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0.156369552554951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1.1592916927444299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14.014497530459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210" s="5">
        <f>IF((DiscreteStatsTable[[#This Row],[RepsRequested]]&gt;1),DiscreteStatsTable[[#This Row],[HalfWidth]],DiscreteStatsTable[[#This Row],[BatchMeansHalfWidth]])</f>
        <v>8.658586626611614E-2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30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30</v>
      </c>
      <c r="D211" t="s">
        <v>77</v>
      </c>
      <c r="E211" t="s">
        <v>78</v>
      </c>
      <c r="F211" t="s">
        <v>79</v>
      </c>
      <c r="G211">
        <v>0.28470034296629898</v>
      </c>
      <c r="H211">
        <v>2E+20</v>
      </c>
      <c r="I211">
        <v>0</v>
      </c>
      <c r="J211">
        <v>5.4736925658894604</v>
      </c>
      <c r="K211">
        <v>102</v>
      </c>
      <c r="L21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30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0.48927345971256209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0.23188120853570279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8.658586626611614E-2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0.156369552554951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1.1592916927444299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14.014497530459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89.733333333333334</v>
      </c>
      <c r="W211" s="5">
        <f>IF((DiscreteStatsTable[[#This Row],[RepsRequested]]&gt;1),DiscreteStatsTable[[#This Row],[HalfWidth]],DiscreteStatsTable[[#This Row],[BatchMeansHalfWidth]])</f>
        <v>8.658586626611614E-2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30</v>
      </c>
      <c r="Y211" s="5">
        <f>IF(DiscreteStatsTable[[#This Row],[RepsRequested]]=DiscreteStatsTable[[#This Row],[RepsWithStatObserved]],1,0)</f>
        <v>1</v>
      </c>
    </row>
  </sheetData>
  <phoneticPr fontId="2" type="noConversion"/>
  <conditionalFormatting sqref="H2:H211 Q2:Q211">
    <cfRule type="expression" dxfId="27" priority="23">
      <formula>H2=200000000000000000000</formula>
    </cfRule>
  </conditionalFormatting>
  <conditionalFormatting sqref="H2:H211">
    <cfRule type="expression" dxfId="26" priority="21">
      <formula>H2=300000000000000000000</formula>
    </cfRule>
  </conditionalFormatting>
  <conditionalFormatting sqref="L2:Y211">
    <cfRule type="expression" dxfId="25" priority="19">
      <formula>MOD(ROW(),2)=0</formula>
    </cfRule>
  </conditionalFormatting>
  <conditionalFormatting sqref="Y2:Y211">
    <cfRule type="expression" dxfId="24" priority="14">
      <formula>Y2=0</formula>
    </cfRule>
    <cfRule type="expression" dxfId="23" priority="16">
      <formula>Y2=1</formula>
    </cfRule>
  </conditionalFormatting>
  <conditionalFormatting sqref="Y3:Y211">
    <cfRule type="expression" dxfId="22" priority="15">
      <formula>Y3=1</formula>
    </cfRule>
  </conditionalFormatting>
  <conditionalFormatting sqref="W2:W21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211 W2:W21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1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6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80</v>
      </c>
      <c r="F2" t="s">
        <v>71</v>
      </c>
      <c r="G2">
        <v>0.76046300733049299</v>
      </c>
      <c r="H2">
        <v>2E+20</v>
      </c>
      <c r="I2">
        <v>0</v>
      </c>
      <c r="J2">
        <v>4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30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0.51620715055831201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0.96520009407777796</v>
      </c>
      <c r="U2">
        <f>IF((ContinuousStatsTable[[#This Row],[RepsRequested]]&gt;1),ContinuousStatsTable[[#This Row],[HalfWidth]],ContinuousStatsTable[[#This Row],[BatchMeansHalfWidth]])</f>
        <v>4.1935412470375577E-2</v>
      </c>
    </row>
    <row r="3" spans="1:21" x14ac:dyDescent="0.3">
      <c r="A3" t="s">
        <v>66</v>
      </c>
      <c r="B3" t="s">
        <v>68</v>
      </c>
      <c r="C3">
        <v>1</v>
      </c>
      <c r="D3" t="s">
        <v>81</v>
      </c>
      <c r="E3" t="s">
        <v>82</v>
      </c>
      <c r="F3" t="s">
        <v>83</v>
      </c>
      <c r="G3">
        <v>0.354108351509345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30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0.24637585883753399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0.43753875749565602</v>
      </c>
      <c r="U3">
        <f>IF((ContinuousStatsTable[[#This Row],[RepsRequested]]&gt;1),ContinuousStatsTable[[#This Row],[HalfWidth]],ContinuousStatsTable[[#This Row],[BatchMeansHalfWidth]])</f>
        <v>1.6917101501813702E-2</v>
      </c>
    </row>
    <row r="4" spans="1:21" x14ac:dyDescent="0.3">
      <c r="A4" t="s">
        <v>66</v>
      </c>
      <c r="B4" t="s">
        <v>68</v>
      </c>
      <c r="C4">
        <v>1</v>
      </c>
      <c r="D4" t="s">
        <v>81</v>
      </c>
      <c r="E4" t="s">
        <v>84</v>
      </c>
      <c r="F4" t="s">
        <v>83</v>
      </c>
      <c r="G4">
        <v>0.708216703018689</v>
      </c>
      <c r="H4">
        <v>2E+20</v>
      </c>
      <c r="I4">
        <v>0</v>
      </c>
      <c r="J4">
        <v>2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30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0.49275171767506898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0.87507751499131203</v>
      </c>
      <c r="U4">
        <f>IF((ContinuousStatsTable[[#This Row],[RepsRequested]]&gt;1),ContinuousStatsTable[[#This Row],[HalfWidth]],ContinuousStatsTable[[#This Row],[BatchMeansHalfWidth]])</f>
        <v>3.3834203003627404E-2</v>
      </c>
    </row>
    <row r="5" spans="1:21" x14ac:dyDescent="0.3">
      <c r="A5" t="s">
        <v>66</v>
      </c>
      <c r="B5" t="s">
        <v>68</v>
      </c>
      <c r="C5">
        <v>1</v>
      </c>
      <c r="D5" t="s">
        <v>81</v>
      </c>
      <c r="E5" t="s">
        <v>85</v>
      </c>
      <c r="F5" t="s">
        <v>83</v>
      </c>
      <c r="G5">
        <v>2</v>
      </c>
      <c r="H5">
        <v>2E+20</v>
      </c>
      <c r="I5">
        <v>2</v>
      </c>
      <c r="J5">
        <v>2</v>
      </c>
      <c r="K5">
        <v>2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30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2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68</v>
      </c>
      <c r="C6">
        <v>1</v>
      </c>
      <c r="D6" t="s">
        <v>77</v>
      </c>
      <c r="E6" t="s">
        <v>86</v>
      </c>
      <c r="F6" t="s">
        <v>79</v>
      </c>
      <c r="G6">
        <v>5.2246304311803597E-2</v>
      </c>
      <c r="H6">
        <v>2E+20</v>
      </c>
      <c r="I6">
        <v>0</v>
      </c>
      <c r="J6">
        <v>2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30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2.3455432883242699E-2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0.18892160918798101</v>
      </c>
      <c r="U6">
        <f>IF((ContinuousStatsTable[[#This Row],[RepsRequested]]&gt;1),ContinuousStatsTable[[#This Row],[HalfWidth]],ContinuousStatsTable[[#This Row],[BatchMeansHalfWidth]])</f>
        <v>1.4090258842664636E-2</v>
      </c>
    </row>
    <row r="7" spans="1:21" x14ac:dyDescent="0.3">
      <c r="A7" t="s">
        <v>66</v>
      </c>
      <c r="B7" t="s">
        <v>68</v>
      </c>
      <c r="C7">
        <v>2</v>
      </c>
      <c r="D7" t="s">
        <v>69</v>
      </c>
      <c r="E7" t="s">
        <v>80</v>
      </c>
      <c r="F7" t="s">
        <v>71</v>
      </c>
      <c r="G7">
        <v>0.89591057831457399</v>
      </c>
      <c r="H7">
        <v>2E+20</v>
      </c>
      <c r="I7">
        <v>0</v>
      </c>
      <c r="J7">
        <v>5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30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0.51620715055831201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0.96520009407777796</v>
      </c>
      <c r="U7">
        <f>IF((ContinuousStatsTable[[#This Row],[RepsRequested]]&gt;1),ContinuousStatsTable[[#This Row],[HalfWidth]],ContinuousStatsTable[[#This Row],[BatchMeansHalfWidth]])</f>
        <v>4.1935412470375577E-2</v>
      </c>
    </row>
    <row r="8" spans="1:21" x14ac:dyDescent="0.3">
      <c r="A8" t="s">
        <v>66</v>
      </c>
      <c r="B8" t="s">
        <v>68</v>
      </c>
      <c r="C8">
        <v>2</v>
      </c>
      <c r="D8" t="s">
        <v>81</v>
      </c>
      <c r="E8" t="s">
        <v>82</v>
      </c>
      <c r="F8" t="s">
        <v>83</v>
      </c>
      <c r="G8">
        <v>0.40412492404054001</v>
      </c>
      <c r="H8">
        <v>2E+20</v>
      </c>
      <c r="I8">
        <v>0</v>
      </c>
      <c r="J8">
        <v>1</v>
      </c>
      <c r="K8">
        <v>0.5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30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0.24637585883753399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0.43753875749565602</v>
      </c>
      <c r="U8">
        <f>IF((ContinuousStatsTable[[#This Row],[RepsRequested]]&gt;1),ContinuousStatsTable[[#This Row],[HalfWidth]],ContinuousStatsTable[[#This Row],[BatchMeansHalfWidth]])</f>
        <v>1.6917101501813702E-2</v>
      </c>
    </row>
    <row r="9" spans="1:21" x14ac:dyDescent="0.3">
      <c r="A9" t="s">
        <v>66</v>
      </c>
      <c r="B9" t="s">
        <v>68</v>
      </c>
      <c r="C9">
        <v>2</v>
      </c>
      <c r="D9" t="s">
        <v>81</v>
      </c>
      <c r="E9" t="s">
        <v>84</v>
      </c>
      <c r="F9" t="s">
        <v>83</v>
      </c>
      <c r="G9">
        <v>0.80824984808108102</v>
      </c>
      <c r="H9">
        <v>2E+20</v>
      </c>
      <c r="I9">
        <v>0</v>
      </c>
      <c r="J9">
        <v>2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30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0.49275171767506898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0.87507751499131203</v>
      </c>
      <c r="U9">
        <f>IF((ContinuousStatsTable[[#This Row],[RepsRequested]]&gt;1),ContinuousStatsTable[[#This Row],[HalfWidth]],ContinuousStatsTable[[#This Row],[BatchMeansHalfWidth]])</f>
        <v>3.3834203003627404E-2</v>
      </c>
    </row>
    <row r="10" spans="1:21" x14ac:dyDescent="0.3">
      <c r="A10" t="s">
        <v>66</v>
      </c>
      <c r="B10" t="s">
        <v>68</v>
      </c>
      <c r="C10">
        <v>2</v>
      </c>
      <c r="D10" t="s">
        <v>81</v>
      </c>
      <c r="E10" t="s">
        <v>85</v>
      </c>
      <c r="F10" t="s">
        <v>83</v>
      </c>
      <c r="G10">
        <v>2</v>
      </c>
      <c r="H10">
        <v>2E+20</v>
      </c>
      <c r="I10">
        <v>2</v>
      </c>
      <c r="J10">
        <v>2</v>
      </c>
      <c r="K10">
        <v>2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30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2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2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2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68</v>
      </c>
      <c r="C11">
        <v>2</v>
      </c>
      <c r="D11" t="s">
        <v>77</v>
      </c>
      <c r="E11" t="s">
        <v>86</v>
      </c>
      <c r="F11" t="s">
        <v>79</v>
      </c>
      <c r="G11">
        <v>8.7660730233493106E-2</v>
      </c>
      <c r="H11">
        <v>2E+20</v>
      </c>
      <c r="I11">
        <v>0</v>
      </c>
      <c r="J11">
        <v>3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30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2.3455432883242699E-2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0.18892160918798101</v>
      </c>
      <c r="U11">
        <f>IF((ContinuousStatsTable[[#This Row],[RepsRequested]]&gt;1),ContinuousStatsTable[[#This Row],[HalfWidth]],ContinuousStatsTable[[#This Row],[BatchMeansHalfWidth]])</f>
        <v>1.4090258842664636E-2</v>
      </c>
    </row>
    <row r="12" spans="1:21" x14ac:dyDescent="0.3">
      <c r="A12" t="s">
        <v>66</v>
      </c>
      <c r="B12" t="s">
        <v>68</v>
      </c>
      <c r="C12">
        <v>3</v>
      </c>
      <c r="D12" t="s">
        <v>69</v>
      </c>
      <c r="E12" t="s">
        <v>80</v>
      </c>
      <c r="F12" t="s">
        <v>71</v>
      </c>
      <c r="G12">
        <v>0.82418370512183703</v>
      </c>
      <c r="H12">
        <v>2E+20</v>
      </c>
      <c r="I12">
        <v>0</v>
      </c>
      <c r="J12">
        <v>4</v>
      </c>
      <c r="K12">
        <v>0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30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0.51620715055831201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0.96520009407777796</v>
      </c>
      <c r="U12">
        <f>IF((ContinuousStatsTable[[#This Row],[RepsRequested]]&gt;1),ContinuousStatsTable[[#This Row],[HalfWidth]],ContinuousStatsTable[[#This Row],[BatchMeansHalfWidth]])</f>
        <v>4.1935412470375577E-2</v>
      </c>
    </row>
    <row r="13" spans="1:21" x14ac:dyDescent="0.3">
      <c r="A13" t="s">
        <v>66</v>
      </c>
      <c r="B13" t="s">
        <v>68</v>
      </c>
      <c r="C13">
        <v>3</v>
      </c>
      <c r="D13" t="s">
        <v>81</v>
      </c>
      <c r="E13" t="s">
        <v>82</v>
      </c>
      <c r="F13" t="s">
        <v>83</v>
      </c>
      <c r="G13">
        <v>0.38192949867303899</v>
      </c>
      <c r="H13">
        <v>2E+20</v>
      </c>
      <c r="I13">
        <v>0</v>
      </c>
      <c r="J13">
        <v>1</v>
      </c>
      <c r="K13">
        <v>0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30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0.24637585883753399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0.43753875749565602</v>
      </c>
      <c r="U13">
        <f>IF((ContinuousStatsTable[[#This Row],[RepsRequested]]&gt;1),ContinuousStatsTable[[#This Row],[HalfWidth]],ContinuousStatsTable[[#This Row],[BatchMeansHalfWidth]])</f>
        <v>1.6917101501813702E-2</v>
      </c>
    </row>
    <row r="14" spans="1:21" x14ac:dyDescent="0.3">
      <c r="A14" t="s">
        <v>66</v>
      </c>
      <c r="B14" t="s">
        <v>68</v>
      </c>
      <c r="C14">
        <v>3</v>
      </c>
      <c r="D14" t="s">
        <v>81</v>
      </c>
      <c r="E14" t="s">
        <v>84</v>
      </c>
      <c r="F14" t="s">
        <v>83</v>
      </c>
      <c r="G14">
        <v>0.76385899734607898</v>
      </c>
      <c r="H14">
        <v>2E+20</v>
      </c>
      <c r="I14">
        <v>0</v>
      </c>
      <c r="J14">
        <v>2</v>
      </c>
      <c r="K14">
        <v>0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30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0.49275171767506898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0.87507751499131203</v>
      </c>
      <c r="U14">
        <f>IF((ContinuousStatsTable[[#This Row],[RepsRequested]]&gt;1),ContinuousStatsTable[[#This Row],[HalfWidth]],ContinuousStatsTable[[#This Row],[BatchMeansHalfWidth]])</f>
        <v>3.3834203003627404E-2</v>
      </c>
    </row>
    <row r="15" spans="1:21" x14ac:dyDescent="0.3">
      <c r="A15" t="s">
        <v>66</v>
      </c>
      <c r="B15" t="s">
        <v>68</v>
      </c>
      <c r="C15">
        <v>3</v>
      </c>
      <c r="D15" t="s">
        <v>81</v>
      </c>
      <c r="E15" t="s">
        <v>85</v>
      </c>
      <c r="F15" t="s">
        <v>83</v>
      </c>
      <c r="G15">
        <v>2</v>
      </c>
      <c r="H15">
        <v>2E+20</v>
      </c>
      <c r="I15">
        <v>2</v>
      </c>
      <c r="J15">
        <v>2</v>
      </c>
      <c r="K15">
        <v>2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30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2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2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2</v>
      </c>
      <c r="U1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68</v>
      </c>
      <c r="C16">
        <v>3</v>
      </c>
      <c r="D16" t="s">
        <v>77</v>
      </c>
      <c r="E16" t="s">
        <v>86</v>
      </c>
      <c r="F16" t="s">
        <v>79</v>
      </c>
      <c r="G16">
        <v>6.03247077757584E-2</v>
      </c>
      <c r="H16">
        <v>2E+20</v>
      </c>
      <c r="I16">
        <v>0</v>
      </c>
      <c r="J16">
        <v>2</v>
      </c>
      <c r="K16">
        <v>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30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2.3455432883242699E-2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0.18892160918798101</v>
      </c>
      <c r="U16">
        <f>IF((ContinuousStatsTable[[#This Row],[RepsRequested]]&gt;1),ContinuousStatsTable[[#This Row],[HalfWidth]],ContinuousStatsTable[[#This Row],[BatchMeansHalfWidth]])</f>
        <v>1.4090258842664636E-2</v>
      </c>
    </row>
    <row r="17" spans="1:21" x14ac:dyDescent="0.3">
      <c r="A17" t="s">
        <v>66</v>
      </c>
      <c r="B17" t="s">
        <v>68</v>
      </c>
      <c r="C17">
        <v>4</v>
      </c>
      <c r="D17" t="s">
        <v>69</v>
      </c>
      <c r="E17" t="s">
        <v>80</v>
      </c>
      <c r="F17" t="s">
        <v>71</v>
      </c>
      <c r="G17">
        <v>0.75055545171386695</v>
      </c>
      <c r="H17">
        <v>2E+20</v>
      </c>
      <c r="I17">
        <v>0</v>
      </c>
      <c r="J17">
        <v>5</v>
      </c>
      <c r="K17">
        <v>1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30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0.51620715055831201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0.96520009407777796</v>
      </c>
      <c r="U17">
        <f>IF((ContinuousStatsTable[[#This Row],[RepsRequested]]&gt;1),ContinuousStatsTable[[#This Row],[HalfWidth]],ContinuousStatsTable[[#This Row],[BatchMeansHalfWidth]])</f>
        <v>4.1935412470375577E-2</v>
      </c>
    </row>
    <row r="18" spans="1:21" x14ac:dyDescent="0.3">
      <c r="A18" t="s">
        <v>66</v>
      </c>
      <c r="B18" t="s">
        <v>68</v>
      </c>
      <c r="C18">
        <v>4</v>
      </c>
      <c r="D18" t="s">
        <v>81</v>
      </c>
      <c r="E18" t="s">
        <v>82</v>
      </c>
      <c r="F18" t="s">
        <v>83</v>
      </c>
      <c r="G18">
        <v>0.33853517456830601</v>
      </c>
      <c r="H18">
        <v>2E+20</v>
      </c>
      <c r="I18">
        <v>0</v>
      </c>
      <c r="J18">
        <v>1</v>
      </c>
      <c r="K18">
        <v>0.5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30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0.24637585883753399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0.43753875749565602</v>
      </c>
      <c r="U18">
        <f>IF((ContinuousStatsTable[[#This Row],[RepsRequested]]&gt;1),ContinuousStatsTable[[#This Row],[HalfWidth]],ContinuousStatsTable[[#This Row],[BatchMeansHalfWidth]])</f>
        <v>1.6917101501813702E-2</v>
      </c>
    </row>
    <row r="19" spans="1:21" x14ac:dyDescent="0.3">
      <c r="A19" t="s">
        <v>66</v>
      </c>
      <c r="B19" t="s">
        <v>68</v>
      </c>
      <c r="C19">
        <v>4</v>
      </c>
      <c r="D19" t="s">
        <v>81</v>
      </c>
      <c r="E19" t="s">
        <v>84</v>
      </c>
      <c r="F19" t="s">
        <v>83</v>
      </c>
      <c r="G19">
        <v>0.67707034913661202</v>
      </c>
      <c r="H19">
        <v>2E+20</v>
      </c>
      <c r="I19">
        <v>0</v>
      </c>
      <c r="J19">
        <v>2</v>
      </c>
      <c r="K19">
        <v>1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30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0.49275171767506898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0.87507751499131203</v>
      </c>
      <c r="U19">
        <f>IF((ContinuousStatsTable[[#This Row],[RepsRequested]]&gt;1),ContinuousStatsTable[[#This Row],[HalfWidth]],ContinuousStatsTable[[#This Row],[BatchMeansHalfWidth]])</f>
        <v>3.3834203003627404E-2</v>
      </c>
    </row>
    <row r="20" spans="1:21" x14ac:dyDescent="0.3">
      <c r="A20" t="s">
        <v>66</v>
      </c>
      <c r="B20" t="s">
        <v>68</v>
      </c>
      <c r="C20">
        <v>4</v>
      </c>
      <c r="D20" t="s">
        <v>81</v>
      </c>
      <c r="E20" t="s">
        <v>85</v>
      </c>
      <c r="F20" t="s">
        <v>83</v>
      </c>
      <c r="G20">
        <v>2</v>
      </c>
      <c r="H20">
        <v>2E+20</v>
      </c>
      <c r="I20">
        <v>2</v>
      </c>
      <c r="J20">
        <v>2</v>
      </c>
      <c r="K20">
        <v>2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30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2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2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2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68</v>
      </c>
      <c r="C21">
        <v>4</v>
      </c>
      <c r="D21" t="s">
        <v>77</v>
      </c>
      <c r="E21" t="s">
        <v>86</v>
      </c>
      <c r="F21" t="s">
        <v>79</v>
      </c>
      <c r="G21">
        <v>7.3485102577254505E-2</v>
      </c>
      <c r="H21">
        <v>2E+20</v>
      </c>
      <c r="I21">
        <v>0</v>
      </c>
      <c r="J21">
        <v>3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30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2.3455432883242699E-2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0.18892160918798101</v>
      </c>
      <c r="U21">
        <f>IF((ContinuousStatsTable[[#This Row],[RepsRequested]]&gt;1),ContinuousStatsTable[[#This Row],[HalfWidth]],ContinuousStatsTable[[#This Row],[BatchMeansHalfWidth]])</f>
        <v>1.4090258842664636E-2</v>
      </c>
    </row>
    <row r="22" spans="1:21" x14ac:dyDescent="0.3">
      <c r="A22" t="s">
        <v>66</v>
      </c>
      <c r="B22" t="s">
        <v>68</v>
      </c>
      <c r="C22">
        <v>5</v>
      </c>
      <c r="D22" t="s">
        <v>69</v>
      </c>
      <c r="E22" t="s">
        <v>80</v>
      </c>
      <c r="F22" t="s">
        <v>71</v>
      </c>
      <c r="G22">
        <v>0.63600361001472405</v>
      </c>
      <c r="H22">
        <v>2E+20</v>
      </c>
      <c r="I22">
        <v>0</v>
      </c>
      <c r="J22">
        <v>4</v>
      </c>
      <c r="K22">
        <v>2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30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0.51620715055831201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0.96520009407777796</v>
      </c>
      <c r="U22">
        <f>IF((ContinuousStatsTable[[#This Row],[RepsRequested]]&gt;1),ContinuousStatsTable[[#This Row],[HalfWidth]],ContinuousStatsTable[[#This Row],[BatchMeansHalfWidth]])</f>
        <v>4.1935412470375577E-2</v>
      </c>
    </row>
    <row r="23" spans="1:21" x14ac:dyDescent="0.3">
      <c r="A23" t="s">
        <v>66</v>
      </c>
      <c r="B23" t="s">
        <v>68</v>
      </c>
      <c r="C23">
        <v>5</v>
      </c>
      <c r="D23" t="s">
        <v>81</v>
      </c>
      <c r="E23" t="s">
        <v>82</v>
      </c>
      <c r="F23" t="s">
        <v>83</v>
      </c>
      <c r="G23">
        <v>0.29697533889166999</v>
      </c>
      <c r="H23">
        <v>2E+20</v>
      </c>
      <c r="I23">
        <v>0</v>
      </c>
      <c r="J23">
        <v>1</v>
      </c>
      <c r="K23">
        <v>1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30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0.24637585883753399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0.43753875749565602</v>
      </c>
      <c r="U23">
        <f>IF((ContinuousStatsTable[[#This Row],[RepsRequested]]&gt;1),ContinuousStatsTable[[#This Row],[HalfWidth]],ContinuousStatsTable[[#This Row],[BatchMeansHalfWidth]])</f>
        <v>1.6917101501813702E-2</v>
      </c>
    </row>
    <row r="24" spans="1:21" x14ac:dyDescent="0.3">
      <c r="A24" t="s">
        <v>66</v>
      </c>
      <c r="B24" t="s">
        <v>68</v>
      </c>
      <c r="C24">
        <v>5</v>
      </c>
      <c r="D24" t="s">
        <v>81</v>
      </c>
      <c r="E24" t="s">
        <v>84</v>
      </c>
      <c r="F24" t="s">
        <v>83</v>
      </c>
      <c r="G24">
        <v>0.59395067778334099</v>
      </c>
      <c r="H24">
        <v>2E+20</v>
      </c>
      <c r="I24">
        <v>0</v>
      </c>
      <c r="J24">
        <v>2</v>
      </c>
      <c r="K24">
        <v>2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30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0.49275171767506898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0.87507751499131203</v>
      </c>
      <c r="U24">
        <f>IF((ContinuousStatsTable[[#This Row],[RepsRequested]]&gt;1),ContinuousStatsTable[[#This Row],[HalfWidth]],ContinuousStatsTable[[#This Row],[BatchMeansHalfWidth]])</f>
        <v>3.3834203003627404E-2</v>
      </c>
    </row>
    <row r="25" spans="1:21" x14ac:dyDescent="0.3">
      <c r="A25" t="s">
        <v>66</v>
      </c>
      <c r="B25" t="s">
        <v>68</v>
      </c>
      <c r="C25">
        <v>5</v>
      </c>
      <c r="D25" t="s">
        <v>81</v>
      </c>
      <c r="E25" t="s">
        <v>85</v>
      </c>
      <c r="F25" t="s">
        <v>83</v>
      </c>
      <c r="G25">
        <v>2</v>
      </c>
      <c r="H25">
        <v>2E+20</v>
      </c>
      <c r="I25">
        <v>2</v>
      </c>
      <c r="J25">
        <v>2</v>
      </c>
      <c r="K25">
        <v>2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30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2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2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2</v>
      </c>
      <c r="U25">
        <f>IF((ContinuousStatsTable[[#This Row],[RepsRequested]]&gt;1),ContinuousStatsTable[[#This Row],[HalfWidth]],ContinuousStatsTable[[#This Row],[BatchMeansHalfWidth]])</f>
        <v>0</v>
      </c>
    </row>
    <row r="26" spans="1:21" x14ac:dyDescent="0.3">
      <c r="A26" t="s">
        <v>66</v>
      </c>
      <c r="B26" t="s">
        <v>68</v>
      </c>
      <c r="C26">
        <v>5</v>
      </c>
      <c r="D26" t="s">
        <v>77</v>
      </c>
      <c r="E26" t="s">
        <v>86</v>
      </c>
      <c r="F26" t="s">
        <v>79</v>
      </c>
      <c r="G26">
        <v>4.2052932231383303E-2</v>
      </c>
      <c r="H26">
        <v>2E+20</v>
      </c>
      <c r="I26">
        <v>0</v>
      </c>
      <c r="J26">
        <v>2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30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2.3455432883242699E-2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0.18892160918798101</v>
      </c>
      <c r="U26">
        <f>IF((ContinuousStatsTable[[#This Row],[RepsRequested]]&gt;1),ContinuousStatsTable[[#This Row],[HalfWidth]],ContinuousStatsTable[[#This Row],[BatchMeansHalfWidth]])</f>
        <v>1.4090258842664636E-2</v>
      </c>
    </row>
    <row r="27" spans="1:21" x14ac:dyDescent="0.3">
      <c r="A27" t="s">
        <v>66</v>
      </c>
      <c r="B27" t="s">
        <v>68</v>
      </c>
      <c r="C27">
        <v>6</v>
      </c>
      <c r="D27" t="s">
        <v>69</v>
      </c>
      <c r="E27" t="s">
        <v>80</v>
      </c>
      <c r="F27" t="s">
        <v>71</v>
      </c>
      <c r="G27">
        <v>0.86540197056082002</v>
      </c>
      <c r="H27">
        <v>2E+20</v>
      </c>
      <c r="I27">
        <v>0</v>
      </c>
      <c r="J27">
        <v>5</v>
      </c>
      <c r="K27">
        <v>1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30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0.51620715055831201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0.96520009407777796</v>
      </c>
      <c r="U27">
        <f>IF((ContinuousStatsTable[[#This Row],[RepsRequested]]&gt;1),ContinuousStatsTable[[#This Row],[HalfWidth]],ContinuousStatsTable[[#This Row],[BatchMeansHalfWidth]])</f>
        <v>4.1935412470375577E-2</v>
      </c>
    </row>
    <row r="28" spans="1:21" x14ac:dyDescent="0.3">
      <c r="A28" t="s">
        <v>66</v>
      </c>
      <c r="B28" t="s">
        <v>68</v>
      </c>
      <c r="C28">
        <v>6</v>
      </c>
      <c r="D28" t="s">
        <v>81</v>
      </c>
      <c r="E28" t="s">
        <v>82</v>
      </c>
      <c r="F28" t="s">
        <v>83</v>
      </c>
      <c r="G28">
        <v>0.38267550564104102</v>
      </c>
      <c r="H28">
        <v>2E+20</v>
      </c>
      <c r="I28">
        <v>0</v>
      </c>
      <c r="J28">
        <v>1</v>
      </c>
      <c r="K28">
        <v>0.5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30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0.24637585883753399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0.43753875749565602</v>
      </c>
      <c r="U28">
        <f>IF((ContinuousStatsTable[[#This Row],[RepsRequested]]&gt;1),ContinuousStatsTable[[#This Row],[HalfWidth]],ContinuousStatsTable[[#This Row],[BatchMeansHalfWidth]])</f>
        <v>1.6917101501813702E-2</v>
      </c>
    </row>
    <row r="29" spans="1:21" x14ac:dyDescent="0.3">
      <c r="A29" t="s">
        <v>66</v>
      </c>
      <c r="B29" t="s">
        <v>68</v>
      </c>
      <c r="C29">
        <v>6</v>
      </c>
      <c r="D29" t="s">
        <v>81</v>
      </c>
      <c r="E29" t="s">
        <v>84</v>
      </c>
      <c r="F29" t="s">
        <v>83</v>
      </c>
      <c r="G29">
        <v>0.76535101128208105</v>
      </c>
      <c r="H29">
        <v>2E+20</v>
      </c>
      <c r="I29">
        <v>0</v>
      </c>
      <c r="J29">
        <v>2</v>
      </c>
      <c r="K29">
        <v>1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30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0.49275171767506898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0.87507751499131203</v>
      </c>
      <c r="U29">
        <f>IF((ContinuousStatsTable[[#This Row],[RepsRequested]]&gt;1),ContinuousStatsTable[[#This Row],[HalfWidth]],ContinuousStatsTable[[#This Row],[BatchMeansHalfWidth]])</f>
        <v>3.3834203003627404E-2</v>
      </c>
    </row>
    <row r="30" spans="1:21" x14ac:dyDescent="0.3">
      <c r="A30" t="s">
        <v>66</v>
      </c>
      <c r="B30" t="s">
        <v>68</v>
      </c>
      <c r="C30">
        <v>6</v>
      </c>
      <c r="D30" t="s">
        <v>81</v>
      </c>
      <c r="E30" t="s">
        <v>85</v>
      </c>
      <c r="F30" t="s">
        <v>83</v>
      </c>
      <c r="G30">
        <v>2</v>
      </c>
      <c r="H30">
        <v>2E+20</v>
      </c>
      <c r="I30">
        <v>2</v>
      </c>
      <c r="J30">
        <v>2</v>
      </c>
      <c r="K30">
        <v>2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30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2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2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2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68</v>
      </c>
      <c r="C31">
        <v>6</v>
      </c>
      <c r="D31" t="s">
        <v>77</v>
      </c>
      <c r="E31" t="s">
        <v>86</v>
      </c>
      <c r="F31" t="s">
        <v>79</v>
      </c>
      <c r="G31">
        <v>0.100050959278739</v>
      </c>
      <c r="H31">
        <v>2E+20</v>
      </c>
      <c r="I31">
        <v>0</v>
      </c>
      <c r="J31">
        <v>3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30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2.3455432883242699E-2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0.18892160918798101</v>
      </c>
      <c r="U31">
        <f>IF((ContinuousStatsTable[[#This Row],[RepsRequested]]&gt;1),ContinuousStatsTable[[#This Row],[HalfWidth]],ContinuousStatsTable[[#This Row],[BatchMeansHalfWidth]])</f>
        <v>1.4090258842664636E-2</v>
      </c>
    </row>
    <row r="32" spans="1:21" x14ac:dyDescent="0.3">
      <c r="A32" t="s">
        <v>66</v>
      </c>
      <c r="B32" t="s">
        <v>68</v>
      </c>
      <c r="C32">
        <v>7</v>
      </c>
      <c r="D32" t="s">
        <v>69</v>
      </c>
      <c r="E32" t="s">
        <v>80</v>
      </c>
      <c r="F32" t="s">
        <v>71</v>
      </c>
      <c r="G32">
        <v>0.86414993875341395</v>
      </c>
      <c r="H32">
        <v>2E+20</v>
      </c>
      <c r="I32">
        <v>0</v>
      </c>
      <c r="J32">
        <v>7</v>
      </c>
      <c r="K32">
        <v>1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30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0.51620715055831201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0.96520009407777796</v>
      </c>
      <c r="U32">
        <f>IF((ContinuousStatsTable[[#This Row],[RepsRequested]]&gt;1),ContinuousStatsTable[[#This Row],[HalfWidth]],ContinuousStatsTable[[#This Row],[BatchMeansHalfWidth]])</f>
        <v>4.1935412470375577E-2</v>
      </c>
    </row>
    <row r="33" spans="1:21" x14ac:dyDescent="0.3">
      <c r="A33" t="s">
        <v>66</v>
      </c>
      <c r="B33" t="s">
        <v>68</v>
      </c>
      <c r="C33">
        <v>7</v>
      </c>
      <c r="D33" t="s">
        <v>81</v>
      </c>
      <c r="E33" t="s">
        <v>82</v>
      </c>
      <c r="F33" t="s">
        <v>83</v>
      </c>
      <c r="G33">
        <v>0.37910240114661697</v>
      </c>
      <c r="H33">
        <v>2E+20</v>
      </c>
      <c r="I33">
        <v>0</v>
      </c>
      <c r="J33">
        <v>1</v>
      </c>
      <c r="K33">
        <v>0.5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30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0.24637585883753399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0.43753875749565602</v>
      </c>
      <c r="U33">
        <f>IF((ContinuousStatsTable[[#This Row],[RepsRequested]]&gt;1),ContinuousStatsTable[[#This Row],[HalfWidth]],ContinuousStatsTable[[#This Row],[BatchMeansHalfWidth]])</f>
        <v>1.6917101501813702E-2</v>
      </c>
    </row>
    <row r="34" spans="1:21" x14ac:dyDescent="0.3">
      <c r="A34" t="s">
        <v>66</v>
      </c>
      <c r="B34" t="s">
        <v>68</v>
      </c>
      <c r="C34">
        <v>7</v>
      </c>
      <c r="D34" t="s">
        <v>81</v>
      </c>
      <c r="E34" t="s">
        <v>84</v>
      </c>
      <c r="F34" t="s">
        <v>83</v>
      </c>
      <c r="G34">
        <v>0.75820480229323495</v>
      </c>
      <c r="H34">
        <v>2E+20</v>
      </c>
      <c r="I34">
        <v>0</v>
      </c>
      <c r="J34">
        <v>2</v>
      </c>
      <c r="K34">
        <v>1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30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0.49275171767506898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0.87507751499131203</v>
      </c>
      <c r="U34">
        <f>IF((ContinuousStatsTable[[#This Row],[RepsRequested]]&gt;1),ContinuousStatsTable[[#This Row],[HalfWidth]],ContinuousStatsTable[[#This Row],[BatchMeansHalfWidth]])</f>
        <v>3.3834203003627404E-2</v>
      </c>
    </row>
    <row r="35" spans="1:21" x14ac:dyDescent="0.3">
      <c r="A35" t="s">
        <v>66</v>
      </c>
      <c r="B35" t="s">
        <v>68</v>
      </c>
      <c r="C35">
        <v>7</v>
      </c>
      <c r="D35" t="s">
        <v>81</v>
      </c>
      <c r="E35" t="s">
        <v>85</v>
      </c>
      <c r="F35" t="s">
        <v>83</v>
      </c>
      <c r="G35">
        <v>2</v>
      </c>
      <c r="H35">
        <v>2E+20</v>
      </c>
      <c r="I35">
        <v>2</v>
      </c>
      <c r="J35">
        <v>2</v>
      </c>
      <c r="K35">
        <v>2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30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2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2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2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68</v>
      </c>
      <c r="C36">
        <v>7</v>
      </c>
      <c r="D36" t="s">
        <v>77</v>
      </c>
      <c r="E36" t="s">
        <v>86</v>
      </c>
      <c r="F36" t="s">
        <v>79</v>
      </c>
      <c r="G36">
        <v>0.105945136460179</v>
      </c>
      <c r="H36">
        <v>2E+20</v>
      </c>
      <c r="I36">
        <v>0</v>
      </c>
      <c r="J36">
        <v>5</v>
      </c>
      <c r="K36">
        <v>0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30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2.3455432883242699E-2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0.18892160918798101</v>
      </c>
      <c r="U36">
        <f>IF((ContinuousStatsTable[[#This Row],[RepsRequested]]&gt;1),ContinuousStatsTable[[#This Row],[HalfWidth]],ContinuousStatsTable[[#This Row],[BatchMeansHalfWidth]])</f>
        <v>1.4090258842664636E-2</v>
      </c>
    </row>
    <row r="37" spans="1:21" x14ac:dyDescent="0.3">
      <c r="A37" t="s">
        <v>66</v>
      </c>
      <c r="B37" t="s">
        <v>68</v>
      </c>
      <c r="C37">
        <v>8</v>
      </c>
      <c r="D37" t="s">
        <v>69</v>
      </c>
      <c r="E37" t="s">
        <v>80</v>
      </c>
      <c r="F37" t="s">
        <v>71</v>
      </c>
      <c r="G37">
        <v>0.67400554346914798</v>
      </c>
      <c r="H37">
        <v>2E+20</v>
      </c>
      <c r="I37">
        <v>0</v>
      </c>
      <c r="J37">
        <v>4</v>
      </c>
      <c r="K37">
        <v>1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30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0.51620715055831201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0.96520009407777796</v>
      </c>
      <c r="U37">
        <f>IF((ContinuousStatsTable[[#This Row],[RepsRequested]]&gt;1),ContinuousStatsTable[[#This Row],[HalfWidth]],ContinuousStatsTable[[#This Row],[BatchMeansHalfWidth]])</f>
        <v>4.1935412470375577E-2</v>
      </c>
    </row>
    <row r="38" spans="1:21" x14ac:dyDescent="0.3">
      <c r="A38" t="s">
        <v>66</v>
      </c>
      <c r="B38" t="s">
        <v>68</v>
      </c>
      <c r="C38">
        <v>8</v>
      </c>
      <c r="D38" t="s">
        <v>81</v>
      </c>
      <c r="E38" t="s">
        <v>82</v>
      </c>
      <c r="F38" t="s">
        <v>83</v>
      </c>
      <c r="G38">
        <v>0.31497856917895301</v>
      </c>
      <c r="H38">
        <v>2E+20</v>
      </c>
      <c r="I38">
        <v>0</v>
      </c>
      <c r="J38">
        <v>1</v>
      </c>
      <c r="K38">
        <v>0.5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30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0.24637585883753399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0.43753875749565602</v>
      </c>
      <c r="U38">
        <f>IF((ContinuousStatsTable[[#This Row],[RepsRequested]]&gt;1),ContinuousStatsTable[[#This Row],[HalfWidth]],ContinuousStatsTable[[#This Row],[BatchMeansHalfWidth]])</f>
        <v>1.6917101501813702E-2</v>
      </c>
    </row>
    <row r="39" spans="1:21" x14ac:dyDescent="0.3">
      <c r="A39" t="s">
        <v>66</v>
      </c>
      <c r="B39" t="s">
        <v>68</v>
      </c>
      <c r="C39">
        <v>8</v>
      </c>
      <c r="D39" t="s">
        <v>81</v>
      </c>
      <c r="E39" t="s">
        <v>84</v>
      </c>
      <c r="F39" t="s">
        <v>83</v>
      </c>
      <c r="G39">
        <v>0.62995713835790501</v>
      </c>
      <c r="H39">
        <v>2E+20</v>
      </c>
      <c r="I39">
        <v>0</v>
      </c>
      <c r="J39">
        <v>2</v>
      </c>
      <c r="K39">
        <v>1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30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0.49275171767506898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0.87507751499131203</v>
      </c>
      <c r="U39">
        <f>IF((ContinuousStatsTable[[#This Row],[RepsRequested]]&gt;1),ContinuousStatsTable[[#This Row],[HalfWidth]],ContinuousStatsTable[[#This Row],[BatchMeansHalfWidth]])</f>
        <v>3.3834203003627404E-2</v>
      </c>
    </row>
    <row r="40" spans="1:21" x14ac:dyDescent="0.3">
      <c r="A40" t="s">
        <v>66</v>
      </c>
      <c r="B40" t="s">
        <v>68</v>
      </c>
      <c r="C40">
        <v>8</v>
      </c>
      <c r="D40" t="s">
        <v>81</v>
      </c>
      <c r="E40" t="s">
        <v>85</v>
      </c>
      <c r="F40" t="s">
        <v>83</v>
      </c>
      <c r="G40">
        <v>2</v>
      </c>
      <c r="H40">
        <v>2E+20</v>
      </c>
      <c r="I40">
        <v>2</v>
      </c>
      <c r="J40">
        <v>2</v>
      </c>
      <c r="K40">
        <v>2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30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2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2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2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68</v>
      </c>
      <c r="C41">
        <v>8</v>
      </c>
      <c r="D41" t="s">
        <v>77</v>
      </c>
      <c r="E41" t="s">
        <v>86</v>
      </c>
      <c r="F41" t="s">
        <v>79</v>
      </c>
      <c r="G41">
        <v>4.4048405111242701E-2</v>
      </c>
      <c r="H41">
        <v>2E+20</v>
      </c>
      <c r="I41">
        <v>0</v>
      </c>
      <c r="J41">
        <v>2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30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2.3455432883242699E-2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0.18892160918798101</v>
      </c>
      <c r="U41">
        <f>IF((ContinuousStatsTable[[#This Row],[RepsRequested]]&gt;1),ContinuousStatsTable[[#This Row],[HalfWidth]],ContinuousStatsTable[[#This Row],[BatchMeansHalfWidth]])</f>
        <v>1.4090258842664636E-2</v>
      </c>
    </row>
    <row r="42" spans="1:21" x14ac:dyDescent="0.3">
      <c r="A42" t="s">
        <v>66</v>
      </c>
      <c r="B42" t="s">
        <v>68</v>
      </c>
      <c r="C42">
        <v>9</v>
      </c>
      <c r="D42" t="s">
        <v>69</v>
      </c>
      <c r="E42" t="s">
        <v>80</v>
      </c>
      <c r="F42" t="s">
        <v>71</v>
      </c>
      <c r="G42">
        <v>0.646801453897069</v>
      </c>
      <c r="H42">
        <v>2E+20</v>
      </c>
      <c r="I42">
        <v>0</v>
      </c>
      <c r="J42">
        <v>4</v>
      </c>
      <c r="K42">
        <v>1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30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0.51620715055831201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0.96520009407777796</v>
      </c>
      <c r="U42">
        <f>IF((ContinuousStatsTable[[#This Row],[RepsRequested]]&gt;1),ContinuousStatsTable[[#This Row],[HalfWidth]],ContinuousStatsTable[[#This Row],[BatchMeansHalfWidth]])</f>
        <v>4.1935412470375577E-2</v>
      </c>
    </row>
    <row r="43" spans="1:21" x14ac:dyDescent="0.3">
      <c r="A43" t="s">
        <v>66</v>
      </c>
      <c r="B43" t="s">
        <v>68</v>
      </c>
      <c r="C43">
        <v>9</v>
      </c>
      <c r="D43" t="s">
        <v>81</v>
      </c>
      <c r="E43" t="s">
        <v>82</v>
      </c>
      <c r="F43" t="s">
        <v>83</v>
      </c>
      <c r="G43">
        <v>0.30049152490128</v>
      </c>
      <c r="H43">
        <v>2E+20</v>
      </c>
      <c r="I43">
        <v>0</v>
      </c>
      <c r="J43">
        <v>1</v>
      </c>
      <c r="K43">
        <v>0.5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30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0.24637585883753399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0.43753875749565602</v>
      </c>
      <c r="U43">
        <f>IF((ContinuousStatsTable[[#This Row],[RepsRequested]]&gt;1),ContinuousStatsTable[[#This Row],[HalfWidth]],ContinuousStatsTable[[#This Row],[BatchMeansHalfWidth]])</f>
        <v>1.6917101501813702E-2</v>
      </c>
    </row>
    <row r="44" spans="1:21" x14ac:dyDescent="0.3">
      <c r="A44" t="s">
        <v>66</v>
      </c>
      <c r="B44" t="s">
        <v>68</v>
      </c>
      <c r="C44">
        <v>9</v>
      </c>
      <c r="D44" t="s">
        <v>81</v>
      </c>
      <c r="E44" t="s">
        <v>84</v>
      </c>
      <c r="F44" t="s">
        <v>83</v>
      </c>
      <c r="G44">
        <v>0.60098304980255901</v>
      </c>
      <c r="H44">
        <v>2E+20</v>
      </c>
      <c r="I44">
        <v>0</v>
      </c>
      <c r="J44">
        <v>2</v>
      </c>
      <c r="K44">
        <v>1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30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0.49275171767506898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0.87507751499131203</v>
      </c>
      <c r="U44">
        <f>IF((ContinuousStatsTable[[#This Row],[RepsRequested]]&gt;1),ContinuousStatsTable[[#This Row],[HalfWidth]],ContinuousStatsTable[[#This Row],[BatchMeansHalfWidth]])</f>
        <v>3.3834203003627404E-2</v>
      </c>
    </row>
    <row r="45" spans="1:21" x14ac:dyDescent="0.3">
      <c r="A45" t="s">
        <v>66</v>
      </c>
      <c r="B45" t="s">
        <v>68</v>
      </c>
      <c r="C45">
        <v>9</v>
      </c>
      <c r="D45" t="s">
        <v>81</v>
      </c>
      <c r="E45" t="s">
        <v>85</v>
      </c>
      <c r="F45" t="s">
        <v>83</v>
      </c>
      <c r="G45">
        <v>2</v>
      </c>
      <c r="H45">
        <v>2E+20</v>
      </c>
      <c r="I45">
        <v>2</v>
      </c>
      <c r="J45">
        <v>2</v>
      </c>
      <c r="K45">
        <v>2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30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2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2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2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9</v>
      </c>
      <c r="D46" t="s">
        <v>77</v>
      </c>
      <c r="E46" t="s">
        <v>86</v>
      </c>
      <c r="F46" t="s">
        <v>79</v>
      </c>
      <c r="G46">
        <v>4.5818404094510101E-2</v>
      </c>
      <c r="H46">
        <v>2E+20</v>
      </c>
      <c r="I46">
        <v>0</v>
      </c>
      <c r="J46">
        <v>2</v>
      </c>
      <c r="K46">
        <v>0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30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2.3455432883242699E-2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0.18892160918798101</v>
      </c>
      <c r="U46">
        <f>IF((ContinuousStatsTable[[#This Row],[RepsRequested]]&gt;1),ContinuousStatsTable[[#This Row],[HalfWidth]],ContinuousStatsTable[[#This Row],[BatchMeansHalfWidth]])</f>
        <v>1.4090258842664636E-2</v>
      </c>
    </row>
    <row r="47" spans="1:21" x14ac:dyDescent="0.3">
      <c r="A47" t="s">
        <v>66</v>
      </c>
      <c r="B47" t="s">
        <v>68</v>
      </c>
      <c r="C47">
        <v>10</v>
      </c>
      <c r="D47" t="s">
        <v>69</v>
      </c>
      <c r="E47" t="s">
        <v>80</v>
      </c>
      <c r="F47" t="s">
        <v>71</v>
      </c>
      <c r="G47">
        <v>0.51620715055831201</v>
      </c>
      <c r="H47">
        <v>2E+20</v>
      </c>
      <c r="I47">
        <v>0</v>
      </c>
      <c r="J47">
        <v>4</v>
      </c>
      <c r="K47">
        <v>0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30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0.51620715055831201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0.96520009407777796</v>
      </c>
      <c r="U47">
        <f>IF((ContinuousStatsTable[[#This Row],[RepsRequested]]&gt;1),ContinuousStatsTable[[#This Row],[HalfWidth]],ContinuousStatsTable[[#This Row],[BatchMeansHalfWidth]])</f>
        <v>4.1935412470375577E-2</v>
      </c>
    </row>
    <row r="48" spans="1:21" x14ac:dyDescent="0.3">
      <c r="A48" t="s">
        <v>66</v>
      </c>
      <c r="B48" t="s">
        <v>68</v>
      </c>
      <c r="C48">
        <v>10</v>
      </c>
      <c r="D48" t="s">
        <v>81</v>
      </c>
      <c r="E48" t="s">
        <v>82</v>
      </c>
      <c r="F48" t="s">
        <v>83</v>
      </c>
      <c r="G48">
        <v>0.24637585883753399</v>
      </c>
      <c r="H48">
        <v>2E+20</v>
      </c>
      <c r="I48">
        <v>0</v>
      </c>
      <c r="J48">
        <v>1</v>
      </c>
      <c r="K48">
        <v>0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30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0.24637585883753399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0.43753875749565602</v>
      </c>
      <c r="U48">
        <f>IF((ContinuousStatsTable[[#This Row],[RepsRequested]]&gt;1),ContinuousStatsTable[[#This Row],[HalfWidth]],ContinuousStatsTable[[#This Row],[BatchMeansHalfWidth]])</f>
        <v>1.6917101501813702E-2</v>
      </c>
    </row>
    <row r="49" spans="1:21" x14ac:dyDescent="0.3">
      <c r="A49" t="s">
        <v>66</v>
      </c>
      <c r="B49" t="s">
        <v>68</v>
      </c>
      <c r="C49">
        <v>10</v>
      </c>
      <c r="D49" t="s">
        <v>81</v>
      </c>
      <c r="E49" t="s">
        <v>84</v>
      </c>
      <c r="F49" t="s">
        <v>83</v>
      </c>
      <c r="G49">
        <v>0.49275171767506898</v>
      </c>
      <c r="H49">
        <v>2E+20</v>
      </c>
      <c r="I49">
        <v>0</v>
      </c>
      <c r="J49">
        <v>2</v>
      </c>
      <c r="K49">
        <v>0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30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0.49275171767506898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0.87507751499131203</v>
      </c>
      <c r="U49">
        <f>IF((ContinuousStatsTable[[#This Row],[RepsRequested]]&gt;1),ContinuousStatsTable[[#This Row],[HalfWidth]],ContinuousStatsTable[[#This Row],[BatchMeansHalfWidth]])</f>
        <v>3.3834203003627404E-2</v>
      </c>
    </row>
    <row r="50" spans="1:21" x14ac:dyDescent="0.3">
      <c r="A50" t="s">
        <v>66</v>
      </c>
      <c r="B50" t="s">
        <v>68</v>
      </c>
      <c r="C50">
        <v>10</v>
      </c>
      <c r="D50" t="s">
        <v>81</v>
      </c>
      <c r="E50" t="s">
        <v>85</v>
      </c>
      <c r="F50" t="s">
        <v>83</v>
      </c>
      <c r="G50">
        <v>2</v>
      </c>
      <c r="H50">
        <v>2E+20</v>
      </c>
      <c r="I50">
        <v>2</v>
      </c>
      <c r="J50">
        <v>2</v>
      </c>
      <c r="K50">
        <v>2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30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2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2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2</v>
      </c>
      <c r="U50">
        <f>IF((ContinuousStatsTable[[#This Row],[RepsRequested]]&gt;1),ContinuousStatsTable[[#This Row],[HalfWidth]],ContinuousStatsTable[[#This Row],[BatchMeansHalfWidth]])</f>
        <v>0</v>
      </c>
    </row>
    <row r="51" spans="1:21" x14ac:dyDescent="0.3">
      <c r="A51" t="s">
        <v>66</v>
      </c>
      <c r="B51" t="s">
        <v>68</v>
      </c>
      <c r="C51">
        <v>10</v>
      </c>
      <c r="D51" t="s">
        <v>77</v>
      </c>
      <c r="E51" t="s">
        <v>86</v>
      </c>
      <c r="F51" t="s">
        <v>79</v>
      </c>
      <c r="G51">
        <v>2.3455432883242699E-2</v>
      </c>
      <c r="H51">
        <v>2E+20</v>
      </c>
      <c r="I51">
        <v>0</v>
      </c>
      <c r="J51">
        <v>2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30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2.3455432883242699E-2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0.18892160918798101</v>
      </c>
      <c r="U51">
        <f>IF((ContinuousStatsTable[[#This Row],[RepsRequested]]&gt;1),ContinuousStatsTable[[#This Row],[HalfWidth]],ContinuousStatsTable[[#This Row],[BatchMeansHalfWidth]])</f>
        <v>1.4090258842664636E-2</v>
      </c>
    </row>
    <row r="52" spans="1:21" x14ac:dyDescent="0.3">
      <c r="A52" t="s">
        <v>66</v>
      </c>
      <c r="B52" t="s">
        <v>68</v>
      </c>
      <c r="C52">
        <v>11</v>
      </c>
      <c r="D52" t="s">
        <v>69</v>
      </c>
      <c r="E52" t="s">
        <v>80</v>
      </c>
      <c r="F52" t="s">
        <v>71</v>
      </c>
      <c r="G52">
        <v>0.72964211456174599</v>
      </c>
      <c r="H52">
        <v>2E+20</v>
      </c>
      <c r="I52">
        <v>0</v>
      </c>
      <c r="J52">
        <v>5</v>
      </c>
      <c r="K52">
        <v>1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30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0.51620715055831201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0.96520009407777796</v>
      </c>
      <c r="U52">
        <f>IF((ContinuousStatsTable[[#This Row],[RepsRequested]]&gt;1),ContinuousStatsTable[[#This Row],[HalfWidth]],ContinuousStatsTable[[#This Row],[BatchMeansHalfWidth]])</f>
        <v>4.1935412470375577E-2</v>
      </c>
    </row>
    <row r="53" spans="1:21" x14ac:dyDescent="0.3">
      <c r="A53" t="s">
        <v>66</v>
      </c>
      <c r="B53" t="s">
        <v>68</v>
      </c>
      <c r="C53">
        <v>11</v>
      </c>
      <c r="D53" t="s">
        <v>81</v>
      </c>
      <c r="E53" t="s">
        <v>82</v>
      </c>
      <c r="F53" t="s">
        <v>83</v>
      </c>
      <c r="G53">
        <v>0.32920760688839401</v>
      </c>
      <c r="H53">
        <v>2E+20</v>
      </c>
      <c r="I53">
        <v>0</v>
      </c>
      <c r="J53">
        <v>1</v>
      </c>
      <c r="K53">
        <v>0.5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30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0.24637585883753399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0.43753875749565602</v>
      </c>
      <c r="U53">
        <f>IF((ContinuousStatsTable[[#This Row],[RepsRequested]]&gt;1),ContinuousStatsTable[[#This Row],[HalfWidth]],ContinuousStatsTable[[#This Row],[BatchMeansHalfWidth]])</f>
        <v>1.6917101501813702E-2</v>
      </c>
    </row>
    <row r="54" spans="1:21" x14ac:dyDescent="0.3">
      <c r="A54" t="s">
        <v>66</v>
      </c>
      <c r="B54" t="s">
        <v>68</v>
      </c>
      <c r="C54">
        <v>11</v>
      </c>
      <c r="D54" t="s">
        <v>81</v>
      </c>
      <c r="E54" t="s">
        <v>84</v>
      </c>
      <c r="F54" t="s">
        <v>83</v>
      </c>
      <c r="G54">
        <v>0.65841521377678802</v>
      </c>
      <c r="H54">
        <v>2E+20</v>
      </c>
      <c r="I54">
        <v>0</v>
      </c>
      <c r="J54">
        <v>2</v>
      </c>
      <c r="K54">
        <v>1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30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0.49275171767506898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0.87507751499131203</v>
      </c>
      <c r="U54">
        <f>IF((ContinuousStatsTable[[#This Row],[RepsRequested]]&gt;1),ContinuousStatsTable[[#This Row],[HalfWidth]],ContinuousStatsTable[[#This Row],[BatchMeansHalfWidth]])</f>
        <v>3.3834203003627404E-2</v>
      </c>
    </row>
    <row r="55" spans="1:21" x14ac:dyDescent="0.3">
      <c r="A55" t="s">
        <v>66</v>
      </c>
      <c r="B55" t="s">
        <v>68</v>
      </c>
      <c r="C55">
        <v>11</v>
      </c>
      <c r="D55" t="s">
        <v>81</v>
      </c>
      <c r="E55" t="s">
        <v>85</v>
      </c>
      <c r="F55" t="s">
        <v>83</v>
      </c>
      <c r="G55">
        <v>2</v>
      </c>
      <c r="H55">
        <v>2E+20</v>
      </c>
      <c r="I55">
        <v>2</v>
      </c>
      <c r="J55">
        <v>2</v>
      </c>
      <c r="K55">
        <v>2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30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2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2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2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68</v>
      </c>
      <c r="C56">
        <v>11</v>
      </c>
      <c r="D56" t="s">
        <v>77</v>
      </c>
      <c r="E56" t="s">
        <v>86</v>
      </c>
      <c r="F56" t="s">
        <v>79</v>
      </c>
      <c r="G56">
        <v>7.1226900784957803E-2</v>
      </c>
      <c r="H56">
        <v>2E+20</v>
      </c>
      <c r="I56">
        <v>0</v>
      </c>
      <c r="J56">
        <v>3</v>
      </c>
      <c r="K56">
        <v>0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30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2.3455432883242699E-2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0.18892160918798101</v>
      </c>
      <c r="U56">
        <f>IF((ContinuousStatsTable[[#This Row],[RepsRequested]]&gt;1),ContinuousStatsTable[[#This Row],[HalfWidth]],ContinuousStatsTable[[#This Row],[BatchMeansHalfWidth]])</f>
        <v>1.4090258842664636E-2</v>
      </c>
    </row>
    <row r="57" spans="1:21" x14ac:dyDescent="0.3">
      <c r="A57" t="s">
        <v>66</v>
      </c>
      <c r="B57" t="s">
        <v>68</v>
      </c>
      <c r="C57">
        <v>12</v>
      </c>
      <c r="D57" t="s">
        <v>69</v>
      </c>
      <c r="E57" t="s">
        <v>80</v>
      </c>
      <c r="F57" t="s">
        <v>71</v>
      </c>
      <c r="G57">
        <v>0.76941513537227502</v>
      </c>
      <c r="H57">
        <v>2E+20</v>
      </c>
      <c r="I57">
        <v>0</v>
      </c>
      <c r="J57">
        <v>5</v>
      </c>
      <c r="K57">
        <v>0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30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0.51620715055831201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0.96520009407777796</v>
      </c>
      <c r="U57">
        <f>IF((ContinuousStatsTable[[#This Row],[RepsRequested]]&gt;1),ContinuousStatsTable[[#This Row],[HalfWidth]],ContinuousStatsTable[[#This Row],[BatchMeansHalfWidth]])</f>
        <v>4.1935412470375577E-2</v>
      </c>
    </row>
    <row r="58" spans="1:21" x14ac:dyDescent="0.3">
      <c r="A58" t="s">
        <v>66</v>
      </c>
      <c r="B58" t="s">
        <v>68</v>
      </c>
      <c r="C58">
        <v>12</v>
      </c>
      <c r="D58" t="s">
        <v>81</v>
      </c>
      <c r="E58" t="s">
        <v>82</v>
      </c>
      <c r="F58" t="s">
        <v>83</v>
      </c>
      <c r="G58">
        <v>0.31648513473560702</v>
      </c>
      <c r="H58">
        <v>2E+20</v>
      </c>
      <c r="I58">
        <v>0</v>
      </c>
      <c r="J58">
        <v>1</v>
      </c>
      <c r="K58">
        <v>0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30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0.24637585883753399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0.43753875749565602</v>
      </c>
      <c r="U58">
        <f>IF((ContinuousStatsTable[[#This Row],[RepsRequested]]&gt;1),ContinuousStatsTable[[#This Row],[HalfWidth]],ContinuousStatsTable[[#This Row],[BatchMeansHalfWidth]])</f>
        <v>1.6917101501813702E-2</v>
      </c>
    </row>
    <row r="59" spans="1:21" x14ac:dyDescent="0.3">
      <c r="A59" t="s">
        <v>66</v>
      </c>
      <c r="B59" t="s">
        <v>68</v>
      </c>
      <c r="C59">
        <v>12</v>
      </c>
      <c r="D59" t="s">
        <v>81</v>
      </c>
      <c r="E59" t="s">
        <v>84</v>
      </c>
      <c r="F59" t="s">
        <v>83</v>
      </c>
      <c r="G59">
        <v>0.63297026947121404</v>
      </c>
      <c r="H59">
        <v>2E+20</v>
      </c>
      <c r="I59">
        <v>0</v>
      </c>
      <c r="J59">
        <v>2</v>
      </c>
      <c r="K59">
        <v>0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30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0.49275171767506898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0.87507751499131203</v>
      </c>
      <c r="U59">
        <f>IF((ContinuousStatsTable[[#This Row],[RepsRequested]]&gt;1),ContinuousStatsTable[[#This Row],[HalfWidth]],ContinuousStatsTable[[#This Row],[BatchMeansHalfWidth]])</f>
        <v>3.3834203003627404E-2</v>
      </c>
    </row>
    <row r="60" spans="1:21" x14ac:dyDescent="0.3">
      <c r="A60" t="s">
        <v>66</v>
      </c>
      <c r="B60" t="s">
        <v>68</v>
      </c>
      <c r="C60">
        <v>12</v>
      </c>
      <c r="D60" t="s">
        <v>81</v>
      </c>
      <c r="E60" t="s">
        <v>85</v>
      </c>
      <c r="F60" t="s">
        <v>83</v>
      </c>
      <c r="G60">
        <v>2</v>
      </c>
      <c r="H60">
        <v>2E+20</v>
      </c>
      <c r="I60">
        <v>2</v>
      </c>
      <c r="J60">
        <v>2</v>
      </c>
      <c r="K60">
        <v>2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30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2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2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2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68</v>
      </c>
      <c r="C61">
        <v>12</v>
      </c>
      <c r="D61" t="s">
        <v>77</v>
      </c>
      <c r="E61" t="s">
        <v>86</v>
      </c>
      <c r="F61" t="s">
        <v>79</v>
      </c>
      <c r="G61">
        <v>0.136444865901062</v>
      </c>
      <c r="H61">
        <v>2E+20</v>
      </c>
      <c r="I61">
        <v>0</v>
      </c>
      <c r="J61">
        <v>3</v>
      </c>
      <c r="K61">
        <v>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30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2.3455432883242699E-2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0.18892160918798101</v>
      </c>
      <c r="U61">
        <f>IF((ContinuousStatsTable[[#This Row],[RepsRequested]]&gt;1),ContinuousStatsTable[[#This Row],[HalfWidth]],ContinuousStatsTable[[#This Row],[BatchMeansHalfWidth]])</f>
        <v>1.4090258842664636E-2</v>
      </c>
    </row>
    <row r="62" spans="1:21" x14ac:dyDescent="0.3">
      <c r="A62" t="s">
        <v>66</v>
      </c>
      <c r="B62" t="s">
        <v>68</v>
      </c>
      <c r="C62">
        <v>13</v>
      </c>
      <c r="D62" t="s">
        <v>69</v>
      </c>
      <c r="E62" t="s">
        <v>80</v>
      </c>
      <c r="F62" t="s">
        <v>71</v>
      </c>
      <c r="G62">
        <v>0.82325329387136303</v>
      </c>
      <c r="H62">
        <v>2E+20</v>
      </c>
      <c r="I62">
        <v>0</v>
      </c>
      <c r="J62">
        <v>5</v>
      </c>
      <c r="K62">
        <v>0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30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0.51620715055831201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0.96520009407777796</v>
      </c>
      <c r="U62">
        <f>IF((ContinuousStatsTable[[#This Row],[RepsRequested]]&gt;1),ContinuousStatsTable[[#This Row],[HalfWidth]],ContinuousStatsTable[[#This Row],[BatchMeansHalfWidth]])</f>
        <v>4.1935412470375577E-2</v>
      </c>
    </row>
    <row r="63" spans="1:21" x14ac:dyDescent="0.3">
      <c r="A63" t="s">
        <v>66</v>
      </c>
      <c r="B63" t="s">
        <v>68</v>
      </c>
      <c r="C63">
        <v>13</v>
      </c>
      <c r="D63" t="s">
        <v>81</v>
      </c>
      <c r="E63" t="s">
        <v>82</v>
      </c>
      <c r="F63" t="s">
        <v>83</v>
      </c>
      <c r="G63">
        <v>0.36324191265556199</v>
      </c>
      <c r="H63">
        <v>2E+20</v>
      </c>
      <c r="I63">
        <v>0</v>
      </c>
      <c r="J63">
        <v>1</v>
      </c>
      <c r="K63">
        <v>0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30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0.24637585883753399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0.43753875749565602</v>
      </c>
      <c r="U63">
        <f>IF((ContinuousStatsTable[[#This Row],[RepsRequested]]&gt;1),ContinuousStatsTable[[#This Row],[HalfWidth]],ContinuousStatsTable[[#This Row],[BatchMeansHalfWidth]])</f>
        <v>1.6917101501813702E-2</v>
      </c>
    </row>
    <row r="64" spans="1:21" x14ac:dyDescent="0.3">
      <c r="A64" t="s">
        <v>66</v>
      </c>
      <c r="B64" t="s">
        <v>68</v>
      </c>
      <c r="C64">
        <v>13</v>
      </c>
      <c r="D64" t="s">
        <v>81</v>
      </c>
      <c r="E64" t="s">
        <v>84</v>
      </c>
      <c r="F64" t="s">
        <v>83</v>
      </c>
      <c r="G64">
        <v>0.72648382531112399</v>
      </c>
      <c r="H64">
        <v>2E+20</v>
      </c>
      <c r="I64">
        <v>0</v>
      </c>
      <c r="J64">
        <v>2</v>
      </c>
      <c r="K64">
        <v>0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30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0.49275171767506898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0.87507751499131203</v>
      </c>
      <c r="U64">
        <f>IF((ContinuousStatsTable[[#This Row],[RepsRequested]]&gt;1),ContinuousStatsTable[[#This Row],[HalfWidth]],ContinuousStatsTable[[#This Row],[BatchMeansHalfWidth]])</f>
        <v>3.3834203003627404E-2</v>
      </c>
    </row>
    <row r="65" spans="1:21" x14ac:dyDescent="0.3">
      <c r="A65" t="s">
        <v>66</v>
      </c>
      <c r="B65" t="s">
        <v>68</v>
      </c>
      <c r="C65">
        <v>13</v>
      </c>
      <c r="D65" t="s">
        <v>81</v>
      </c>
      <c r="E65" t="s">
        <v>85</v>
      </c>
      <c r="F65" t="s">
        <v>83</v>
      </c>
      <c r="G65">
        <v>2</v>
      </c>
      <c r="H65">
        <v>2E+20</v>
      </c>
      <c r="I65">
        <v>2</v>
      </c>
      <c r="J65">
        <v>2</v>
      </c>
      <c r="K65">
        <v>2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30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2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2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2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3">
      <c r="A66" t="s">
        <v>66</v>
      </c>
      <c r="B66" t="s">
        <v>68</v>
      </c>
      <c r="C66">
        <v>13</v>
      </c>
      <c r="D66" t="s">
        <v>77</v>
      </c>
      <c r="E66" t="s">
        <v>86</v>
      </c>
      <c r="F66" t="s">
        <v>79</v>
      </c>
      <c r="G66">
        <v>9.6769468560239102E-2</v>
      </c>
      <c r="H66">
        <v>2E+20</v>
      </c>
      <c r="I66">
        <v>0</v>
      </c>
      <c r="J66">
        <v>3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30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2.3455432883242699E-2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0.18892160918798101</v>
      </c>
      <c r="U66">
        <f>IF((ContinuousStatsTable[[#This Row],[RepsRequested]]&gt;1),ContinuousStatsTable[[#This Row],[HalfWidth]],ContinuousStatsTable[[#This Row],[BatchMeansHalfWidth]])</f>
        <v>1.4090258842664636E-2</v>
      </c>
    </row>
    <row r="67" spans="1:21" x14ac:dyDescent="0.3">
      <c r="A67" t="s">
        <v>66</v>
      </c>
      <c r="B67" t="s">
        <v>68</v>
      </c>
      <c r="C67">
        <v>14</v>
      </c>
      <c r="D67" t="s">
        <v>69</v>
      </c>
      <c r="E67" t="s">
        <v>80</v>
      </c>
      <c r="F67" t="s">
        <v>71</v>
      </c>
      <c r="G67">
        <v>0.78821396812135502</v>
      </c>
      <c r="H67">
        <v>2E+20</v>
      </c>
      <c r="I67">
        <v>0</v>
      </c>
      <c r="J67">
        <v>5</v>
      </c>
      <c r="K67">
        <v>0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30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0.51620715055831201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0.96520009407777796</v>
      </c>
      <c r="U67">
        <f>IF((ContinuousStatsTable[[#This Row],[RepsRequested]]&gt;1),ContinuousStatsTable[[#This Row],[HalfWidth]],ContinuousStatsTable[[#This Row],[BatchMeansHalfWidth]])</f>
        <v>4.1935412470375577E-2</v>
      </c>
    </row>
    <row r="68" spans="1:21" x14ac:dyDescent="0.3">
      <c r="A68" t="s">
        <v>66</v>
      </c>
      <c r="B68" t="s">
        <v>68</v>
      </c>
      <c r="C68">
        <v>14</v>
      </c>
      <c r="D68" t="s">
        <v>81</v>
      </c>
      <c r="E68" t="s">
        <v>82</v>
      </c>
      <c r="F68" t="s">
        <v>83</v>
      </c>
      <c r="G68">
        <v>0.34109498428740198</v>
      </c>
      <c r="H68">
        <v>2E+20</v>
      </c>
      <c r="I68">
        <v>0</v>
      </c>
      <c r="J68">
        <v>1</v>
      </c>
      <c r="K68">
        <v>0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30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0.24637585883753399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0.43753875749565602</v>
      </c>
      <c r="U68">
        <f>IF((ContinuousStatsTable[[#This Row],[RepsRequested]]&gt;1),ContinuousStatsTable[[#This Row],[HalfWidth]],ContinuousStatsTable[[#This Row],[BatchMeansHalfWidth]])</f>
        <v>1.6917101501813702E-2</v>
      </c>
    </row>
    <row r="69" spans="1:21" x14ac:dyDescent="0.3">
      <c r="A69" t="s">
        <v>66</v>
      </c>
      <c r="B69" t="s">
        <v>68</v>
      </c>
      <c r="C69">
        <v>14</v>
      </c>
      <c r="D69" t="s">
        <v>81</v>
      </c>
      <c r="E69" t="s">
        <v>84</v>
      </c>
      <c r="F69" t="s">
        <v>83</v>
      </c>
      <c r="G69">
        <v>0.68218996857480496</v>
      </c>
      <c r="H69">
        <v>2E+20</v>
      </c>
      <c r="I69">
        <v>0</v>
      </c>
      <c r="J69">
        <v>2</v>
      </c>
      <c r="K69">
        <v>0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30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0.49275171767506898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0.87507751499131203</v>
      </c>
      <c r="U69">
        <f>IF((ContinuousStatsTable[[#This Row],[RepsRequested]]&gt;1),ContinuousStatsTable[[#This Row],[HalfWidth]],ContinuousStatsTable[[#This Row],[BatchMeansHalfWidth]])</f>
        <v>3.3834203003627404E-2</v>
      </c>
    </row>
    <row r="70" spans="1:21" x14ac:dyDescent="0.3">
      <c r="A70" t="s">
        <v>66</v>
      </c>
      <c r="B70" t="s">
        <v>68</v>
      </c>
      <c r="C70">
        <v>14</v>
      </c>
      <c r="D70" t="s">
        <v>81</v>
      </c>
      <c r="E70" t="s">
        <v>85</v>
      </c>
      <c r="F70" t="s">
        <v>83</v>
      </c>
      <c r="G70">
        <v>2</v>
      </c>
      <c r="H70">
        <v>2E+20</v>
      </c>
      <c r="I70">
        <v>2</v>
      </c>
      <c r="J70">
        <v>2</v>
      </c>
      <c r="K70">
        <v>2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30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2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2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2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68</v>
      </c>
      <c r="C71">
        <v>14</v>
      </c>
      <c r="D71" t="s">
        <v>77</v>
      </c>
      <c r="E71" t="s">
        <v>86</v>
      </c>
      <c r="F71" t="s">
        <v>79</v>
      </c>
      <c r="G71">
        <v>0.10602399954654999</v>
      </c>
      <c r="H71">
        <v>2E+20</v>
      </c>
      <c r="I71">
        <v>0</v>
      </c>
      <c r="J71">
        <v>3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30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2.3455432883242699E-2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0.18892160918798101</v>
      </c>
      <c r="U71">
        <f>IF((ContinuousStatsTable[[#This Row],[RepsRequested]]&gt;1),ContinuousStatsTable[[#This Row],[HalfWidth]],ContinuousStatsTable[[#This Row],[BatchMeansHalfWidth]])</f>
        <v>1.4090258842664636E-2</v>
      </c>
    </row>
    <row r="72" spans="1:21" x14ac:dyDescent="0.3">
      <c r="A72" t="s">
        <v>66</v>
      </c>
      <c r="B72" t="s">
        <v>68</v>
      </c>
      <c r="C72">
        <v>15</v>
      </c>
      <c r="D72" t="s">
        <v>69</v>
      </c>
      <c r="E72" t="s">
        <v>80</v>
      </c>
      <c r="F72" t="s">
        <v>71</v>
      </c>
      <c r="G72">
        <v>0.715646199768328</v>
      </c>
      <c r="H72">
        <v>2E+20</v>
      </c>
      <c r="I72">
        <v>0</v>
      </c>
      <c r="J72">
        <v>4</v>
      </c>
      <c r="K72">
        <v>0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30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0.51620715055831201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0.96520009407777796</v>
      </c>
      <c r="U72">
        <f>IF((ContinuousStatsTable[[#This Row],[RepsRequested]]&gt;1),ContinuousStatsTable[[#This Row],[HalfWidth]],ContinuousStatsTable[[#This Row],[BatchMeansHalfWidth]])</f>
        <v>4.1935412470375577E-2</v>
      </c>
    </row>
    <row r="73" spans="1:21" x14ac:dyDescent="0.3">
      <c r="A73" t="s">
        <v>66</v>
      </c>
      <c r="B73" t="s">
        <v>68</v>
      </c>
      <c r="C73">
        <v>15</v>
      </c>
      <c r="D73" t="s">
        <v>81</v>
      </c>
      <c r="E73" t="s">
        <v>82</v>
      </c>
      <c r="F73" t="s">
        <v>83</v>
      </c>
      <c r="G73">
        <v>0.33032968943257102</v>
      </c>
      <c r="H73">
        <v>2E+20</v>
      </c>
      <c r="I73">
        <v>0</v>
      </c>
      <c r="J73">
        <v>1</v>
      </c>
      <c r="K73">
        <v>0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30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0.24637585883753399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0.43753875749565602</v>
      </c>
      <c r="U73">
        <f>IF((ContinuousStatsTable[[#This Row],[RepsRequested]]&gt;1),ContinuousStatsTable[[#This Row],[HalfWidth]],ContinuousStatsTable[[#This Row],[BatchMeansHalfWidth]])</f>
        <v>1.6917101501813702E-2</v>
      </c>
    </row>
    <row r="74" spans="1:21" x14ac:dyDescent="0.3">
      <c r="A74" t="s">
        <v>66</v>
      </c>
      <c r="B74" t="s">
        <v>68</v>
      </c>
      <c r="C74">
        <v>15</v>
      </c>
      <c r="D74" t="s">
        <v>81</v>
      </c>
      <c r="E74" t="s">
        <v>84</v>
      </c>
      <c r="F74" t="s">
        <v>83</v>
      </c>
      <c r="G74">
        <v>0.66065937886514103</v>
      </c>
      <c r="H74">
        <v>2E+20</v>
      </c>
      <c r="I74">
        <v>0</v>
      </c>
      <c r="J74">
        <v>2</v>
      </c>
      <c r="K74">
        <v>0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30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0.49275171767506898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0.87507751499131203</v>
      </c>
      <c r="U74">
        <f>IF((ContinuousStatsTable[[#This Row],[RepsRequested]]&gt;1),ContinuousStatsTable[[#This Row],[HalfWidth]],ContinuousStatsTable[[#This Row],[BatchMeansHalfWidth]])</f>
        <v>3.3834203003627404E-2</v>
      </c>
    </row>
    <row r="75" spans="1:21" x14ac:dyDescent="0.3">
      <c r="A75" t="s">
        <v>66</v>
      </c>
      <c r="B75" t="s">
        <v>68</v>
      </c>
      <c r="C75">
        <v>15</v>
      </c>
      <c r="D75" t="s">
        <v>81</v>
      </c>
      <c r="E75" t="s">
        <v>85</v>
      </c>
      <c r="F75" t="s">
        <v>83</v>
      </c>
      <c r="G75">
        <v>2</v>
      </c>
      <c r="H75">
        <v>2E+20</v>
      </c>
      <c r="I75">
        <v>2</v>
      </c>
      <c r="J75">
        <v>2</v>
      </c>
      <c r="K75">
        <v>2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30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2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2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2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15</v>
      </c>
      <c r="D76" t="s">
        <v>77</v>
      </c>
      <c r="E76" t="s">
        <v>86</v>
      </c>
      <c r="F76" t="s">
        <v>79</v>
      </c>
      <c r="G76">
        <v>5.4986820903186601E-2</v>
      </c>
      <c r="H76">
        <v>2E+20</v>
      </c>
      <c r="I76">
        <v>0</v>
      </c>
      <c r="J76">
        <v>2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30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2.3455432883242699E-2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0.18892160918798101</v>
      </c>
      <c r="U76">
        <f>IF((ContinuousStatsTable[[#This Row],[RepsRequested]]&gt;1),ContinuousStatsTable[[#This Row],[HalfWidth]],ContinuousStatsTable[[#This Row],[BatchMeansHalfWidth]])</f>
        <v>1.4090258842664636E-2</v>
      </c>
    </row>
    <row r="77" spans="1:21" x14ac:dyDescent="0.3">
      <c r="A77" t="s">
        <v>66</v>
      </c>
      <c r="B77" t="s">
        <v>68</v>
      </c>
      <c r="C77">
        <v>16</v>
      </c>
      <c r="D77" t="s">
        <v>69</v>
      </c>
      <c r="E77" t="s">
        <v>80</v>
      </c>
      <c r="F77" t="s">
        <v>71</v>
      </c>
      <c r="G77">
        <v>0.96520009407777796</v>
      </c>
      <c r="H77">
        <v>2E+20</v>
      </c>
      <c r="I77">
        <v>0</v>
      </c>
      <c r="J77">
        <v>4</v>
      </c>
      <c r="K77">
        <v>1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30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0.51620715055831201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0.96520009407777796</v>
      </c>
      <c r="U77">
        <f>IF((ContinuousStatsTable[[#This Row],[RepsRequested]]&gt;1),ContinuousStatsTable[[#This Row],[HalfWidth]],ContinuousStatsTable[[#This Row],[BatchMeansHalfWidth]])</f>
        <v>4.1935412470375577E-2</v>
      </c>
    </row>
    <row r="78" spans="1:21" x14ac:dyDescent="0.3">
      <c r="A78" t="s">
        <v>66</v>
      </c>
      <c r="B78" t="s">
        <v>68</v>
      </c>
      <c r="C78">
        <v>16</v>
      </c>
      <c r="D78" t="s">
        <v>81</v>
      </c>
      <c r="E78" t="s">
        <v>82</v>
      </c>
      <c r="F78" t="s">
        <v>83</v>
      </c>
      <c r="G78">
        <v>0.43753875749565602</v>
      </c>
      <c r="H78">
        <v>2E+20</v>
      </c>
      <c r="I78">
        <v>0</v>
      </c>
      <c r="J78">
        <v>1</v>
      </c>
      <c r="K78">
        <v>0.5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30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0.24637585883753399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0.43753875749565602</v>
      </c>
      <c r="U78">
        <f>IF((ContinuousStatsTable[[#This Row],[RepsRequested]]&gt;1),ContinuousStatsTable[[#This Row],[HalfWidth]],ContinuousStatsTable[[#This Row],[BatchMeansHalfWidth]])</f>
        <v>1.6917101501813702E-2</v>
      </c>
    </row>
    <row r="79" spans="1:21" x14ac:dyDescent="0.3">
      <c r="A79" t="s">
        <v>66</v>
      </c>
      <c r="B79" t="s">
        <v>68</v>
      </c>
      <c r="C79">
        <v>16</v>
      </c>
      <c r="D79" t="s">
        <v>81</v>
      </c>
      <c r="E79" t="s">
        <v>84</v>
      </c>
      <c r="F79" t="s">
        <v>83</v>
      </c>
      <c r="G79">
        <v>0.87507751499131203</v>
      </c>
      <c r="H79">
        <v>2E+20</v>
      </c>
      <c r="I79">
        <v>0</v>
      </c>
      <c r="J79">
        <v>2</v>
      </c>
      <c r="K79">
        <v>1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30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0.49275171767506898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0.87507751499131203</v>
      </c>
      <c r="U79">
        <f>IF((ContinuousStatsTable[[#This Row],[RepsRequested]]&gt;1),ContinuousStatsTable[[#This Row],[HalfWidth]],ContinuousStatsTable[[#This Row],[BatchMeansHalfWidth]])</f>
        <v>3.3834203003627404E-2</v>
      </c>
    </row>
    <row r="80" spans="1:21" x14ac:dyDescent="0.3">
      <c r="A80" t="s">
        <v>66</v>
      </c>
      <c r="B80" t="s">
        <v>68</v>
      </c>
      <c r="C80">
        <v>16</v>
      </c>
      <c r="D80" t="s">
        <v>81</v>
      </c>
      <c r="E80" t="s">
        <v>85</v>
      </c>
      <c r="F80" t="s">
        <v>83</v>
      </c>
      <c r="G80">
        <v>2</v>
      </c>
      <c r="H80">
        <v>2E+20</v>
      </c>
      <c r="I80">
        <v>2</v>
      </c>
      <c r="J80">
        <v>2</v>
      </c>
      <c r="K80">
        <v>2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30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2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2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2</v>
      </c>
      <c r="U80">
        <f>IF((ContinuousStatsTable[[#This Row],[RepsRequested]]&gt;1),ContinuousStatsTable[[#This Row],[HalfWidth]],ContinuousStatsTable[[#This Row],[BatchMeansHalfWidth]])</f>
        <v>0</v>
      </c>
    </row>
    <row r="81" spans="1:21" x14ac:dyDescent="0.3">
      <c r="A81" t="s">
        <v>66</v>
      </c>
      <c r="B81" t="s">
        <v>68</v>
      </c>
      <c r="C81">
        <v>16</v>
      </c>
      <c r="D81" t="s">
        <v>77</v>
      </c>
      <c r="E81" t="s">
        <v>86</v>
      </c>
      <c r="F81" t="s">
        <v>79</v>
      </c>
      <c r="G81">
        <v>9.0122579086466398E-2</v>
      </c>
      <c r="H81">
        <v>2E+20</v>
      </c>
      <c r="I81">
        <v>0</v>
      </c>
      <c r="J81">
        <v>2</v>
      </c>
      <c r="K81">
        <v>0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30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2.3455432883242699E-2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0.18892160918798101</v>
      </c>
      <c r="U81">
        <f>IF((ContinuousStatsTable[[#This Row],[RepsRequested]]&gt;1),ContinuousStatsTable[[#This Row],[HalfWidth]],ContinuousStatsTable[[#This Row],[BatchMeansHalfWidth]])</f>
        <v>1.4090258842664636E-2</v>
      </c>
    </row>
    <row r="82" spans="1:21" x14ac:dyDescent="0.3">
      <c r="A82" t="s">
        <v>66</v>
      </c>
      <c r="B82" t="s">
        <v>68</v>
      </c>
      <c r="C82">
        <v>17</v>
      </c>
      <c r="D82" t="s">
        <v>69</v>
      </c>
      <c r="E82" t="s">
        <v>80</v>
      </c>
      <c r="F82" t="s">
        <v>71</v>
      </c>
      <c r="G82">
        <v>0.56341365017616996</v>
      </c>
      <c r="H82">
        <v>2E+20</v>
      </c>
      <c r="I82">
        <v>0</v>
      </c>
      <c r="J82">
        <v>5</v>
      </c>
      <c r="K82">
        <v>1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30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0.51620715055831201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0.96520009407777796</v>
      </c>
      <c r="U82">
        <f>IF((ContinuousStatsTable[[#This Row],[RepsRequested]]&gt;1),ContinuousStatsTable[[#This Row],[HalfWidth]],ContinuousStatsTable[[#This Row],[BatchMeansHalfWidth]])</f>
        <v>4.1935412470375577E-2</v>
      </c>
    </row>
    <row r="83" spans="1:21" x14ac:dyDescent="0.3">
      <c r="A83" t="s">
        <v>66</v>
      </c>
      <c r="B83" t="s">
        <v>68</v>
      </c>
      <c r="C83">
        <v>17</v>
      </c>
      <c r="D83" t="s">
        <v>81</v>
      </c>
      <c r="E83" t="s">
        <v>82</v>
      </c>
      <c r="F83" t="s">
        <v>83</v>
      </c>
      <c r="G83">
        <v>0.260547287284498</v>
      </c>
      <c r="H83">
        <v>2E+20</v>
      </c>
      <c r="I83">
        <v>0</v>
      </c>
      <c r="J83">
        <v>1</v>
      </c>
      <c r="K83">
        <v>0.5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30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0.24637585883753399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0.43753875749565602</v>
      </c>
      <c r="U83">
        <f>IF((ContinuousStatsTable[[#This Row],[RepsRequested]]&gt;1),ContinuousStatsTable[[#This Row],[HalfWidth]],ContinuousStatsTable[[#This Row],[BatchMeansHalfWidth]])</f>
        <v>1.6917101501813702E-2</v>
      </c>
    </row>
    <row r="84" spans="1:21" x14ac:dyDescent="0.3">
      <c r="A84" t="s">
        <v>66</v>
      </c>
      <c r="B84" t="s">
        <v>68</v>
      </c>
      <c r="C84">
        <v>17</v>
      </c>
      <c r="D84" t="s">
        <v>81</v>
      </c>
      <c r="E84" t="s">
        <v>84</v>
      </c>
      <c r="F84" t="s">
        <v>83</v>
      </c>
      <c r="G84">
        <v>0.52109457456899599</v>
      </c>
      <c r="H84">
        <v>2E+20</v>
      </c>
      <c r="I84">
        <v>0</v>
      </c>
      <c r="J84">
        <v>2</v>
      </c>
      <c r="K84">
        <v>1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30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0.49275171767506898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0.87507751499131203</v>
      </c>
      <c r="U84">
        <f>IF((ContinuousStatsTable[[#This Row],[RepsRequested]]&gt;1),ContinuousStatsTable[[#This Row],[HalfWidth]],ContinuousStatsTable[[#This Row],[BatchMeansHalfWidth]])</f>
        <v>3.3834203003627404E-2</v>
      </c>
    </row>
    <row r="85" spans="1:21" x14ac:dyDescent="0.3">
      <c r="A85" t="s">
        <v>66</v>
      </c>
      <c r="B85" t="s">
        <v>68</v>
      </c>
      <c r="C85">
        <v>17</v>
      </c>
      <c r="D85" t="s">
        <v>81</v>
      </c>
      <c r="E85" t="s">
        <v>85</v>
      </c>
      <c r="F85" t="s">
        <v>83</v>
      </c>
      <c r="G85">
        <v>2</v>
      </c>
      <c r="H85">
        <v>2E+20</v>
      </c>
      <c r="I85">
        <v>2</v>
      </c>
      <c r="J85">
        <v>2</v>
      </c>
      <c r="K85">
        <v>2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30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2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2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2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3">
      <c r="A86" t="s">
        <v>66</v>
      </c>
      <c r="B86" t="s">
        <v>68</v>
      </c>
      <c r="C86">
        <v>17</v>
      </c>
      <c r="D86" t="s">
        <v>77</v>
      </c>
      <c r="E86" t="s">
        <v>86</v>
      </c>
      <c r="F86" t="s">
        <v>79</v>
      </c>
      <c r="G86">
        <v>4.23190756071741E-2</v>
      </c>
      <c r="H86">
        <v>2E+20</v>
      </c>
      <c r="I86">
        <v>0</v>
      </c>
      <c r="J86">
        <v>3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30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2.3455432883242699E-2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0.18892160918798101</v>
      </c>
      <c r="U86">
        <f>IF((ContinuousStatsTable[[#This Row],[RepsRequested]]&gt;1),ContinuousStatsTable[[#This Row],[HalfWidth]],ContinuousStatsTable[[#This Row],[BatchMeansHalfWidth]])</f>
        <v>1.4090258842664636E-2</v>
      </c>
    </row>
    <row r="87" spans="1:21" x14ac:dyDescent="0.3">
      <c r="A87" t="s">
        <v>66</v>
      </c>
      <c r="B87" t="s">
        <v>68</v>
      </c>
      <c r="C87">
        <v>18</v>
      </c>
      <c r="D87" t="s">
        <v>69</v>
      </c>
      <c r="E87" t="s">
        <v>80</v>
      </c>
      <c r="F87" t="s">
        <v>71</v>
      </c>
      <c r="G87">
        <v>0.95209508466359205</v>
      </c>
      <c r="H87">
        <v>2E+20</v>
      </c>
      <c r="I87">
        <v>0</v>
      </c>
      <c r="J87">
        <v>5</v>
      </c>
      <c r="K87">
        <v>2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30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0.51620715055831201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0.96520009407777796</v>
      </c>
      <c r="U87">
        <f>IF((ContinuousStatsTable[[#This Row],[RepsRequested]]&gt;1),ContinuousStatsTable[[#This Row],[HalfWidth]],ContinuousStatsTable[[#This Row],[BatchMeansHalfWidth]])</f>
        <v>4.1935412470375577E-2</v>
      </c>
    </row>
    <row r="88" spans="1:21" x14ac:dyDescent="0.3">
      <c r="A88" t="s">
        <v>66</v>
      </c>
      <c r="B88" t="s">
        <v>68</v>
      </c>
      <c r="C88">
        <v>18</v>
      </c>
      <c r="D88" t="s">
        <v>81</v>
      </c>
      <c r="E88" t="s">
        <v>82</v>
      </c>
      <c r="F88" t="s">
        <v>83</v>
      </c>
      <c r="G88">
        <v>0.43600870849824802</v>
      </c>
      <c r="H88">
        <v>2E+20</v>
      </c>
      <c r="I88">
        <v>0</v>
      </c>
      <c r="J88">
        <v>1</v>
      </c>
      <c r="K88">
        <v>1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30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0.24637585883753399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0.43753875749565602</v>
      </c>
      <c r="U88">
        <f>IF((ContinuousStatsTable[[#This Row],[RepsRequested]]&gt;1),ContinuousStatsTable[[#This Row],[HalfWidth]],ContinuousStatsTable[[#This Row],[BatchMeansHalfWidth]])</f>
        <v>1.6917101501813702E-2</v>
      </c>
    </row>
    <row r="89" spans="1:21" x14ac:dyDescent="0.3">
      <c r="A89" t="s">
        <v>66</v>
      </c>
      <c r="B89" t="s">
        <v>68</v>
      </c>
      <c r="C89">
        <v>18</v>
      </c>
      <c r="D89" t="s">
        <v>81</v>
      </c>
      <c r="E89" t="s">
        <v>84</v>
      </c>
      <c r="F89" t="s">
        <v>83</v>
      </c>
      <c r="G89">
        <v>0.87201741699649704</v>
      </c>
      <c r="H89">
        <v>2E+20</v>
      </c>
      <c r="I89">
        <v>0</v>
      </c>
      <c r="J89">
        <v>2</v>
      </c>
      <c r="K89">
        <v>2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30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0.49275171767506898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0.87507751499131203</v>
      </c>
      <c r="U89">
        <f>IF((ContinuousStatsTable[[#This Row],[RepsRequested]]&gt;1),ContinuousStatsTable[[#This Row],[HalfWidth]],ContinuousStatsTable[[#This Row],[BatchMeansHalfWidth]])</f>
        <v>3.3834203003627404E-2</v>
      </c>
    </row>
    <row r="90" spans="1:21" x14ac:dyDescent="0.3">
      <c r="A90" t="s">
        <v>66</v>
      </c>
      <c r="B90" t="s">
        <v>68</v>
      </c>
      <c r="C90">
        <v>18</v>
      </c>
      <c r="D90" t="s">
        <v>81</v>
      </c>
      <c r="E90" t="s">
        <v>85</v>
      </c>
      <c r="F90" t="s">
        <v>83</v>
      </c>
      <c r="G90">
        <v>2</v>
      </c>
      <c r="H90">
        <v>2E+20</v>
      </c>
      <c r="I90">
        <v>2</v>
      </c>
      <c r="J90">
        <v>2</v>
      </c>
      <c r="K90">
        <v>2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30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2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2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2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3">
      <c r="A91" t="s">
        <v>66</v>
      </c>
      <c r="B91" t="s">
        <v>68</v>
      </c>
      <c r="C91">
        <v>18</v>
      </c>
      <c r="D91" t="s">
        <v>77</v>
      </c>
      <c r="E91" t="s">
        <v>86</v>
      </c>
      <c r="F91" t="s">
        <v>79</v>
      </c>
      <c r="G91">
        <v>8.0077667667095301E-2</v>
      </c>
      <c r="H91">
        <v>2E+20</v>
      </c>
      <c r="I91">
        <v>0</v>
      </c>
      <c r="J91">
        <v>3</v>
      </c>
      <c r="K91">
        <v>0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30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2.3455432883242699E-2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0.18892160918798101</v>
      </c>
      <c r="U91">
        <f>IF((ContinuousStatsTable[[#This Row],[RepsRequested]]&gt;1),ContinuousStatsTable[[#This Row],[HalfWidth]],ContinuousStatsTable[[#This Row],[BatchMeansHalfWidth]])</f>
        <v>1.4090258842664636E-2</v>
      </c>
    </row>
    <row r="92" spans="1:21" x14ac:dyDescent="0.3">
      <c r="A92" t="s">
        <v>66</v>
      </c>
      <c r="B92" t="s">
        <v>68</v>
      </c>
      <c r="C92">
        <v>19</v>
      </c>
      <c r="D92" t="s">
        <v>69</v>
      </c>
      <c r="E92" t="s">
        <v>80</v>
      </c>
      <c r="F92" t="s">
        <v>71</v>
      </c>
      <c r="G92">
        <v>0.76657378363131801</v>
      </c>
      <c r="H92">
        <v>2E+20</v>
      </c>
      <c r="I92">
        <v>0</v>
      </c>
      <c r="J92">
        <v>5</v>
      </c>
      <c r="K92">
        <v>0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30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0.51620715055831201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0.96520009407777796</v>
      </c>
      <c r="U92">
        <f>IF((ContinuousStatsTable[[#This Row],[RepsRequested]]&gt;1),ContinuousStatsTable[[#This Row],[HalfWidth]],ContinuousStatsTable[[#This Row],[BatchMeansHalfWidth]])</f>
        <v>4.1935412470375577E-2</v>
      </c>
    </row>
    <row r="93" spans="1:21" x14ac:dyDescent="0.3">
      <c r="A93" t="s">
        <v>66</v>
      </c>
      <c r="B93" t="s">
        <v>68</v>
      </c>
      <c r="C93">
        <v>19</v>
      </c>
      <c r="D93" t="s">
        <v>81</v>
      </c>
      <c r="E93" t="s">
        <v>82</v>
      </c>
      <c r="F93" t="s">
        <v>83</v>
      </c>
      <c r="G93">
        <v>0.34128185232251301</v>
      </c>
      <c r="H93">
        <v>2E+20</v>
      </c>
      <c r="I93">
        <v>0</v>
      </c>
      <c r="J93">
        <v>1</v>
      </c>
      <c r="K93">
        <v>0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30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0.24637585883753399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0.43753875749565602</v>
      </c>
      <c r="U93">
        <f>IF((ContinuousStatsTable[[#This Row],[RepsRequested]]&gt;1),ContinuousStatsTable[[#This Row],[HalfWidth]],ContinuousStatsTable[[#This Row],[BatchMeansHalfWidth]])</f>
        <v>1.6917101501813702E-2</v>
      </c>
    </row>
    <row r="94" spans="1:21" x14ac:dyDescent="0.3">
      <c r="A94" t="s">
        <v>66</v>
      </c>
      <c r="B94" t="s">
        <v>68</v>
      </c>
      <c r="C94">
        <v>19</v>
      </c>
      <c r="D94" t="s">
        <v>81</v>
      </c>
      <c r="E94" t="s">
        <v>84</v>
      </c>
      <c r="F94" t="s">
        <v>83</v>
      </c>
      <c r="G94">
        <v>0.68256370464502603</v>
      </c>
      <c r="H94">
        <v>2E+20</v>
      </c>
      <c r="I94">
        <v>0</v>
      </c>
      <c r="J94">
        <v>2</v>
      </c>
      <c r="K94">
        <v>0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30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0.49275171767506898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0.87507751499131203</v>
      </c>
      <c r="U94">
        <f>IF((ContinuousStatsTable[[#This Row],[RepsRequested]]&gt;1),ContinuousStatsTable[[#This Row],[HalfWidth]],ContinuousStatsTable[[#This Row],[BatchMeansHalfWidth]])</f>
        <v>3.3834203003627404E-2</v>
      </c>
    </row>
    <row r="95" spans="1:21" x14ac:dyDescent="0.3">
      <c r="A95" t="s">
        <v>66</v>
      </c>
      <c r="B95" t="s">
        <v>68</v>
      </c>
      <c r="C95">
        <v>19</v>
      </c>
      <c r="D95" t="s">
        <v>81</v>
      </c>
      <c r="E95" t="s">
        <v>85</v>
      </c>
      <c r="F95" t="s">
        <v>83</v>
      </c>
      <c r="G95">
        <v>2</v>
      </c>
      <c r="H95">
        <v>2E+20</v>
      </c>
      <c r="I95">
        <v>2</v>
      </c>
      <c r="J95">
        <v>2</v>
      </c>
      <c r="K95">
        <v>2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30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2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2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2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3">
      <c r="A96" t="s">
        <v>66</v>
      </c>
      <c r="B96" t="s">
        <v>68</v>
      </c>
      <c r="C96">
        <v>19</v>
      </c>
      <c r="D96" t="s">
        <v>77</v>
      </c>
      <c r="E96" t="s">
        <v>86</v>
      </c>
      <c r="F96" t="s">
        <v>79</v>
      </c>
      <c r="G96">
        <v>8.40100789862923E-2</v>
      </c>
      <c r="H96">
        <v>2E+20</v>
      </c>
      <c r="I96">
        <v>0</v>
      </c>
      <c r="J96">
        <v>3</v>
      </c>
      <c r="K96">
        <v>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30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2.3455432883242699E-2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0.18892160918798101</v>
      </c>
      <c r="U96">
        <f>IF((ContinuousStatsTable[[#This Row],[RepsRequested]]&gt;1),ContinuousStatsTable[[#This Row],[HalfWidth]],ContinuousStatsTable[[#This Row],[BatchMeansHalfWidth]])</f>
        <v>1.4090258842664636E-2</v>
      </c>
    </row>
    <row r="97" spans="1:21" x14ac:dyDescent="0.3">
      <c r="A97" t="s">
        <v>66</v>
      </c>
      <c r="B97" t="s">
        <v>68</v>
      </c>
      <c r="C97">
        <v>20</v>
      </c>
      <c r="D97" t="s">
        <v>69</v>
      </c>
      <c r="E97" t="s">
        <v>80</v>
      </c>
      <c r="F97" t="s">
        <v>71</v>
      </c>
      <c r="G97">
        <v>0.61956264985488796</v>
      </c>
      <c r="H97">
        <v>2E+20</v>
      </c>
      <c r="I97">
        <v>0</v>
      </c>
      <c r="J97">
        <v>4</v>
      </c>
      <c r="K97">
        <v>1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30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0.51620715055831201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0.96520009407777796</v>
      </c>
      <c r="U97">
        <f>IF((ContinuousStatsTable[[#This Row],[RepsRequested]]&gt;1),ContinuousStatsTable[[#This Row],[HalfWidth]],ContinuousStatsTable[[#This Row],[BatchMeansHalfWidth]])</f>
        <v>4.1935412470375577E-2</v>
      </c>
    </row>
    <row r="98" spans="1:21" x14ac:dyDescent="0.3">
      <c r="A98" t="s">
        <v>66</v>
      </c>
      <c r="B98" t="s">
        <v>68</v>
      </c>
      <c r="C98">
        <v>20</v>
      </c>
      <c r="D98" t="s">
        <v>81</v>
      </c>
      <c r="E98" t="s">
        <v>82</v>
      </c>
      <c r="F98" t="s">
        <v>83</v>
      </c>
      <c r="G98">
        <v>0.29353894592413499</v>
      </c>
      <c r="H98">
        <v>2E+20</v>
      </c>
      <c r="I98">
        <v>0</v>
      </c>
      <c r="J98">
        <v>1</v>
      </c>
      <c r="K98">
        <v>0.5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30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0.24637585883753399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0.43753875749565602</v>
      </c>
      <c r="U98">
        <f>IF((ContinuousStatsTable[[#This Row],[RepsRequested]]&gt;1),ContinuousStatsTable[[#This Row],[HalfWidth]],ContinuousStatsTable[[#This Row],[BatchMeansHalfWidth]])</f>
        <v>1.6917101501813702E-2</v>
      </c>
    </row>
    <row r="99" spans="1:21" x14ac:dyDescent="0.3">
      <c r="A99" t="s">
        <v>66</v>
      </c>
      <c r="B99" t="s">
        <v>68</v>
      </c>
      <c r="C99">
        <v>20</v>
      </c>
      <c r="D99" t="s">
        <v>81</v>
      </c>
      <c r="E99" t="s">
        <v>84</v>
      </c>
      <c r="F99" t="s">
        <v>83</v>
      </c>
      <c r="G99">
        <v>0.58707789184827097</v>
      </c>
      <c r="H99">
        <v>2E+20</v>
      </c>
      <c r="I99">
        <v>0</v>
      </c>
      <c r="J99">
        <v>2</v>
      </c>
      <c r="K99">
        <v>1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30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0.49275171767506898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0.87507751499131203</v>
      </c>
      <c r="U99">
        <f>IF((ContinuousStatsTable[[#This Row],[RepsRequested]]&gt;1),ContinuousStatsTable[[#This Row],[HalfWidth]],ContinuousStatsTable[[#This Row],[BatchMeansHalfWidth]])</f>
        <v>3.3834203003627404E-2</v>
      </c>
    </row>
    <row r="100" spans="1:21" x14ac:dyDescent="0.3">
      <c r="A100" t="s">
        <v>66</v>
      </c>
      <c r="B100" t="s">
        <v>68</v>
      </c>
      <c r="C100">
        <v>20</v>
      </c>
      <c r="D100" t="s">
        <v>81</v>
      </c>
      <c r="E100" t="s">
        <v>85</v>
      </c>
      <c r="F100" t="s">
        <v>83</v>
      </c>
      <c r="G100">
        <v>2</v>
      </c>
      <c r="H100">
        <v>2E+20</v>
      </c>
      <c r="I100">
        <v>2</v>
      </c>
      <c r="J100">
        <v>2</v>
      </c>
      <c r="K100">
        <v>2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30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2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2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2</v>
      </c>
      <c r="U100">
        <f>IF((ContinuousStatsTable[[#This Row],[RepsRequested]]&gt;1),ContinuousStatsTable[[#This Row],[HalfWidth]],ContinuousStatsTable[[#This Row],[BatchMeansHalfWidth]])</f>
        <v>0</v>
      </c>
    </row>
    <row r="101" spans="1:21" x14ac:dyDescent="0.3">
      <c r="A101" t="s">
        <v>66</v>
      </c>
      <c r="B101" t="s">
        <v>68</v>
      </c>
      <c r="C101">
        <v>20</v>
      </c>
      <c r="D101" t="s">
        <v>77</v>
      </c>
      <c r="E101" t="s">
        <v>86</v>
      </c>
      <c r="F101" t="s">
        <v>79</v>
      </c>
      <c r="G101">
        <v>3.2484758006617098E-2</v>
      </c>
      <c r="H101">
        <v>2E+20</v>
      </c>
      <c r="I101">
        <v>0</v>
      </c>
      <c r="J101">
        <v>2</v>
      </c>
      <c r="K101">
        <v>0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30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2.3455432883242699E-2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0.18892160918798101</v>
      </c>
      <c r="U101">
        <f>IF((ContinuousStatsTable[[#This Row],[RepsRequested]]&gt;1),ContinuousStatsTable[[#This Row],[HalfWidth]],ContinuousStatsTable[[#This Row],[BatchMeansHalfWidth]])</f>
        <v>1.4090258842664636E-2</v>
      </c>
    </row>
    <row r="102" spans="1:21" x14ac:dyDescent="0.3">
      <c r="A102" t="s">
        <v>66</v>
      </c>
      <c r="B102" t="s">
        <v>68</v>
      </c>
      <c r="C102">
        <v>21</v>
      </c>
      <c r="D102" t="s">
        <v>69</v>
      </c>
      <c r="E102" t="s">
        <v>80</v>
      </c>
      <c r="F102" t="s">
        <v>71</v>
      </c>
      <c r="G102">
        <v>0.71390589229434798</v>
      </c>
      <c r="H102">
        <v>2E+20</v>
      </c>
      <c r="I102">
        <v>0</v>
      </c>
      <c r="J102">
        <v>6</v>
      </c>
      <c r="K102">
        <v>0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30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0.51620715055831201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0.96520009407777796</v>
      </c>
      <c r="U102">
        <f>IF((ContinuousStatsTable[[#This Row],[RepsRequested]]&gt;1),ContinuousStatsTable[[#This Row],[HalfWidth]],ContinuousStatsTable[[#This Row],[BatchMeansHalfWidth]])</f>
        <v>4.1935412470375577E-2</v>
      </c>
    </row>
    <row r="103" spans="1:21" x14ac:dyDescent="0.3">
      <c r="A103" t="s">
        <v>66</v>
      </c>
      <c r="B103" t="s">
        <v>68</v>
      </c>
      <c r="C103">
        <v>21</v>
      </c>
      <c r="D103" t="s">
        <v>81</v>
      </c>
      <c r="E103" t="s">
        <v>82</v>
      </c>
      <c r="F103" t="s">
        <v>83</v>
      </c>
      <c r="G103">
        <v>0.312032872940396</v>
      </c>
      <c r="H103">
        <v>2E+20</v>
      </c>
      <c r="I103">
        <v>0</v>
      </c>
      <c r="J103">
        <v>1</v>
      </c>
      <c r="K103">
        <v>0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30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0.24637585883753399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0.43753875749565602</v>
      </c>
      <c r="U103">
        <f>IF((ContinuousStatsTable[[#This Row],[RepsRequested]]&gt;1),ContinuousStatsTable[[#This Row],[HalfWidth]],ContinuousStatsTable[[#This Row],[BatchMeansHalfWidth]])</f>
        <v>1.6917101501813702E-2</v>
      </c>
    </row>
    <row r="104" spans="1:21" x14ac:dyDescent="0.3">
      <c r="A104" t="s">
        <v>66</v>
      </c>
      <c r="B104" t="s">
        <v>68</v>
      </c>
      <c r="C104">
        <v>21</v>
      </c>
      <c r="D104" t="s">
        <v>81</v>
      </c>
      <c r="E104" t="s">
        <v>84</v>
      </c>
      <c r="F104" t="s">
        <v>83</v>
      </c>
      <c r="G104">
        <v>0.624065745880791</v>
      </c>
      <c r="H104">
        <v>2E+20</v>
      </c>
      <c r="I104">
        <v>0</v>
      </c>
      <c r="J104">
        <v>2</v>
      </c>
      <c r="K104">
        <v>0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30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0.49275171767506898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0.87507751499131203</v>
      </c>
      <c r="U104">
        <f>IF((ContinuousStatsTable[[#This Row],[RepsRequested]]&gt;1),ContinuousStatsTable[[#This Row],[HalfWidth]],ContinuousStatsTable[[#This Row],[BatchMeansHalfWidth]])</f>
        <v>3.3834203003627404E-2</v>
      </c>
    </row>
    <row r="105" spans="1:21" x14ac:dyDescent="0.3">
      <c r="A105" t="s">
        <v>66</v>
      </c>
      <c r="B105" t="s">
        <v>68</v>
      </c>
      <c r="C105">
        <v>21</v>
      </c>
      <c r="D105" t="s">
        <v>81</v>
      </c>
      <c r="E105" t="s">
        <v>85</v>
      </c>
      <c r="F105" t="s">
        <v>83</v>
      </c>
      <c r="G105">
        <v>2</v>
      </c>
      <c r="H105">
        <v>2E+20</v>
      </c>
      <c r="I105">
        <v>2</v>
      </c>
      <c r="J105">
        <v>2</v>
      </c>
      <c r="K105">
        <v>2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30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2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2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2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3">
      <c r="A106" t="s">
        <v>66</v>
      </c>
      <c r="B106" t="s">
        <v>68</v>
      </c>
      <c r="C106">
        <v>21</v>
      </c>
      <c r="D106" t="s">
        <v>77</v>
      </c>
      <c r="E106" t="s">
        <v>86</v>
      </c>
      <c r="F106" t="s">
        <v>79</v>
      </c>
      <c r="G106">
        <v>8.9840146413556907E-2</v>
      </c>
      <c r="H106">
        <v>2E+20</v>
      </c>
      <c r="I106">
        <v>0</v>
      </c>
      <c r="J106">
        <v>4</v>
      </c>
      <c r="K106">
        <v>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30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2.3455432883242699E-2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0.18892160918798101</v>
      </c>
      <c r="U106">
        <f>IF((ContinuousStatsTable[[#This Row],[RepsRequested]]&gt;1),ContinuousStatsTable[[#This Row],[HalfWidth]],ContinuousStatsTable[[#This Row],[BatchMeansHalfWidth]])</f>
        <v>1.4090258842664636E-2</v>
      </c>
    </row>
    <row r="107" spans="1:21" x14ac:dyDescent="0.3">
      <c r="A107" t="s">
        <v>66</v>
      </c>
      <c r="B107" t="s">
        <v>68</v>
      </c>
      <c r="C107">
        <v>22</v>
      </c>
      <c r="D107" t="s">
        <v>69</v>
      </c>
      <c r="E107" t="s">
        <v>80</v>
      </c>
      <c r="F107" t="s">
        <v>71</v>
      </c>
      <c r="G107">
        <v>0.95342509147659205</v>
      </c>
      <c r="H107">
        <v>2E+20</v>
      </c>
      <c r="I107">
        <v>0</v>
      </c>
      <c r="J107">
        <v>6</v>
      </c>
      <c r="K107">
        <v>0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30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0.51620715055831201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0.96520009407777796</v>
      </c>
      <c r="U107">
        <f>IF((ContinuousStatsTable[[#This Row],[RepsRequested]]&gt;1),ContinuousStatsTable[[#This Row],[HalfWidth]],ContinuousStatsTable[[#This Row],[BatchMeansHalfWidth]])</f>
        <v>4.1935412470375577E-2</v>
      </c>
    </row>
    <row r="108" spans="1:21" x14ac:dyDescent="0.3">
      <c r="A108" t="s">
        <v>66</v>
      </c>
      <c r="B108" t="s">
        <v>68</v>
      </c>
      <c r="C108">
        <v>22</v>
      </c>
      <c r="D108" t="s">
        <v>81</v>
      </c>
      <c r="E108" t="s">
        <v>82</v>
      </c>
      <c r="F108" t="s">
        <v>83</v>
      </c>
      <c r="G108">
        <v>0.39603896182558501</v>
      </c>
      <c r="H108">
        <v>2E+20</v>
      </c>
      <c r="I108">
        <v>0</v>
      </c>
      <c r="J108">
        <v>1</v>
      </c>
      <c r="K108">
        <v>0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30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0.24637585883753399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0.43753875749565602</v>
      </c>
      <c r="U108">
        <f>IF((ContinuousStatsTable[[#This Row],[RepsRequested]]&gt;1),ContinuousStatsTable[[#This Row],[HalfWidth]],ContinuousStatsTable[[#This Row],[BatchMeansHalfWidth]])</f>
        <v>1.6917101501813702E-2</v>
      </c>
    </row>
    <row r="109" spans="1:21" x14ac:dyDescent="0.3">
      <c r="A109" t="s">
        <v>66</v>
      </c>
      <c r="B109" t="s">
        <v>68</v>
      </c>
      <c r="C109">
        <v>22</v>
      </c>
      <c r="D109" t="s">
        <v>81</v>
      </c>
      <c r="E109" t="s">
        <v>84</v>
      </c>
      <c r="F109" t="s">
        <v>83</v>
      </c>
      <c r="G109">
        <v>0.79207792365117102</v>
      </c>
      <c r="H109">
        <v>2E+20</v>
      </c>
      <c r="I109">
        <v>0</v>
      </c>
      <c r="J109">
        <v>2</v>
      </c>
      <c r="K109">
        <v>0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30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0.49275171767506898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0.87507751499131203</v>
      </c>
      <c r="U109">
        <f>IF((ContinuousStatsTable[[#This Row],[RepsRequested]]&gt;1),ContinuousStatsTable[[#This Row],[HalfWidth]],ContinuousStatsTable[[#This Row],[BatchMeansHalfWidth]])</f>
        <v>3.3834203003627404E-2</v>
      </c>
    </row>
    <row r="110" spans="1:21" x14ac:dyDescent="0.3">
      <c r="A110" t="s">
        <v>66</v>
      </c>
      <c r="B110" t="s">
        <v>68</v>
      </c>
      <c r="C110">
        <v>22</v>
      </c>
      <c r="D110" t="s">
        <v>81</v>
      </c>
      <c r="E110" t="s">
        <v>85</v>
      </c>
      <c r="F110" t="s">
        <v>83</v>
      </c>
      <c r="G110">
        <v>2</v>
      </c>
      <c r="H110">
        <v>2E+20</v>
      </c>
      <c r="I110">
        <v>2</v>
      </c>
      <c r="J110">
        <v>2</v>
      </c>
      <c r="K110">
        <v>2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30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2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2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2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3">
      <c r="A111" t="s">
        <v>66</v>
      </c>
      <c r="B111" t="s">
        <v>68</v>
      </c>
      <c r="C111">
        <v>22</v>
      </c>
      <c r="D111" t="s">
        <v>77</v>
      </c>
      <c r="E111" t="s">
        <v>86</v>
      </c>
      <c r="F111" t="s">
        <v>79</v>
      </c>
      <c r="G111">
        <v>0.16134716782542199</v>
      </c>
      <c r="H111">
        <v>2E+20</v>
      </c>
      <c r="I111">
        <v>0</v>
      </c>
      <c r="J111">
        <v>4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30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2.3455432883242699E-2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0.18892160918798101</v>
      </c>
      <c r="U111">
        <f>IF((ContinuousStatsTable[[#This Row],[RepsRequested]]&gt;1),ContinuousStatsTable[[#This Row],[HalfWidth]],ContinuousStatsTable[[#This Row],[BatchMeansHalfWidth]])</f>
        <v>1.4090258842664636E-2</v>
      </c>
    </row>
    <row r="112" spans="1:21" x14ac:dyDescent="0.3">
      <c r="A112" t="s">
        <v>66</v>
      </c>
      <c r="B112" t="s">
        <v>68</v>
      </c>
      <c r="C112">
        <v>23</v>
      </c>
      <c r="D112" t="s">
        <v>69</v>
      </c>
      <c r="E112" t="s">
        <v>80</v>
      </c>
      <c r="F112" t="s">
        <v>71</v>
      </c>
      <c r="G112">
        <v>0.70089217055984498</v>
      </c>
      <c r="H112">
        <v>2E+20</v>
      </c>
      <c r="I112">
        <v>0</v>
      </c>
      <c r="J112">
        <v>4</v>
      </c>
      <c r="K112">
        <v>0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30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0.51620715055831201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0.96520009407777796</v>
      </c>
      <c r="U112">
        <f>IF((ContinuousStatsTable[[#This Row],[RepsRequested]]&gt;1),ContinuousStatsTable[[#This Row],[HalfWidth]],ContinuousStatsTable[[#This Row],[BatchMeansHalfWidth]])</f>
        <v>4.1935412470375577E-2</v>
      </c>
    </row>
    <row r="113" spans="1:21" x14ac:dyDescent="0.3">
      <c r="A113" t="s">
        <v>66</v>
      </c>
      <c r="B113" t="s">
        <v>68</v>
      </c>
      <c r="C113">
        <v>23</v>
      </c>
      <c r="D113" t="s">
        <v>81</v>
      </c>
      <c r="E113" t="s">
        <v>82</v>
      </c>
      <c r="F113" t="s">
        <v>83</v>
      </c>
      <c r="G113">
        <v>0.31864533215706398</v>
      </c>
      <c r="H113">
        <v>2E+20</v>
      </c>
      <c r="I113">
        <v>0</v>
      </c>
      <c r="J113">
        <v>1</v>
      </c>
      <c r="K113">
        <v>0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30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0.24637585883753399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0.43753875749565602</v>
      </c>
      <c r="U113">
        <f>IF((ContinuousStatsTable[[#This Row],[RepsRequested]]&gt;1),ContinuousStatsTable[[#This Row],[HalfWidth]],ContinuousStatsTable[[#This Row],[BatchMeansHalfWidth]])</f>
        <v>1.6917101501813702E-2</v>
      </c>
    </row>
    <row r="114" spans="1:21" x14ac:dyDescent="0.3">
      <c r="A114" t="s">
        <v>66</v>
      </c>
      <c r="B114" t="s">
        <v>68</v>
      </c>
      <c r="C114">
        <v>23</v>
      </c>
      <c r="D114" t="s">
        <v>81</v>
      </c>
      <c r="E114" t="s">
        <v>84</v>
      </c>
      <c r="F114" t="s">
        <v>83</v>
      </c>
      <c r="G114">
        <v>0.63729066431412695</v>
      </c>
      <c r="H114">
        <v>2E+20</v>
      </c>
      <c r="I114">
        <v>0</v>
      </c>
      <c r="J114">
        <v>2</v>
      </c>
      <c r="K114">
        <v>0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30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0.49275171767506898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0.87507751499131203</v>
      </c>
      <c r="U114">
        <f>IF((ContinuousStatsTable[[#This Row],[RepsRequested]]&gt;1),ContinuousStatsTable[[#This Row],[HalfWidth]],ContinuousStatsTable[[#This Row],[BatchMeansHalfWidth]])</f>
        <v>3.3834203003627404E-2</v>
      </c>
    </row>
    <row r="115" spans="1:21" x14ac:dyDescent="0.3">
      <c r="A115" t="s">
        <v>66</v>
      </c>
      <c r="B115" t="s">
        <v>68</v>
      </c>
      <c r="C115">
        <v>23</v>
      </c>
      <c r="D115" t="s">
        <v>81</v>
      </c>
      <c r="E115" t="s">
        <v>85</v>
      </c>
      <c r="F115" t="s">
        <v>83</v>
      </c>
      <c r="G115">
        <v>2</v>
      </c>
      <c r="H115">
        <v>2E+20</v>
      </c>
      <c r="I115">
        <v>2</v>
      </c>
      <c r="J115">
        <v>2</v>
      </c>
      <c r="K115">
        <v>2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30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2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2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2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3">
      <c r="A116" t="s">
        <v>66</v>
      </c>
      <c r="B116" t="s">
        <v>68</v>
      </c>
      <c r="C116">
        <v>23</v>
      </c>
      <c r="D116" t="s">
        <v>77</v>
      </c>
      <c r="E116" t="s">
        <v>86</v>
      </c>
      <c r="F116" t="s">
        <v>79</v>
      </c>
      <c r="G116">
        <v>6.3601506245719003E-2</v>
      </c>
      <c r="H116">
        <v>2E+20</v>
      </c>
      <c r="I116">
        <v>0</v>
      </c>
      <c r="J116">
        <v>2</v>
      </c>
      <c r="K116">
        <v>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30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2.3455432883242699E-2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0.18892160918798101</v>
      </c>
      <c r="U116">
        <f>IF((ContinuousStatsTable[[#This Row],[RepsRequested]]&gt;1),ContinuousStatsTable[[#This Row],[HalfWidth]],ContinuousStatsTable[[#This Row],[BatchMeansHalfWidth]])</f>
        <v>1.4090258842664636E-2</v>
      </c>
    </row>
    <row r="117" spans="1:21" x14ac:dyDescent="0.3">
      <c r="A117" t="s">
        <v>66</v>
      </c>
      <c r="B117" t="s">
        <v>68</v>
      </c>
      <c r="C117">
        <v>24</v>
      </c>
      <c r="D117" t="s">
        <v>69</v>
      </c>
      <c r="E117" t="s">
        <v>80</v>
      </c>
      <c r="F117" t="s">
        <v>71</v>
      </c>
      <c r="G117">
        <v>0.72374908289668405</v>
      </c>
      <c r="H117">
        <v>2E+20</v>
      </c>
      <c r="I117">
        <v>0</v>
      </c>
      <c r="J117">
        <v>4</v>
      </c>
      <c r="K117">
        <v>0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30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0.51620715055831201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0.96520009407777796</v>
      </c>
      <c r="U117">
        <f>IF((ContinuousStatsTable[[#This Row],[RepsRequested]]&gt;1),ContinuousStatsTable[[#This Row],[HalfWidth]],ContinuousStatsTable[[#This Row],[BatchMeansHalfWidth]])</f>
        <v>4.1935412470375577E-2</v>
      </c>
    </row>
    <row r="118" spans="1:21" x14ac:dyDescent="0.3">
      <c r="A118" t="s">
        <v>66</v>
      </c>
      <c r="B118" t="s">
        <v>68</v>
      </c>
      <c r="C118">
        <v>24</v>
      </c>
      <c r="D118" t="s">
        <v>81</v>
      </c>
      <c r="E118" t="s">
        <v>82</v>
      </c>
      <c r="F118" t="s">
        <v>83</v>
      </c>
      <c r="G118">
        <v>0.32507361550254599</v>
      </c>
      <c r="H118">
        <v>2E+20</v>
      </c>
      <c r="I118">
        <v>0</v>
      </c>
      <c r="J118">
        <v>1</v>
      </c>
      <c r="K118">
        <v>0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30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0.24637585883753399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0.43753875749565602</v>
      </c>
      <c r="U118">
        <f>IF((ContinuousStatsTable[[#This Row],[RepsRequested]]&gt;1),ContinuousStatsTable[[#This Row],[HalfWidth]],ContinuousStatsTable[[#This Row],[BatchMeansHalfWidth]])</f>
        <v>1.6917101501813702E-2</v>
      </c>
    </row>
    <row r="119" spans="1:21" x14ac:dyDescent="0.3">
      <c r="A119" t="s">
        <v>66</v>
      </c>
      <c r="B119" t="s">
        <v>68</v>
      </c>
      <c r="C119">
        <v>24</v>
      </c>
      <c r="D119" t="s">
        <v>81</v>
      </c>
      <c r="E119" t="s">
        <v>84</v>
      </c>
      <c r="F119" t="s">
        <v>83</v>
      </c>
      <c r="G119">
        <v>0.65014723100509197</v>
      </c>
      <c r="H119">
        <v>2E+20</v>
      </c>
      <c r="I119">
        <v>0</v>
      </c>
      <c r="J119">
        <v>2</v>
      </c>
      <c r="K119">
        <v>0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30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0.49275171767506898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0.87507751499131203</v>
      </c>
      <c r="U119">
        <f>IF((ContinuousStatsTable[[#This Row],[RepsRequested]]&gt;1),ContinuousStatsTable[[#This Row],[HalfWidth]],ContinuousStatsTable[[#This Row],[BatchMeansHalfWidth]])</f>
        <v>3.3834203003627404E-2</v>
      </c>
    </row>
    <row r="120" spans="1:21" x14ac:dyDescent="0.3">
      <c r="A120" t="s">
        <v>66</v>
      </c>
      <c r="B120" t="s">
        <v>68</v>
      </c>
      <c r="C120">
        <v>24</v>
      </c>
      <c r="D120" t="s">
        <v>81</v>
      </c>
      <c r="E120" t="s">
        <v>85</v>
      </c>
      <c r="F120" t="s">
        <v>83</v>
      </c>
      <c r="G120">
        <v>2</v>
      </c>
      <c r="H120">
        <v>2E+20</v>
      </c>
      <c r="I120">
        <v>2</v>
      </c>
      <c r="J120">
        <v>2</v>
      </c>
      <c r="K120">
        <v>2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30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2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2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2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3">
      <c r="A121" t="s">
        <v>66</v>
      </c>
      <c r="B121" t="s">
        <v>68</v>
      </c>
      <c r="C121">
        <v>24</v>
      </c>
      <c r="D121" t="s">
        <v>77</v>
      </c>
      <c r="E121" t="s">
        <v>86</v>
      </c>
      <c r="F121" t="s">
        <v>79</v>
      </c>
      <c r="G121">
        <v>7.3601851891592004E-2</v>
      </c>
      <c r="H121">
        <v>2E+20</v>
      </c>
      <c r="I121">
        <v>0</v>
      </c>
      <c r="J121">
        <v>2</v>
      </c>
      <c r="K121">
        <v>0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30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2.3455432883242699E-2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0.18892160918798101</v>
      </c>
      <c r="U121">
        <f>IF((ContinuousStatsTable[[#This Row],[RepsRequested]]&gt;1),ContinuousStatsTable[[#This Row],[HalfWidth]],ContinuousStatsTable[[#This Row],[BatchMeansHalfWidth]])</f>
        <v>1.4090258842664636E-2</v>
      </c>
    </row>
    <row r="122" spans="1:21" x14ac:dyDescent="0.3">
      <c r="A122" t="s">
        <v>66</v>
      </c>
      <c r="B122" t="s">
        <v>68</v>
      </c>
      <c r="C122">
        <v>25</v>
      </c>
      <c r="D122" t="s">
        <v>69</v>
      </c>
      <c r="E122" t="s">
        <v>80</v>
      </c>
      <c r="F122" t="s">
        <v>71</v>
      </c>
      <c r="G122">
        <v>0.69215877092239897</v>
      </c>
      <c r="H122">
        <v>2E+20</v>
      </c>
      <c r="I122">
        <v>0</v>
      </c>
      <c r="J122">
        <v>4</v>
      </c>
      <c r="K122">
        <v>0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30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0.51620715055831201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0.96520009407777796</v>
      </c>
      <c r="U122">
        <f>IF((ContinuousStatsTable[[#This Row],[RepsRequested]]&gt;1),ContinuousStatsTable[[#This Row],[HalfWidth]],ContinuousStatsTable[[#This Row],[BatchMeansHalfWidth]])</f>
        <v>4.1935412470375577E-2</v>
      </c>
    </row>
    <row r="123" spans="1:21" x14ac:dyDescent="0.3">
      <c r="A123" t="s">
        <v>66</v>
      </c>
      <c r="B123" t="s">
        <v>68</v>
      </c>
      <c r="C123">
        <v>25</v>
      </c>
      <c r="D123" t="s">
        <v>81</v>
      </c>
      <c r="E123" t="s">
        <v>82</v>
      </c>
      <c r="F123" t="s">
        <v>83</v>
      </c>
      <c r="G123">
        <v>0.31227866322202602</v>
      </c>
      <c r="H123">
        <v>2E+20</v>
      </c>
      <c r="I123">
        <v>0</v>
      </c>
      <c r="J123">
        <v>1</v>
      </c>
      <c r="K123">
        <v>0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30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0.24637585883753399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0.43753875749565602</v>
      </c>
      <c r="U123">
        <f>IF((ContinuousStatsTable[[#This Row],[RepsRequested]]&gt;1),ContinuousStatsTable[[#This Row],[HalfWidth]],ContinuousStatsTable[[#This Row],[BatchMeansHalfWidth]])</f>
        <v>1.6917101501813702E-2</v>
      </c>
    </row>
    <row r="124" spans="1:21" x14ac:dyDescent="0.3">
      <c r="A124" t="s">
        <v>66</v>
      </c>
      <c r="B124" t="s">
        <v>68</v>
      </c>
      <c r="C124">
        <v>25</v>
      </c>
      <c r="D124" t="s">
        <v>81</v>
      </c>
      <c r="E124" t="s">
        <v>84</v>
      </c>
      <c r="F124" t="s">
        <v>83</v>
      </c>
      <c r="G124">
        <v>0.62455732644405104</v>
      </c>
      <c r="H124">
        <v>2E+20</v>
      </c>
      <c r="I124">
        <v>0</v>
      </c>
      <c r="J124">
        <v>2</v>
      </c>
      <c r="K124">
        <v>0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30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0.49275171767506898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0.87507751499131203</v>
      </c>
      <c r="U124">
        <f>IF((ContinuousStatsTable[[#This Row],[RepsRequested]]&gt;1),ContinuousStatsTable[[#This Row],[HalfWidth]],ContinuousStatsTable[[#This Row],[BatchMeansHalfWidth]])</f>
        <v>3.3834203003627404E-2</v>
      </c>
    </row>
    <row r="125" spans="1:21" x14ac:dyDescent="0.3">
      <c r="A125" t="s">
        <v>66</v>
      </c>
      <c r="B125" t="s">
        <v>68</v>
      </c>
      <c r="C125">
        <v>25</v>
      </c>
      <c r="D125" t="s">
        <v>81</v>
      </c>
      <c r="E125" t="s">
        <v>85</v>
      </c>
      <c r="F125" t="s">
        <v>83</v>
      </c>
      <c r="G125">
        <v>2</v>
      </c>
      <c r="H125">
        <v>2E+20</v>
      </c>
      <c r="I125">
        <v>2</v>
      </c>
      <c r="J125">
        <v>2</v>
      </c>
      <c r="K125">
        <v>2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30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2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2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2</v>
      </c>
      <c r="U125">
        <f>IF((ContinuousStatsTable[[#This Row],[RepsRequested]]&gt;1),ContinuousStatsTable[[#This Row],[HalfWidth]],ContinuousStatsTable[[#This Row],[BatchMeansHalfWidth]])</f>
        <v>0</v>
      </c>
    </row>
    <row r="126" spans="1:21" x14ac:dyDescent="0.3">
      <c r="A126" t="s">
        <v>66</v>
      </c>
      <c r="B126" t="s">
        <v>68</v>
      </c>
      <c r="C126">
        <v>25</v>
      </c>
      <c r="D126" t="s">
        <v>77</v>
      </c>
      <c r="E126" t="s">
        <v>86</v>
      </c>
      <c r="F126" t="s">
        <v>79</v>
      </c>
      <c r="G126">
        <v>6.7601444478348399E-2</v>
      </c>
      <c r="H126">
        <v>2E+20</v>
      </c>
      <c r="I126">
        <v>0</v>
      </c>
      <c r="J126">
        <v>2</v>
      </c>
      <c r="K126">
        <v>0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30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2.3455432883242699E-2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0.18892160918798101</v>
      </c>
      <c r="U126">
        <f>IF((ContinuousStatsTable[[#This Row],[RepsRequested]]&gt;1),ContinuousStatsTable[[#This Row],[HalfWidth]],ContinuousStatsTable[[#This Row],[BatchMeansHalfWidth]])</f>
        <v>1.4090258842664636E-2</v>
      </c>
    </row>
    <row r="127" spans="1:21" x14ac:dyDescent="0.3">
      <c r="A127" t="s">
        <v>66</v>
      </c>
      <c r="B127" t="s">
        <v>68</v>
      </c>
      <c r="C127">
        <v>26</v>
      </c>
      <c r="D127" t="s">
        <v>69</v>
      </c>
      <c r="E127" t="s">
        <v>80</v>
      </c>
      <c r="F127" t="s">
        <v>71</v>
      </c>
      <c r="G127">
        <v>0.86828186312218703</v>
      </c>
      <c r="H127">
        <v>2E+20</v>
      </c>
      <c r="I127">
        <v>0</v>
      </c>
      <c r="J127">
        <v>6</v>
      </c>
      <c r="K127">
        <v>2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30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0.51620715055831201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0.96520009407777796</v>
      </c>
      <c r="U127">
        <f>IF((ContinuousStatsTable[[#This Row],[RepsRequested]]&gt;1),ContinuousStatsTable[[#This Row],[HalfWidth]],ContinuousStatsTable[[#This Row],[BatchMeansHalfWidth]])</f>
        <v>4.1935412470375577E-2</v>
      </c>
    </row>
    <row r="128" spans="1:21" x14ac:dyDescent="0.3">
      <c r="A128" t="s">
        <v>66</v>
      </c>
      <c r="B128" t="s">
        <v>68</v>
      </c>
      <c r="C128">
        <v>26</v>
      </c>
      <c r="D128" t="s">
        <v>81</v>
      </c>
      <c r="E128" t="s">
        <v>82</v>
      </c>
      <c r="F128" t="s">
        <v>83</v>
      </c>
      <c r="G128">
        <v>0.33968012696710298</v>
      </c>
      <c r="H128">
        <v>2E+20</v>
      </c>
      <c r="I128">
        <v>0</v>
      </c>
      <c r="J128">
        <v>1</v>
      </c>
      <c r="K128">
        <v>1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30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0.24637585883753399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0.43753875749565602</v>
      </c>
      <c r="U128">
        <f>IF((ContinuousStatsTable[[#This Row],[RepsRequested]]&gt;1),ContinuousStatsTable[[#This Row],[HalfWidth]],ContinuousStatsTable[[#This Row],[BatchMeansHalfWidth]])</f>
        <v>1.6917101501813702E-2</v>
      </c>
    </row>
    <row r="129" spans="1:21" x14ac:dyDescent="0.3">
      <c r="A129" t="s">
        <v>66</v>
      </c>
      <c r="B129" t="s">
        <v>68</v>
      </c>
      <c r="C129">
        <v>26</v>
      </c>
      <c r="D129" t="s">
        <v>81</v>
      </c>
      <c r="E129" t="s">
        <v>84</v>
      </c>
      <c r="F129" t="s">
        <v>83</v>
      </c>
      <c r="G129">
        <v>0.67936025393420496</v>
      </c>
      <c r="H129">
        <v>2E+20</v>
      </c>
      <c r="I129">
        <v>0</v>
      </c>
      <c r="J129">
        <v>2</v>
      </c>
      <c r="K129">
        <v>2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30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0.49275171767506898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0.87507751499131203</v>
      </c>
      <c r="U129">
        <f>IF((ContinuousStatsTable[[#This Row],[RepsRequested]]&gt;1),ContinuousStatsTable[[#This Row],[HalfWidth]],ContinuousStatsTable[[#This Row],[BatchMeansHalfWidth]])</f>
        <v>3.3834203003627404E-2</v>
      </c>
    </row>
    <row r="130" spans="1:21" x14ac:dyDescent="0.3">
      <c r="A130" t="s">
        <v>66</v>
      </c>
      <c r="B130" t="s">
        <v>68</v>
      </c>
      <c r="C130">
        <v>26</v>
      </c>
      <c r="D130" t="s">
        <v>81</v>
      </c>
      <c r="E130" t="s">
        <v>85</v>
      </c>
      <c r="F130" t="s">
        <v>83</v>
      </c>
      <c r="G130">
        <v>2</v>
      </c>
      <c r="H130">
        <v>2E+20</v>
      </c>
      <c r="I130">
        <v>2</v>
      </c>
      <c r="J130">
        <v>2</v>
      </c>
      <c r="K130">
        <v>2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30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2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2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2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3">
      <c r="A131" t="s">
        <v>66</v>
      </c>
      <c r="B131" t="s">
        <v>68</v>
      </c>
      <c r="C131">
        <v>26</v>
      </c>
      <c r="D131" t="s">
        <v>77</v>
      </c>
      <c r="E131" t="s">
        <v>86</v>
      </c>
      <c r="F131" t="s">
        <v>79</v>
      </c>
      <c r="G131">
        <v>0.18892160918798101</v>
      </c>
      <c r="H131">
        <v>2E+20</v>
      </c>
      <c r="I131">
        <v>0</v>
      </c>
      <c r="J131">
        <v>4</v>
      </c>
      <c r="K131">
        <v>0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30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2.3455432883242699E-2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0.18892160918798101</v>
      </c>
      <c r="U131">
        <f>IF((ContinuousStatsTable[[#This Row],[RepsRequested]]&gt;1),ContinuousStatsTable[[#This Row],[HalfWidth]],ContinuousStatsTable[[#This Row],[BatchMeansHalfWidth]])</f>
        <v>1.4090258842664636E-2</v>
      </c>
    </row>
    <row r="132" spans="1:21" x14ac:dyDescent="0.3">
      <c r="A132" t="s">
        <v>66</v>
      </c>
      <c r="B132" t="s">
        <v>68</v>
      </c>
      <c r="C132">
        <v>27</v>
      </c>
      <c r="D132" t="s">
        <v>69</v>
      </c>
      <c r="E132" t="s">
        <v>80</v>
      </c>
      <c r="F132" t="s">
        <v>71</v>
      </c>
      <c r="G132">
        <v>0.88653022879404797</v>
      </c>
      <c r="H132">
        <v>2E+20</v>
      </c>
      <c r="I132">
        <v>0</v>
      </c>
      <c r="J132">
        <v>7</v>
      </c>
      <c r="K132">
        <v>1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30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0.51620715055831201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0.96520009407777796</v>
      </c>
      <c r="U132">
        <f>IF((ContinuousStatsTable[[#This Row],[RepsRequested]]&gt;1),ContinuousStatsTable[[#This Row],[HalfWidth]],ContinuousStatsTable[[#This Row],[BatchMeansHalfWidth]])</f>
        <v>4.1935412470375577E-2</v>
      </c>
    </row>
    <row r="133" spans="1:21" x14ac:dyDescent="0.3">
      <c r="A133" t="s">
        <v>66</v>
      </c>
      <c r="B133" t="s">
        <v>68</v>
      </c>
      <c r="C133">
        <v>27</v>
      </c>
      <c r="D133" t="s">
        <v>81</v>
      </c>
      <c r="E133" t="s">
        <v>82</v>
      </c>
      <c r="F133" t="s">
        <v>83</v>
      </c>
      <c r="G133">
        <v>0.376790322565695</v>
      </c>
      <c r="H133">
        <v>2E+20</v>
      </c>
      <c r="I133">
        <v>0</v>
      </c>
      <c r="J133">
        <v>1</v>
      </c>
      <c r="K133">
        <v>0.5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30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0.24637585883753399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0.43753875749565602</v>
      </c>
      <c r="U133">
        <f>IF((ContinuousStatsTable[[#This Row],[RepsRequested]]&gt;1),ContinuousStatsTable[[#This Row],[HalfWidth]],ContinuousStatsTable[[#This Row],[BatchMeansHalfWidth]])</f>
        <v>1.6917101501813702E-2</v>
      </c>
    </row>
    <row r="134" spans="1:21" x14ac:dyDescent="0.3">
      <c r="A134" t="s">
        <v>66</v>
      </c>
      <c r="B134" t="s">
        <v>68</v>
      </c>
      <c r="C134">
        <v>27</v>
      </c>
      <c r="D134" t="s">
        <v>81</v>
      </c>
      <c r="E134" t="s">
        <v>84</v>
      </c>
      <c r="F134" t="s">
        <v>83</v>
      </c>
      <c r="G134">
        <v>0.753580645131391</v>
      </c>
      <c r="H134">
        <v>2E+20</v>
      </c>
      <c r="I134">
        <v>0</v>
      </c>
      <c r="J134">
        <v>2</v>
      </c>
      <c r="K134">
        <v>1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30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0.49275171767506898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0.87507751499131203</v>
      </c>
      <c r="U134">
        <f>IF((ContinuousStatsTable[[#This Row],[RepsRequested]]&gt;1),ContinuousStatsTable[[#This Row],[HalfWidth]],ContinuousStatsTable[[#This Row],[BatchMeansHalfWidth]])</f>
        <v>3.3834203003627404E-2</v>
      </c>
    </row>
    <row r="135" spans="1:21" x14ac:dyDescent="0.3">
      <c r="A135" t="s">
        <v>66</v>
      </c>
      <c r="B135" t="s">
        <v>68</v>
      </c>
      <c r="C135">
        <v>27</v>
      </c>
      <c r="D135" t="s">
        <v>81</v>
      </c>
      <c r="E135" t="s">
        <v>85</v>
      </c>
      <c r="F135" t="s">
        <v>83</v>
      </c>
      <c r="G135">
        <v>2</v>
      </c>
      <c r="H135">
        <v>2E+20</v>
      </c>
      <c r="I135">
        <v>2</v>
      </c>
      <c r="J135">
        <v>2</v>
      </c>
      <c r="K135">
        <v>2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30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2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2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2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3">
      <c r="A136" t="s">
        <v>66</v>
      </c>
      <c r="B136" t="s">
        <v>68</v>
      </c>
      <c r="C136">
        <v>27</v>
      </c>
      <c r="D136" t="s">
        <v>77</v>
      </c>
      <c r="E136" t="s">
        <v>86</v>
      </c>
      <c r="F136" t="s">
        <v>79</v>
      </c>
      <c r="G136">
        <v>0.13294958366265699</v>
      </c>
      <c r="H136">
        <v>2E+20</v>
      </c>
      <c r="I136">
        <v>0</v>
      </c>
      <c r="J136">
        <v>5</v>
      </c>
      <c r="K136">
        <v>0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30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2.3455432883242699E-2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0.18892160918798101</v>
      </c>
      <c r="U136">
        <f>IF((ContinuousStatsTable[[#This Row],[RepsRequested]]&gt;1),ContinuousStatsTable[[#This Row],[HalfWidth]],ContinuousStatsTable[[#This Row],[BatchMeansHalfWidth]])</f>
        <v>1.4090258842664636E-2</v>
      </c>
    </row>
    <row r="137" spans="1:21" x14ac:dyDescent="0.3">
      <c r="A137" t="s">
        <v>66</v>
      </c>
      <c r="B137" t="s">
        <v>68</v>
      </c>
      <c r="C137">
        <v>28</v>
      </c>
      <c r="D137" t="s">
        <v>69</v>
      </c>
      <c r="E137" t="s">
        <v>80</v>
      </c>
      <c r="F137" t="s">
        <v>71</v>
      </c>
      <c r="G137">
        <v>0.80873292326438395</v>
      </c>
      <c r="H137">
        <v>2E+20</v>
      </c>
      <c r="I137">
        <v>0</v>
      </c>
      <c r="J137">
        <v>4</v>
      </c>
      <c r="K137">
        <v>0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30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0.51620715055831201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0.96520009407777796</v>
      </c>
      <c r="U137">
        <f>IF((ContinuousStatsTable[[#This Row],[RepsRequested]]&gt;1),ContinuousStatsTable[[#This Row],[HalfWidth]],ContinuousStatsTable[[#This Row],[BatchMeansHalfWidth]])</f>
        <v>4.1935412470375577E-2</v>
      </c>
    </row>
    <row r="138" spans="1:21" x14ac:dyDescent="0.3">
      <c r="A138" t="s">
        <v>66</v>
      </c>
      <c r="B138" t="s">
        <v>68</v>
      </c>
      <c r="C138">
        <v>28</v>
      </c>
      <c r="D138" t="s">
        <v>81</v>
      </c>
      <c r="E138" t="s">
        <v>82</v>
      </c>
      <c r="F138" t="s">
        <v>83</v>
      </c>
      <c r="G138">
        <v>0.36919214235279701</v>
      </c>
      <c r="H138">
        <v>2E+20</v>
      </c>
      <c r="I138">
        <v>0</v>
      </c>
      <c r="J138">
        <v>1</v>
      </c>
      <c r="K138">
        <v>0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30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0.24637585883753399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0.43753875749565602</v>
      </c>
      <c r="U138">
        <f>IF((ContinuousStatsTable[[#This Row],[RepsRequested]]&gt;1),ContinuousStatsTable[[#This Row],[HalfWidth]],ContinuousStatsTable[[#This Row],[BatchMeansHalfWidth]])</f>
        <v>1.6917101501813702E-2</v>
      </c>
    </row>
    <row r="139" spans="1:21" x14ac:dyDescent="0.3">
      <c r="A139" t="s">
        <v>66</v>
      </c>
      <c r="B139" t="s">
        <v>68</v>
      </c>
      <c r="C139">
        <v>28</v>
      </c>
      <c r="D139" t="s">
        <v>81</v>
      </c>
      <c r="E139" t="s">
        <v>84</v>
      </c>
      <c r="F139" t="s">
        <v>83</v>
      </c>
      <c r="G139">
        <v>0.73838428470559403</v>
      </c>
      <c r="H139">
        <v>2E+20</v>
      </c>
      <c r="I139">
        <v>0</v>
      </c>
      <c r="J139">
        <v>2</v>
      </c>
      <c r="K139">
        <v>0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30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0.49275171767506898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0.87507751499131203</v>
      </c>
      <c r="U139">
        <f>IF((ContinuousStatsTable[[#This Row],[RepsRequested]]&gt;1),ContinuousStatsTable[[#This Row],[HalfWidth]],ContinuousStatsTable[[#This Row],[BatchMeansHalfWidth]])</f>
        <v>3.3834203003627404E-2</v>
      </c>
    </row>
    <row r="140" spans="1:21" x14ac:dyDescent="0.3">
      <c r="A140" t="s">
        <v>66</v>
      </c>
      <c r="B140" t="s">
        <v>68</v>
      </c>
      <c r="C140">
        <v>28</v>
      </c>
      <c r="D140" t="s">
        <v>81</v>
      </c>
      <c r="E140" t="s">
        <v>85</v>
      </c>
      <c r="F140" t="s">
        <v>83</v>
      </c>
      <c r="G140">
        <v>2</v>
      </c>
      <c r="H140">
        <v>2E+20</v>
      </c>
      <c r="I140">
        <v>2</v>
      </c>
      <c r="J140">
        <v>2</v>
      </c>
      <c r="K140">
        <v>2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30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2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2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2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3">
      <c r="A141" t="s">
        <v>66</v>
      </c>
      <c r="B141" t="s">
        <v>68</v>
      </c>
      <c r="C141">
        <v>28</v>
      </c>
      <c r="D141" t="s">
        <v>77</v>
      </c>
      <c r="E141" t="s">
        <v>86</v>
      </c>
      <c r="F141" t="s">
        <v>79</v>
      </c>
      <c r="G141">
        <v>7.0348638558791102E-2</v>
      </c>
      <c r="H141">
        <v>2E+20</v>
      </c>
      <c r="I141">
        <v>0</v>
      </c>
      <c r="J141">
        <v>2</v>
      </c>
      <c r="K141">
        <v>0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30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2.3455432883242699E-2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0.18892160918798101</v>
      </c>
      <c r="U141">
        <f>IF((ContinuousStatsTable[[#This Row],[RepsRequested]]&gt;1),ContinuousStatsTable[[#This Row],[HalfWidth]],ContinuousStatsTable[[#This Row],[BatchMeansHalfWidth]])</f>
        <v>1.4090258842664636E-2</v>
      </c>
    </row>
    <row r="142" spans="1:21" x14ac:dyDescent="0.3">
      <c r="A142" t="s">
        <v>66</v>
      </c>
      <c r="B142" t="s">
        <v>68</v>
      </c>
      <c r="C142">
        <v>29</v>
      </c>
      <c r="D142" t="s">
        <v>69</v>
      </c>
      <c r="E142" t="s">
        <v>80</v>
      </c>
      <c r="F142" t="s">
        <v>71</v>
      </c>
      <c r="G142">
        <v>0.79834806934489699</v>
      </c>
      <c r="H142">
        <v>2E+20</v>
      </c>
      <c r="I142">
        <v>0</v>
      </c>
      <c r="J142">
        <v>5</v>
      </c>
      <c r="K142">
        <v>0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30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0.51620715055831201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0.96520009407777796</v>
      </c>
      <c r="U142">
        <f>IF((ContinuousStatsTable[[#This Row],[RepsRequested]]&gt;1),ContinuousStatsTable[[#This Row],[HalfWidth]],ContinuousStatsTable[[#This Row],[BatchMeansHalfWidth]])</f>
        <v>4.1935412470375577E-2</v>
      </c>
    </row>
    <row r="143" spans="1:21" x14ac:dyDescent="0.3">
      <c r="A143" t="s">
        <v>66</v>
      </c>
      <c r="B143" t="s">
        <v>68</v>
      </c>
      <c r="C143">
        <v>29</v>
      </c>
      <c r="D143" t="s">
        <v>81</v>
      </c>
      <c r="E143" t="s">
        <v>82</v>
      </c>
      <c r="F143" t="s">
        <v>83</v>
      </c>
      <c r="G143">
        <v>0.34655940766917498</v>
      </c>
      <c r="H143">
        <v>2E+20</v>
      </c>
      <c r="I143">
        <v>0</v>
      </c>
      <c r="J143">
        <v>1</v>
      </c>
      <c r="K143">
        <v>0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30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0.24637585883753399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0.43753875749565602</v>
      </c>
      <c r="U143">
        <f>IF((ContinuousStatsTable[[#This Row],[RepsRequested]]&gt;1),ContinuousStatsTable[[#This Row],[HalfWidth]],ContinuousStatsTable[[#This Row],[BatchMeansHalfWidth]])</f>
        <v>1.6917101501813702E-2</v>
      </c>
    </row>
    <row r="144" spans="1:21" x14ac:dyDescent="0.3">
      <c r="A144" t="s">
        <v>66</v>
      </c>
      <c r="B144" t="s">
        <v>68</v>
      </c>
      <c r="C144">
        <v>29</v>
      </c>
      <c r="D144" t="s">
        <v>81</v>
      </c>
      <c r="E144" t="s">
        <v>84</v>
      </c>
      <c r="F144" t="s">
        <v>83</v>
      </c>
      <c r="G144">
        <v>0.69311881533834996</v>
      </c>
      <c r="H144">
        <v>2E+20</v>
      </c>
      <c r="I144">
        <v>0</v>
      </c>
      <c r="J144">
        <v>2</v>
      </c>
      <c r="K144">
        <v>0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30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0.49275171767506898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0.87507751499131203</v>
      </c>
      <c r="U144">
        <f>IF((ContinuousStatsTable[[#This Row],[RepsRequested]]&gt;1),ContinuousStatsTable[[#This Row],[HalfWidth]],ContinuousStatsTable[[#This Row],[BatchMeansHalfWidth]])</f>
        <v>3.3834203003627404E-2</v>
      </c>
    </row>
    <row r="145" spans="1:21" x14ac:dyDescent="0.3">
      <c r="A145" t="s">
        <v>66</v>
      </c>
      <c r="B145" t="s">
        <v>68</v>
      </c>
      <c r="C145">
        <v>29</v>
      </c>
      <c r="D145" t="s">
        <v>81</v>
      </c>
      <c r="E145" t="s">
        <v>85</v>
      </c>
      <c r="F145" t="s">
        <v>83</v>
      </c>
      <c r="G145">
        <v>2</v>
      </c>
      <c r="H145">
        <v>2E+20</v>
      </c>
      <c r="I145">
        <v>2</v>
      </c>
      <c r="J145">
        <v>2</v>
      </c>
      <c r="K145">
        <v>2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30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2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2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2</v>
      </c>
      <c r="U145">
        <f>IF((ContinuousStatsTable[[#This Row],[RepsRequested]]&gt;1),ContinuousStatsTable[[#This Row],[HalfWidth]],ContinuousStatsTable[[#This Row],[BatchMeansHalfWidth]])</f>
        <v>0</v>
      </c>
    </row>
    <row r="146" spans="1:21" x14ac:dyDescent="0.3">
      <c r="A146" t="s">
        <v>66</v>
      </c>
      <c r="B146" t="s">
        <v>68</v>
      </c>
      <c r="C146">
        <v>29</v>
      </c>
      <c r="D146" t="s">
        <v>77</v>
      </c>
      <c r="E146" t="s">
        <v>86</v>
      </c>
      <c r="F146" t="s">
        <v>79</v>
      </c>
      <c r="G146">
        <v>0.10522925400654801</v>
      </c>
      <c r="H146">
        <v>2E+20</v>
      </c>
      <c r="I146">
        <v>0</v>
      </c>
      <c r="J146">
        <v>3</v>
      </c>
      <c r="K146">
        <v>0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30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2.3455432883242699E-2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0.18892160918798101</v>
      </c>
      <c r="U146">
        <f>IF((ContinuousStatsTable[[#This Row],[RepsRequested]]&gt;1),ContinuousStatsTable[[#This Row],[HalfWidth]],ContinuousStatsTable[[#This Row],[BatchMeansHalfWidth]])</f>
        <v>1.4090258842664636E-2</v>
      </c>
    </row>
    <row r="147" spans="1:21" x14ac:dyDescent="0.3">
      <c r="A147" t="s">
        <v>66</v>
      </c>
      <c r="B147" t="s">
        <v>68</v>
      </c>
      <c r="C147">
        <v>30</v>
      </c>
      <c r="D147" t="s">
        <v>69</v>
      </c>
      <c r="E147" t="s">
        <v>80</v>
      </c>
      <c r="F147" t="s">
        <v>71</v>
      </c>
      <c r="G147">
        <v>0.81625934078611095</v>
      </c>
      <c r="H147">
        <v>2E+20</v>
      </c>
      <c r="I147">
        <v>0</v>
      </c>
      <c r="J147">
        <v>4</v>
      </c>
      <c r="K147">
        <v>0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30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0.76963272724315213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0.11230509716433017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4.1935412470375577E-2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0.51620715055831201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0.96520009407777796</v>
      </c>
      <c r="U147">
        <f>IF((ContinuousStatsTable[[#This Row],[RepsRequested]]&gt;1),ContinuousStatsTable[[#This Row],[HalfWidth]],ContinuousStatsTable[[#This Row],[BatchMeansHalfWidth]])</f>
        <v>4.1935412470375577E-2</v>
      </c>
    </row>
    <row r="148" spans="1:21" x14ac:dyDescent="0.3">
      <c r="A148" t="s">
        <v>66</v>
      </c>
      <c r="B148" t="s">
        <v>68</v>
      </c>
      <c r="C148">
        <v>30</v>
      </c>
      <c r="D148" t="s">
        <v>81</v>
      </c>
      <c r="E148" t="s">
        <v>82</v>
      </c>
      <c r="F148" t="s">
        <v>83</v>
      </c>
      <c r="G148">
        <v>0.38124130466846101</v>
      </c>
      <c r="H148">
        <v>2E+20</v>
      </c>
      <c r="I148">
        <v>0</v>
      </c>
      <c r="J148">
        <v>1</v>
      </c>
      <c r="K148">
        <v>0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30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0.34420349255945865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4.5304829879571427E-2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1.6917101501813702E-2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0.24637585883753399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0.43753875749565602</v>
      </c>
      <c r="U148">
        <f>IF((ContinuousStatsTable[[#This Row],[RepsRequested]]&gt;1),ContinuousStatsTable[[#This Row],[HalfWidth]],ContinuousStatsTable[[#This Row],[BatchMeansHalfWidth]])</f>
        <v>1.6917101501813702E-2</v>
      </c>
    </row>
    <row r="149" spans="1:21" x14ac:dyDescent="0.3">
      <c r="A149" t="s">
        <v>66</v>
      </c>
      <c r="B149" t="s">
        <v>68</v>
      </c>
      <c r="C149">
        <v>30</v>
      </c>
      <c r="D149" t="s">
        <v>81</v>
      </c>
      <c r="E149" t="s">
        <v>84</v>
      </c>
      <c r="F149" t="s">
        <v>83</v>
      </c>
      <c r="G149">
        <v>0.76248260933692202</v>
      </c>
      <c r="H149">
        <v>2E+20</v>
      </c>
      <c r="I149">
        <v>0</v>
      </c>
      <c r="J149">
        <v>2</v>
      </c>
      <c r="K149">
        <v>0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30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0.68840698511891729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9.0609659759142855E-2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3.3834203003627404E-2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0.49275171767506898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0.87507751499131203</v>
      </c>
      <c r="U149">
        <f>IF((ContinuousStatsTable[[#This Row],[RepsRequested]]&gt;1),ContinuousStatsTable[[#This Row],[HalfWidth]],ContinuousStatsTable[[#This Row],[BatchMeansHalfWidth]])</f>
        <v>3.3834203003627404E-2</v>
      </c>
    </row>
    <row r="150" spans="1:21" x14ac:dyDescent="0.3">
      <c r="A150" t="s">
        <v>66</v>
      </c>
      <c r="B150" t="s">
        <v>68</v>
      </c>
      <c r="C150">
        <v>30</v>
      </c>
      <c r="D150" t="s">
        <v>81</v>
      </c>
      <c r="E150" t="s">
        <v>85</v>
      </c>
      <c r="F150" t="s">
        <v>83</v>
      </c>
      <c r="G150">
        <v>2</v>
      </c>
      <c r="H150">
        <v>2E+20</v>
      </c>
      <c r="I150">
        <v>2</v>
      </c>
      <c r="J150">
        <v>2</v>
      </c>
      <c r="K150">
        <v>2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30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2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2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2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3">
      <c r="A151" t="s">
        <v>66</v>
      </c>
      <c r="B151" t="s">
        <v>68</v>
      </c>
      <c r="C151">
        <v>30</v>
      </c>
      <c r="D151" t="s">
        <v>77</v>
      </c>
      <c r="E151" t="s">
        <v>86</v>
      </c>
      <c r="F151" t="s">
        <v>79</v>
      </c>
      <c r="G151">
        <v>5.3776731449189701E-2</v>
      </c>
      <c r="H151">
        <v>2E+20</v>
      </c>
      <c r="I151">
        <v>0</v>
      </c>
      <c r="J151">
        <v>2</v>
      </c>
      <c r="K151">
        <v>0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30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8.1225742124235056E-2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3.7734406201772173E-2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1.4090258842664636E-2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2.3455432883242699E-2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0.18892160918798101</v>
      </c>
      <c r="U151">
        <f>IF((ContinuousStatsTable[[#This Row],[RepsRequested]]&gt;1),ContinuousStatsTable[[#This Row],[HalfWidth]],ContinuousStatsTable[[#This Row],[BatchMeansHalfWidth]])</f>
        <v>1.4090258842664636E-2</v>
      </c>
    </row>
    <row r="152" spans="1:21" x14ac:dyDescent="0.3"/>
    <row r="153" spans="1:21" x14ac:dyDescent="0.3"/>
    <row r="154" spans="1:21" x14ac:dyDescent="0.3"/>
    <row r="155" spans="1:21" x14ac:dyDescent="0.3"/>
    <row r="156" spans="1:21" x14ac:dyDescent="0.3"/>
    <row r="157" spans="1:21" x14ac:dyDescent="0.3"/>
    <row r="158" spans="1:21" x14ac:dyDescent="0.3"/>
    <row r="159" spans="1:21" x14ac:dyDescent="0.3"/>
    <row r="160" spans="1:21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</sheetData>
  <phoneticPr fontId="2" type="noConversion"/>
  <conditionalFormatting sqref="H2:H151">
    <cfRule type="expression" dxfId="18" priority="9">
      <formula>H2=200000000000000000000</formula>
    </cfRule>
  </conditionalFormatting>
  <conditionalFormatting sqref="H2:H151">
    <cfRule type="expression" dxfId="17" priority="7">
      <formula>H2=300000000000000000000</formula>
    </cfRule>
  </conditionalFormatting>
  <conditionalFormatting sqref="M2:U151">
    <cfRule type="expression" dxfId="16" priority="5">
      <formula>MOD(ROW(),2)=0</formula>
    </cfRule>
  </conditionalFormatting>
  <conditionalFormatting sqref="U2:U15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51 U2:U15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61"/>
  <sheetViews>
    <sheetView workbookViewId="0">
      <selection activeCell="G2" sqref="G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0.75" bestFit="1" customWidth="1"/>
    <col min="5" max="5" width="7.25" bestFit="1" customWidth="1"/>
    <col min="6" max="6" width="12.4140625" bestFit="1" customWidth="1"/>
    <col min="7" max="7" width="16.1640625" bestFit="1" customWidth="1"/>
    <col min="8" max="8" width="52.5" bestFit="1" customWidth="1"/>
    <col min="9" max="9" width="16.4140625" bestFit="1" customWidth="1"/>
    <col min="10" max="10" width="12.33203125" bestFit="1" customWidth="1"/>
    <col min="11" max="11" width="19.1640625" bestFit="1" customWidth="1"/>
    <col min="12" max="12" width="19.5" bestFit="1" customWidth="1"/>
    <col min="13" max="13" width="12.3320312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66</v>
      </c>
      <c r="B2" t="s">
        <v>68</v>
      </c>
      <c r="C2">
        <v>1</v>
      </c>
      <c r="D2" t="s">
        <v>87</v>
      </c>
      <c r="E2" t="s">
        <v>88</v>
      </c>
      <c r="F2" t="s">
        <v>89</v>
      </c>
      <c r="G2">
        <v>82</v>
      </c>
      <c r="H2" t="str">
        <f>CountersTable[[#This Row],[ProjectName]]&amp;CountersTable[[#This Row],[Name]]&amp;CountersTable[[#This Row],[Type]]&amp;CountersTable[[#This Row],[Source]]</f>
        <v>Unnamed Projectcustomer servedCountUser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30</v>
      </c>
      <c r="J2" cm="1">
        <f t="array" ref="J2">IFERROR(AVERAGE(IF((CountersTable[GroupByKey]=CountersTable[[#This Row],[GroupByKey]]),(CountersTable[GroupByKey]=CountersTable[[#This Row],[GroupByKey]])*CountersTable[RecordedValue])),0)</f>
        <v>89.166666666666671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7.9658033485961566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2" cm="1">
        <f t="array" ref="N2">MIN(IF((CountersTable[GroupByKey]=CountersTable[[#This Row],[GroupByKey]]),(CountersTable[GroupByKey]=CountersTable[[#This Row],[GroupByKey]])*CountersTable[RecordedValue]))</f>
        <v>70</v>
      </c>
      <c r="O2" cm="1">
        <f t="array" ref="O2">MAX(IF((CountersTable[GroupByKey]=CountersTable[[#This Row],[GroupByKey]]),(CountersTable[GroupByKey]=CountersTable[[#This Row],[GroupByKey]])*CountersTable[RecordedValue]))</f>
        <v>103</v>
      </c>
    </row>
    <row r="3" spans="1:15" x14ac:dyDescent="0.3">
      <c r="A3" t="s">
        <v>66</v>
      </c>
      <c r="B3" t="s">
        <v>68</v>
      </c>
      <c r="C3">
        <v>1</v>
      </c>
      <c r="D3" t="s">
        <v>90</v>
      </c>
      <c r="E3" t="s">
        <v>88</v>
      </c>
      <c r="F3" t="s">
        <v>89</v>
      </c>
      <c r="G3">
        <v>0</v>
      </c>
      <c r="H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30</v>
      </c>
      <c r="J3" cm="1">
        <f t="array" ref="J3">IFERROR(AVERAGE(IF((CountersTable[GroupByKey]=CountersTable[[#This Row],[GroupByKey]]),(CountersTable[GroupByKey]=CountersTable[[#This Row],[GroupByKey]])*CountersTable[RecordedValue])),0)</f>
        <v>1.8333333333333333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2.0858031337217993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3" cm="1">
        <f t="array" ref="N3">MIN(IF((CountersTable[GroupByKey]=CountersTable[[#This Row],[GroupByKey]]),(CountersTable[GroupByKey]=CountersTable[[#This Row],[GroupByKey]])*CountersTable[RecordedValue]))</f>
        <v>0</v>
      </c>
      <c r="O3" cm="1">
        <f t="array" ref="O3">MAX(IF((CountersTable[GroupByKey]=CountersTable[[#This Row],[GroupByKey]]),(CountersTable[GroupByKey]=CountersTable[[#This Row],[GroupByKey]])*CountersTable[RecordedValue]))</f>
        <v>9</v>
      </c>
    </row>
    <row r="4" spans="1:15" x14ac:dyDescent="0.3">
      <c r="A4" t="s">
        <v>66</v>
      </c>
      <c r="B4" t="s">
        <v>68</v>
      </c>
      <c r="C4">
        <v>2</v>
      </c>
      <c r="D4" t="s">
        <v>87</v>
      </c>
      <c r="E4" t="s">
        <v>88</v>
      </c>
      <c r="F4" t="s">
        <v>89</v>
      </c>
      <c r="G4">
        <v>100</v>
      </c>
      <c r="H4" t="str">
        <f>CountersTable[[#This Row],[ProjectName]]&amp;CountersTable[[#This Row],[Name]]&amp;CountersTable[[#This Row],[Type]]&amp;CountersTable[[#This Row],[Source]]</f>
        <v>Unnamed Projectcustomer servedCountUser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30</v>
      </c>
      <c r="J4" cm="1">
        <f t="array" ref="J4">IFERROR(AVERAGE(IF((CountersTable[GroupByKey]=CountersTable[[#This Row],[GroupByKey]]),(CountersTable[GroupByKey]=CountersTable[[#This Row],[GroupByKey]])*CountersTable[RecordedValue])),0)</f>
        <v>89.166666666666671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7.9658033485961566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4" cm="1">
        <f t="array" ref="N4">MIN(IF((CountersTable[GroupByKey]=CountersTable[[#This Row],[GroupByKey]]),(CountersTable[GroupByKey]=CountersTable[[#This Row],[GroupByKey]])*CountersTable[RecordedValue]))</f>
        <v>70</v>
      </c>
      <c r="O4" cm="1">
        <f t="array" ref="O4">MAX(IF((CountersTable[GroupByKey]=CountersTable[[#This Row],[GroupByKey]]),(CountersTable[GroupByKey]=CountersTable[[#This Row],[GroupByKey]])*CountersTable[RecordedValue]))</f>
        <v>103</v>
      </c>
    </row>
    <row r="5" spans="1:15" x14ac:dyDescent="0.3">
      <c r="A5" t="s">
        <v>66</v>
      </c>
      <c r="B5" t="s">
        <v>68</v>
      </c>
      <c r="C5">
        <v>2</v>
      </c>
      <c r="D5" t="s">
        <v>90</v>
      </c>
      <c r="E5" t="s">
        <v>88</v>
      </c>
      <c r="F5" t="s">
        <v>89</v>
      </c>
      <c r="G5">
        <v>1</v>
      </c>
      <c r="H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30</v>
      </c>
      <c r="J5" cm="1">
        <f t="array" ref="J5">IFERROR(AVERAGE(IF((CountersTable[GroupByKey]=CountersTable[[#This Row],[GroupByKey]]),(CountersTable[GroupByKey]=CountersTable[[#This Row],[GroupByKey]])*CountersTable[RecordedValue])),0)</f>
        <v>1.8333333333333333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2.0858031337217993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5" cm="1">
        <f t="array" ref="N5">MIN(IF((CountersTable[GroupByKey]=CountersTable[[#This Row],[GroupByKey]]),(CountersTable[GroupByKey]=CountersTable[[#This Row],[GroupByKey]])*CountersTable[RecordedValue]))</f>
        <v>0</v>
      </c>
      <c r="O5" cm="1">
        <f t="array" ref="O5">MAX(IF((CountersTable[GroupByKey]=CountersTable[[#This Row],[GroupByKey]]),(CountersTable[GroupByKey]=CountersTable[[#This Row],[GroupByKey]])*CountersTable[RecordedValue]))</f>
        <v>9</v>
      </c>
    </row>
    <row r="6" spans="1:15" x14ac:dyDescent="0.3">
      <c r="A6" t="s">
        <v>66</v>
      </c>
      <c r="B6" t="s">
        <v>68</v>
      </c>
      <c r="C6">
        <v>3</v>
      </c>
      <c r="D6" t="s">
        <v>87</v>
      </c>
      <c r="E6" t="s">
        <v>88</v>
      </c>
      <c r="F6" t="s">
        <v>89</v>
      </c>
      <c r="G6">
        <v>103</v>
      </c>
      <c r="H6" t="str">
        <f>CountersTable[[#This Row],[ProjectName]]&amp;CountersTable[[#This Row],[Name]]&amp;CountersTable[[#This Row],[Type]]&amp;CountersTable[[#This Row],[Source]]</f>
        <v>Unnamed Projectcustomer servedCountUser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30</v>
      </c>
      <c r="J6" cm="1">
        <f t="array" ref="J6">IFERROR(AVERAGE(IF((CountersTable[GroupByKey]=CountersTable[[#This Row],[GroupByKey]]),(CountersTable[GroupByKey]=CountersTable[[#This Row],[GroupByKey]])*CountersTable[RecordedValue])),0)</f>
        <v>89.166666666666671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7.9658033485961566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6" cm="1">
        <f t="array" ref="N6">MIN(IF((CountersTable[GroupByKey]=CountersTable[[#This Row],[GroupByKey]]),(CountersTable[GroupByKey]=CountersTable[[#This Row],[GroupByKey]])*CountersTable[RecordedValue]))</f>
        <v>70</v>
      </c>
      <c r="O6" cm="1">
        <f t="array" ref="O6">MAX(IF((CountersTable[GroupByKey]=CountersTable[[#This Row],[GroupByKey]]),(CountersTable[GroupByKey]=CountersTable[[#This Row],[GroupByKey]])*CountersTable[RecordedValue]))</f>
        <v>103</v>
      </c>
    </row>
    <row r="7" spans="1:15" x14ac:dyDescent="0.3">
      <c r="A7" t="s">
        <v>66</v>
      </c>
      <c r="B7" t="s">
        <v>68</v>
      </c>
      <c r="C7">
        <v>3</v>
      </c>
      <c r="D7" t="s">
        <v>90</v>
      </c>
      <c r="E7" t="s">
        <v>88</v>
      </c>
      <c r="F7" t="s">
        <v>89</v>
      </c>
      <c r="G7">
        <v>1</v>
      </c>
      <c r="H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30</v>
      </c>
      <c r="J7" cm="1">
        <f t="array" ref="J7">IFERROR(AVERAGE(IF((CountersTable[GroupByKey]=CountersTable[[#This Row],[GroupByKey]]),(CountersTable[GroupByKey]=CountersTable[[#This Row],[GroupByKey]])*CountersTable[RecordedValue])),0)</f>
        <v>1.8333333333333333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2.0858031337217993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7" cm="1">
        <f t="array" ref="N7">MIN(IF((CountersTable[GroupByKey]=CountersTable[[#This Row],[GroupByKey]]),(CountersTable[GroupByKey]=CountersTable[[#This Row],[GroupByKey]])*CountersTable[RecordedValue]))</f>
        <v>0</v>
      </c>
      <c r="O7" cm="1">
        <f t="array" ref="O7">MAX(IF((CountersTable[GroupByKey]=CountersTable[[#This Row],[GroupByKey]]),(CountersTable[GroupByKey]=CountersTable[[#This Row],[GroupByKey]])*CountersTable[RecordedValue]))</f>
        <v>9</v>
      </c>
    </row>
    <row r="8" spans="1:15" x14ac:dyDescent="0.3">
      <c r="A8" t="s">
        <v>66</v>
      </c>
      <c r="B8" t="s">
        <v>68</v>
      </c>
      <c r="C8">
        <v>4</v>
      </c>
      <c r="D8" t="s">
        <v>87</v>
      </c>
      <c r="E8" t="s">
        <v>88</v>
      </c>
      <c r="F8" t="s">
        <v>89</v>
      </c>
      <c r="G8">
        <v>89</v>
      </c>
      <c r="H8" t="str">
        <f>CountersTable[[#This Row],[ProjectName]]&amp;CountersTable[[#This Row],[Name]]&amp;CountersTable[[#This Row],[Type]]&amp;CountersTable[[#This Row],[Source]]</f>
        <v>Unnamed Projectcustomer servedCountUser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30</v>
      </c>
      <c r="J8" cm="1">
        <f t="array" ref="J8">IFERROR(AVERAGE(IF((CountersTable[GroupByKey]=CountersTable[[#This Row],[GroupByKey]]),(CountersTable[GroupByKey]=CountersTable[[#This Row],[GroupByKey]])*CountersTable[RecordedValue])),0)</f>
        <v>89.166666666666671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7.9658033485961566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8" cm="1">
        <f t="array" ref="N8">MIN(IF((CountersTable[GroupByKey]=CountersTable[[#This Row],[GroupByKey]]),(CountersTable[GroupByKey]=CountersTable[[#This Row],[GroupByKey]])*CountersTable[RecordedValue]))</f>
        <v>70</v>
      </c>
      <c r="O8" cm="1">
        <f t="array" ref="O8">MAX(IF((CountersTable[GroupByKey]=CountersTable[[#This Row],[GroupByKey]]),(CountersTable[GroupByKey]=CountersTable[[#This Row],[GroupByKey]])*CountersTable[RecordedValue]))</f>
        <v>103</v>
      </c>
    </row>
    <row r="9" spans="1:15" x14ac:dyDescent="0.3">
      <c r="A9" t="s">
        <v>66</v>
      </c>
      <c r="B9" t="s">
        <v>68</v>
      </c>
      <c r="C9">
        <v>4</v>
      </c>
      <c r="D9" t="s">
        <v>90</v>
      </c>
      <c r="E9" t="s">
        <v>88</v>
      </c>
      <c r="F9" t="s">
        <v>89</v>
      </c>
      <c r="G9">
        <v>1</v>
      </c>
      <c r="H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30</v>
      </c>
      <c r="J9" cm="1">
        <f t="array" ref="J9">IFERROR(AVERAGE(IF((CountersTable[GroupByKey]=CountersTable[[#This Row],[GroupByKey]]),(CountersTable[GroupByKey]=CountersTable[[#This Row],[GroupByKey]])*CountersTable[RecordedValue])),0)</f>
        <v>1.8333333333333333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2.0858031337217993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9" cm="1">
        <f t="array" ref="N9">MIN(IF((CountersTable[GroupByKey]=CountersTable[[#This Row],[GroupByKey]]),(CountersTable[GroupByKey]=CountersTable[[#This Row],[GroupByKey]])*CountersTable[RecordedValue]))</f>
        <v>0</v>
      </c>
      <c r="O9" cm="1">
        <f t="array" ref="O9">MAX(IF((CountersTable[GroupByKey]=CountersTable[[#This Row],[GroupByKey]]),(CountersTable[GroupByKey]=CountersTable[[#This Row],[GroupByKey]])*CountersTable[RecordedValue]))</f>
        <v>9</v>
      </c>
    </row>
    <row r="10" spans="1:15" x14ac:dyDescent="0.3">
      <c r="A10" t="s">
        <v>66</v>
      </c>
      <c r="B10" t="s">
        <v>68</v>
      </c>
      <c r="C10">
        <v>5</v>
      </c>
      <c r="D10" t="s">
        <v>87</v>
      </c>
      <c r="E10" t="s">
        <v>88</v>
      </c>
      <c r="F10" t="s">
        <v>89</v>
      </c>
      <c r="G10">
        <v>94</v>
      </c>
      <c r="H10" t="str">
        <f>CountersTable[[#This Row],[ProjectName]]&amp;CountersTable[[#This Row],[Name]]&amp;CountersTable[[#This Row],[Type]]&amp;CountersTable[[#This Row],[Source]]</f>
        <v>Unnamed Projectcustomer servedCountUser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30</v>
      </c>
      <c r="J10" cm="1">
        <f t="array" ref="J10">IFERROR(AVERAGE(IF((CountersTable[GroupByKey]=CountersTable[[#This Row],[GroupByKey]]),(CountersTable[GroupByKey]=CountersTable[[#This Row],[GroupByKey]])*CountersTable[RecordedValue])),0)</f>
        <v>89.166666666666671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7.9658033485961566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10" cm="1">
        <f t="array" ref="N10">MIN(IF((CountersTable[GroupByKey]=CountersTable[[#This Row],[GroupByKey]]),(CountersTable[GroupByKey]=CountersTable[[#This Row],[GroupByKey]])*CountersTable[RecordedValue]))</f>
        <v>70</v>
      </c>
      <c r="O10" cm="1">
        <f t="array" ref="O10">MAX(IF((CountersTable[GroupByKey]=CountersTable[[#This Row],[GroupByKey]]),(CountersTable[GroupByKey]=CountersTable[[#This Row],[GroupByKey]])*CountersTable[RecordedValue]))</f>
        <v>103</v>
      </c>
    </row>
    <row r="11" spans="1:15" x14ac:dyDescent="0.3">
      <c r="A11" t="s">
        <v>66</v>
      </c>
      <c r="B11" t="s">
        <v>68</v>
      </c>
      <c r="C11">
        <v>5</v>
      </c>
      <c r="D11" t="s">
        <v>90</v>
      </c>
      <c r="E11" t="s">
        <v>88</v>
      </c>
      <c r="F11" t="s">
        <v>89</v>
      </c>
      <c r="G11">
        <v>1</v>
      </c>
      <c r="H1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30</v>
      </c>
      <c r="J11" cm="1">
        <f t="array" ref="J11">IFERROR(AVERAGE(IF((CountersTable[GroupByKey]=CountersTable[[#This Row],[GroupByKey]]),(CountersTable[GroupByKey]=CountersTable[[#This Row],[GroupByKey]])*CountersTable[RecordedValue])),0)</f>
        <v>1.8333333333333333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2.0858031337217993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11" cm="1">
        <f t="array" ref="N11">MIN(IF((CountersTable[GroupByKey]=CountersTable[[#This Row],[GroupByKey]]),(CountersTable[GroupByKey]=CountersTable[[#This Row],[GroupByKey]])*CountersTable[RecordedValue]))</f>
        <v>0</v>
      </c>
      <c r="O11" cm="1">
        <f t="array" ref="O11">MAX(IF((CountersTable[GroupByKey]=CountersTable[[#This Row],[GroupByKey]]),(CountersTable[GroupByKey]=CountersTable[[#This Row],[GroupByKey]])*CountersTable[RecordedValue]))</f>
        <v>9</v>
      </c>
    </row>
    <row r="12" spans="1:15" x14ac:dyDescent="0.3">
      <c r="A12" t="s">
        <v>66</v>
      </c>
      <c r="B12" t="s">
        <v>68</v>
      </c>
      <c r="C12">
        <v>6</v>
      </c>
      <c r="D12" t="s">
        <v>87</v>
      </c>
      <c r="E12" t="s">
        <v>88</v>
      </c>
      <c r="F12" t="s">
        <v>89</v>
      </c>
      <c r="G12">
        <v>95</v>
      </c>
      <c r="H12" t="str">
        <f>CountersTable[[#This Row],[ProjectName]]&amp;CountersTable[[#This Row],[Name]]&amp;CountersTable[[#This Row],[Type]]&amp;CountersTable[[#This Row],[Source]]</f>
        <v>Unnamed Projectcustomer servedCountUser Specified</v>
      </c>
      <c r="I12" s="5" cm="1">
        <f t="array" ref="I12">MAX(IF((ProjectInfoTable[ProjectName]=CountersTable[[#This Row],[ProjectName]]),(ProjectInfoTable[ProjectName]=CountersTable[[#This Row],[ProjectName]])*ProjectInfoTable[NumberOfReplications]))</f>
        <v>30</v>
      </c>
      <c r="J12" cm="1">
        <f t="array" ref="J12">IFERROR(AVERAGE(IF((CountersTable[GroupByKey]=CountersTable[[#This Row],[GroupByKey]]),(CountersTable[GroupByKey]=CountersTable[[#This Row],[GroupByKey]])*CountersTable[RecordedValue])),0)</f>
        <v>89.166666666666671</v>
      </c>
      <c r="K12" s="5" cm="1">
        <f t="array" ref="K12">IFERROR(_xlfn.STDEV.S(IF((CountersTable[GroupByKey]=CountersTable[[#This Row],[GroupByKey]]),(CountersTable[GroupByKey]=CountersTable[[#This Row],[GroupByKey]])*CountersTable[RecordedValue])),0)</f>
        <v>7.9658033485961566</v>
      </c>
      <c r="L12" s="5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12" s="5" cm="1">
        <f t="array" ref="N12">MIN(IF((CountersTable[GroupByKey]=CountersTable[[#This Row],[GroupByKey]]),(CountersTable[GroupByKey]=CountersTable[[#This Row],[GroupByKey]])*CountersTable[RecordedValue]))</f>
        <v>70</v>
      </c>
      <c r="O12" s="5" cm="1">
        <f t="array" ref="O12">MAX(IF((CountersTable[GroupByKey]=CountersTable[[#This Row],[GroupByKey]]),(CountersTable[GroupByKey]=CountersTable[[#This Row],[GroupByKey]])*CountersTable[RecordedValue]))</f>
        <v>103</v>
      </c>
    </row>
    <row r="13" spans="1:15" x14ac:dyDescent="0.3">
      <c r="A13" t="s">
        <v>66</v>
      </c>
      <c r="B13" t="s">
        <v>68</v>
      </c>
      <c r="C13">
        <v>6</v>
      </c>
      <c r="D13" t="s">
        <v>90</v>
      </c>
      <c r="E13" t="s">
        <v>88</v>
      </c>
      <c r="F13" t="s">
        <v>89</v>
      </c>
      <c r="G13">
        <v>1</v>
      </c>
      <c r="H1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3" s="5" cm="1">
        <f t="array" ref="I13">MAX(IF((ProjectInfoTable[ProjectName]=CountersTable[[#This Row],[ProjectName]]),(ProjectInfoTable[ProjectName]=CountersTable[[#This Row],[ProjectName]])*ProjectInfoTable[NumberOfReplications]))</f>
        <v>30</v>
      </c>
      <c r="J13" cm="1">
        <f t="array" ref="J13">IFERROR(AVERAGE(IF((CountersTable[GroupByKey]=CountersTable[[#This Row],[GroupByKey]]),(CountersTable[GroupByKey]=CountersTable[[#This Row],[GroupByKey]])*CountersTable[RecordedValue])),0)</f>
        <v>1.8333333333333333</v>
      </c>
      <c r="K13" s="5" cm="1">
        <f t="array" ref="K13">IFERROR(_xlfn.STDEV.S(IF((CountersTable[GroupByKey]=CountersTable[[#This Row],[GroupByKey]]),(CountersTable[GroupByKey]=CountersTable[[#This Row],[GroupByKey]])*CountersTable[RecordedValue])),0)</f>
        <v>2.0858031337217993</v>
      </c>
      <c r="L13" s="5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13" s="5" cm="1">
        <f t="array" ref="N13">MIN(IF((CountersTable[GroupByKey]=CountersTable[[#This Row],[GroupByKey]]),(CountersTable[GroupByKey]=CountersTable[[#This Row],[GroupByKey]])*CountersTable[RecordedValue]))</f>
        <v>0</v>
      </c>
      <c r="O13" s="5" cm="1">
        <f t="array" ref="O13">MAX(IF((CountersTable[GroupByKey]=CountersTable[[#This Row],[GroupByKey]]),(CountersTable[GroupByKey]=CountersTable[[#This Row],[GroupByKey]])*CountersTable[RecordedValue]))</f>
        <v>9</v>
      </c>
    </row>
    <row r="14" spans="1:15" x14ac:dyDescent="0.3">
      <c r="A14" t="s">
        <v>66</v>
      </c>
      <c r="B14" t="s">
        <v>68</v>
      </c>
      <c r="C14">
        <v>7</v>
      </c>
      <c r="D14" t="s">
        <v>87</v>
      </c>
      <c r="E14" t="s">
        <v>88</v>
      </c>
      <c r="F14" t="s">
        <v>89</v>
      </c>
      <c r="G14">
        <v>89</v>
      </c>
      <c r="H14" t="str">
        <f>CountersTable[[#This Row],[ProjectName]]&amp;CountersTable[[#This Row],[Name]]&amp;CountersTable[[#This Row],[Type]]&amp;CountersTable[[#This Row],[Source]]</f>
        <v>Unnamed Projectcustomer servedCountUser Specified</v>
      </c>
      <c r="I14" s="5" cm="1">
        <f t="array" ref="I14">MAX(IF((ProjectInfoTable[ProjectName]=CountersTable[[#This Row],[ProjectName]]),(ProjectInfoTable[ProjectName]=CountersTable[[#This Row],[ProjectName]])*ProjectInfoTable[NumberOfReplications]))</f>
        <v>30</v>
      </c>
      <c r="J14" cm="1">
        <f t="array" ref="J14">IFERROR(AVERAGE(IF((CountersTable[GroupByKey]=CountersTable[[#This Row],[GroupByKey]]),(CountersTable[GroupByKey]=CountersTable[[#This Row],[GroupByKey]])*CountersTable[RecordedValue])),0)</f>
        <v>89.166666666666671</v>
      </c>
      <c r="K14" s="5" cm="1">
        <f t="array" ref="K14">IFERROR(_xlfn.STDEV.S(IF((CountersTable[GroupByKey]=CountersTable[[#This Row],[GroupByKey]]),(CountersTable[GroupByKey]=CountersTable[[#This Row],[GroupByKey]])*CountersTable[RecordedValue])),0)</f>
        <v>7.9658033485961566</v>
      </c>
      <c r="L14" s="5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14" s="5" cm="1">
        <f t="array" ref="N14">MIN(IF((CountersTable[GroupByKey]=CountersTable[[#This Row],[GroupByKey]]),(CountersTable[GroupByKey]=CountersTable[[#This Row],[GroupByKey]])*CountersTable[RecordedValue]))</f>
        <v>70</v>
      </c>
      <c r="O14" s="5" cm="1">
        <f t="array" ref="O14">MAX(IF((CountersTable[GroupByKey]=CountersTable[[#This Row],[GroupByKey]]),(CountersTable[GroupByKey]=CountersTable[[#This Row],[GroupByKey]])*CountersTable[RecordedValue]))</f>
        <v>103</v>
      </c>
    </row>
    <row r="15" spans="1:15" x14ac:dyDescent="0.3">
      <c r="A15" t="s">
        <v>66</v>
      </c>
      <c r="B15" t="s">
        <v>68</v>
      </c>
      <c r="C15">
        <v>7</v>
      </c>
      <c r="D15" t="s">
        <v>90</v>
      </c>
      <c r="E15" t="s">
        <v>88</v>
      </c>
      <c r="F15" t="s">
        <v>89</v>
      </c>
      <c r="G15">
        <v>5</v>
      </c>
      <c r="H1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5" s="5" cm="1">
        <f t="array" ref="I15">MAX(IF((ProjectInfoTable[ProjectName]=CountersTable[[#This Row],[ProjectName]]),(ProjectInfoTable[ProjectName]=CountersTable[[#This Row],[ProjectName]])*ProjectInfoTable[NumberOfReplications]))</f>
        <v>30</v>
      </c>
      <c r="J15" cm="1">
        <f t="array" ref="J15">IFERROR(AVERAGE(IF((CountersTable[GroupByKey]=CountersTable[[#This Row],[GroupByKey]]),(CountersTable[GroupByKey]=CountersTable[[#This Row],[GroupByKey]])*CountersTable[RecordedValue])),0)</f>
        <v>1.8333333333333333</v>
      </c>
      <c r="K15" s="5" cm="1">
        <f t="array" ref="K15">IFERROR(_xlfn.STDEV.S(IF((CountersTable[GroupByKey]=CountersTable[[#This Row],[GroupByKey]]),(CountersTable[GroupByKey]=CountersTable[[#This Row],[GroupByKey]])*CountersTable[RecordedValue])),0)</f>
        <v>2.0858031337217993</v>
      </c>
      <c r="L15" s="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15" s="5" cm="1">
        <f t="array" ref="N15">MIN(IF((CountersTable[GroupByKey]=CountersTable[[#This Row],[GroupByKey]]),(CountersTable[GroupByKey]=CountersTable[[#This Row],[GroupByKey]])*CountersTable[RecordedValue]))</f>
        <v>0</v>
      </c>
      <c r="O15" s="5" cm="1">
        <f t="array" ref="O15">MAX(IF((CountersTable[GroupByKey]=CountersTable[[#This Row],[GroupByKey]]),(CountersTable[GroupByKey]=CountersTable[[#This Row],[GroupByKey]])*CountersTable[RecordedValue]))</f>
        <v>9</v>
      </c>
    </row>
    <row r="16" spans="1:15" x14ac:dyDescent="0.3">
      <c r="A16" t="s">
        <v>66</v>
      </c>
      <c r="B16" t="s">
        <v>68</v>
      </c>
      <c r="C16">
        <v>8</v>
      </c>
      <c r="D16" t="s">
        <v>87</v>
      </c>
      <c r="E16" t="s">
        <v>88</v>
      </c>
      <c r="F16" t="s">
        <v>89</v>
      </c>
      <c r="G16">
        <v>73</v>
      </c>
      <c r="H16" t="str">
        <f>CountersTable[[#This Row],[ProjectName]]&amp;CountersTable[[#This Row],[Name]]&amp;CountersTable[[#This Row],[Type]]&amp;CountersTable[[#This Row],[Source]]</f>
        <v>Unnamed Projectcustomer servedCountUser Specified</v>
      </c>
      <c r="I16" s="5" cm="1">
        <f t="array" ref="I16">MAX(IF((ProjectInfoTable[ProjectName]=CountersTable[[#This Row],[ProjectName]]),(ProjectInfoTable[ProjectName]=CountersTable[[#This Row],[ProjectName]])*ProjectInfoTable[NumberOfReplications]))</f>
        <v>30</v>
      </c>
      <c r="J16" cm="1">
        <f t="array" ref="J16">IFERROR(AVERAGE(IF((CountersTable[GroupByKey]=CountersTable[[#This Row],[GroupByKey]]),(CountersTable[GroupByKey]=CountersTable[[#This Row],[GroupByKey]])*CountersTable[RecordedValue])),0)</f>
        <v>89.166666666666671</v>
      </c>
      <c r="K16" s="5" cm="1">
        <f t="array" ref="K16">IFERROR(_xlfn.STDEV.S(IF((CountersTable[GroupByKey]=CountersTable[[#This Row],[GroupByKey]]),(CountersTable[GroupByKey]=CountersTable[[#This Row],[GroupByKey]])*CountersTable[RecordedValue])),0)</f>
        <v>7.9658033485961566</v>
      </c>
      <c r="L16" s="5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16" s="5" cm="1">
        <f t="array" ref="N16">MIN(IF((CountersTable[GroupByKey]=CountersTable[[#This Row],[GroupByKey]]),(CountersTable[GroupByKey]=CountersTable[[#This Row],[GroupByKey]])*CountersTable[RecordedValue]))</f>
        <v>70</v>
      </c>
      <c r="O16" s="5" cm="1">
        <f t="array" ref="O16">MAX(IF((CountersTable[GroupByKey]=CountersTable[[#This Row],[GroupByKey]]),(CountersTable[GroupByKey]=CountersTable[[#This Row],[GroupByKey]])*CountersTable[RecordedValue]))</f>
        <v>103</v>
      </c>
    </row>
    <row r="17" spans="1:15" x14ac:dyDescent="0.3">
      <c r="A17" t="s">
        <v>66</v>
      </c>
      <c r="B17" t="s">
        <v>68</v>
      </c>
      <c r="C17">
        <v>8</v>
      </c>
      <c r="D17" t="s">
        <v>90</v>
      </c>
      <c r="E17" t="s">
        <v>88</v>
      </c>
      <c r="F17" t="s">
        <v>89</v>
      </c>
      <c r="G17">
        <v>1</v>
      </c>
      <c r="H1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7" s="5" cm="1">
        <f t="array" ref="I17">MAX(IF((ProjectInfoTable[ProjectName]=CountersTable[[#This Row],[ProjectName]]),(ProjectInfoTable[ProjectName]=CountersTable[[#This Row],[ProjectName]])*ProjectInfoTable[NumberOfReplications]))</f>
        <v>30</v>
      </c>
      <c r="J17" cm="1">
        <f t="array" ref="J17">IFERROR(AVERAGE(IF((CountersTable[GroupByKey]=CountersTable[[#This Row],[GroupByKey]]),(CountersTable[GroupByKey]=CountersTable[[#This Row],[GroupByKey]])*CountersTable[RecordedValue])),0)</f>
        <v>1.8333333333333333</v>
      </c>
      <c r="K17" s="5" cm="1">
        <f t="array" ref="K17">IFERROR(_xlfn.STDEV.S(IF((CountersTable[GroupByKey]=CountersTable[[#This Row],[GroupByKey]]),(CountersTable[GroupByKey]=CountersTable[[#This Row],[GroupByKey]])*CountersTable[RecordedValue])),0)</f>
        <v>2.0858031337217993</v>
      </c>
      <c r="L17" s="5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17" s="5" cm="1">
        <f t="array" ref="N17">MIN(IF((CountersTable[GroupByKey]=CountersTable[[#This Row],[GroupByKey]]),(CountersTable[GroupByKey]=CountersTable[[#This Row],[GroupByKey]])*CountersTable[RecordedValue]))</f>
        <v>0</v>
      </c>
      <c r="O17" s="5" cm="1">
        <f t="array" ref="O17">MAX(IF((CountersTable[GroupByKey]=CountersTable[[#This Row],[GroupByKey]]),(CountersTable[GroupByKey]=CountersTable[[#This Row],[GroupByKey]])*CountersTable[RecordedValue]))</f>
        <v>9</v>
      </c>
    </row>
    <row r="18" spans="1:15" x14ac:dyDescent="0.3">
      <c r="A18" t="s">
        <v>66</v>
      </c>
      <c r="B18" t="s">
        <v>68</v>
      </c>
      <c r="C18">
        <v>9</v>
      </c>
      <c r="D18" t="s">
        <v>87</v>
      </c>
      <c r="E18" t="s">
        <v>88</v>
      </c>
      <c r="F18" t="s">
        <v>89</v>
      </c>
      <c r="G18">
        <v>86</v>
      </c>
      <c r="H18" t="str">
        <f>CountersTable[[#This Row],[ProjectName]]&amp;CountersTable[[#This Row],[Name]]&amp;CountersTable[[#This Row],[Type]]&amp;CountersTable[[#This Row],[Source]]</f>
        <v>Unnamed Projectcustomer servedCountUser Specified</v>
      </c>
      <c r="I18" s="5" cm="1">
        <f t="array" ref="I18">MAX(IF((ProjectInfoTable[ProjectName]=CountersTable[[#This Row],[ProjectName]]),(ProjectInfoTable[ProjectName]=CountersTable[[#This Row],[ProjectName]])*ProjectInfoTable[NumberOfReplications]))</f>
        <v>30</v>
      </c>
      <c r="J18" cm="1">
        <f t="array" ref="J18">IFERROR(AVERAGE(IF((CountersTable[GroupByKey]=CountersTable[[#This Row],[GroupByKey]]),(CountersTable[GroupByKey]=CountersTable[[#This Row],[GroupByKey]])*CountersTable[RecordedValue])),0)</f>
        <v>89.166666666666671</v>
      </c>
      <c r="K18" s="5" cm="1">
        <f t="array" ref="K18">IFERROR(_xlfn.STDEV.S(IF((CountersTable[GroupByKey]=CountersTable[[#This Row],[GroupByKey]]),(CountersTable[GroupByKey]=CountersTable[[#This Row],[GroupByKey]])*CountersTable[RecordedValue])),0)</f>
        <v>7.9658033485961566</v>
      </c>
      <c r="L18" s="5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18" s="5" cm="1">
        <f t="array" ref="N18">MIN(IF((CountersTable[GroupByKey]=CountersTable[[#This Row],[GroupByKey]]),(CountersTable[GroupByKey]=CountersTable[[#This Row],[GroupByKey]])*CountersTable[RecordedValue]))</f>
        <v>70</v>
      </c>
      <c r="O18" s="5" cm="1">
        <f t="array" ref="O18">MAX(IF((CountersTable[GroupByKey]=CountersTable[[#This Row],[GroupByKey]]),(CountersTable[GroupByKey]=CountersTable[[#This Row],[GroupByKey]])*CountersTable[RecordedValue]))</f>
        <v>103</v>
      </c>
    </row>
    <row r="19" spans="1:15" x14ac:dyDescent="0.3">
      <c r="A19" t="s">
        <v>66</v>
      </c>
      <c r="B19" t="s">
        <v>68</v>
      </c>
      <c r="C19">
        <v>9</v>
      </c>
      <c r="D19" t="s">
        <v>90</v>
      </c>
      <c r="E19" t="s">
        <v>88</v>
      </c>
      <c r="F19" t="s">
        <v>89</v>
      </c>
      <c r="G19">
        <v>1</v>
      </c>
      <c r="H1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9" s="5" cm="1">
        <f t="array" ref="I19">MAX(IF((ProjectInfoTable[ProjectName]=CountersTable[[#This Row],[ProjectName]]),(ProjectInfoTable[ProjectName]=CountersTable[[#This Row],[ProjectName]])*ProjectInfoTable[NumberOfReplications]))</f>
        <v>30</v>
      </c>
      <c r="J19" cm="1">
        <f t="array" ref="J19">IFERROR(AVERAGE(IF((CountersTable[GroupByKey]=CountersTable[[#This Row],[GroupByKey]]),(CountersTable[GroupByKey]=CountersTable[[#This Row],[GroupByKey]])*CountersTable[RecordedValue])),0)</f>
        <v>1.8333333333333333</v>
      </c>
      <c r="K19" s="5" cm="1">
        <f t="array" ref="K19">IFERROR(_xlfn.STDEV.S(IF((CountersTable[GroupByKey]=CountersTable[[#This Row],[GroupByKey]]),(CountersTable[GroupByKey]=CountersTable[[#This Row],[GroupByKey]])*CountersTable[RecordedValue])),0)</f>
        <v>2.0858031337217993</v>
      </c>
      <c r="L19" s="5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19" s="5" cm="1">
        <f t="array" ref="N19">MIN(IF((CountersTable[GroupByKey]=CountersTable[[#This Row],[GroupByKey]]),(CountersTable[GroupByKey]=CountersTable[[#This Row],[GroupByKey]])*CountersTable[RecordedValue]))</f>
        <v>0</v>
      </c>
      <c r="O19" s="5" cm="1">
        <f t="array" ref="O19">MAX(IF((CountersTable[GroupByKey]=CountersTable[[#This Row],[GroupByKey]]),(CountersTable[GroupByKey]=CountersTable[[#This Row],[GroupByKey]])*CountersTable[RecordedValue]))</f>
        <v>9</v>
      </c>
    </row>
    <row r="20" spans="1:15" x14ac:dyDescent="0.3">
      <c r="A20" t="s">
        <v>66</v>
      </c>
      <c r="B20" t="s">
        <v>68</v>
      </c>
      <c r="C20">
        <v>10</v>
      </c>
      <c r="D20" t="s">
        <v>87</v>
      </c>
      <c r="E20" t="s">
        <v>88</v>
      </c>
      <c r="F20" t="s">
        <v>89</v>
      </c>
      <c r="G20">
        <v>81</v>
      </c>
      <c r="H20" t="str">
        <f>CountersTable[[#This Row],[ProjectName]]&amp;CountersTable[[#This Row],[Name]]&amp;CountersTable[[#This Row],[Type]]&amp;CountersTable[[#This Row],[Source]]</f>
        <v>Unnamed Projectcustomer servedCountUser Specified</v>
      </c>
      <c r="I20" s="5" cm="1">
        <f t="array" ref="I20">MAX(IF((ProjectInfoTable[ProjectName]=CountersTable[[#This Row],[ProjectName]]),(ProjectInfoTable[ProjectName]=CountersTable[[#This Row],[ProjectName]])*ProjectInfoTable[NumberOfReplications]))</f>
        <v>30</v>
      </c>
      <c r="J20" cm="1">
        <f t="array" ref="J20">IFERROR(AVERAGE(IF((CountersTable[GroupByKey]=CountersTable[[#This Row],[GroupByKey]]),(CountersTable[GroupByKey]=CountersTable[[#This Row],[GroupByKey]])*CountersTable[RecordedValue])),0)</f>
        <v>89.166666666666671</v>
      </c>
      <c r="K20" s="5" cm="1">
        <f t="array" ref="K20">IFERROR(_xlfn.STDEV.S(IF((CountersTable[GroupByKey]=CountersTable[[#This Row],[GroupByKey]]),(CountersTable[GroupByKey]=CountersTable[[#This Row],[GroupByKey]])*CountersTable[RecordedValue])),0)</f>
        <v>7.9658033485961566</v>
      </c>
      <c r="L20" s="5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20" s="5" cm="1">
        <f t="array" ref="N20">MIN(IF((CountersTable[GroupByKey]=CountersTable[[#This Row],[GroupByKey]]),(CountersTable[GroupByKey]=CountersTable[[#This Row],[GroupByKey]])*CountersTable[RecordedValue]))</f>
        <v>70</v>
      </c>
      <c r="O20" s="5" cm="1">
        <f t="array" ref="O20">MAX(IF((CountersTable[GroupByKey]=CountersTable[[#This Row],[GroupByKey]]),(CountersTable[GroupByKey]=CountersTable[[#This Row],[GroupByKey]])*CountersTable[RecordedValue]))</f>
        <v>103</v>
      </c>
    </row>
    <row r="21" spans="1:15" x14ac:dyDescent="0.3">
      <c r="A21" t="s">
        <v>66</v>
      </c>
      <c r="B21" t="s">
        <v>68</v>
      </c>
      <c r="C21">
        <v>10</v>
      </c>
      <c r="D21" t="s">
        <v>90</v>
      </c>
      <c r="E21" t="s">
        <v>88</v>
      </c>
      <c r="F21" t="s">
        <v>89</v>
      </c>
      <c r="G21">
        <v>0</v>
      </c>
      <c r="H2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1" s="5" cm="1">
        <f t="array" ref="I21">MAX(IF((ProjectInfoTable[ProjectName]=CountersTable[[#This Row],[ProjectName]]),(ProjectInfoTable[ProjectName]=CountersTable[[#This Row],[ProjectName]])*ProjectInfoTable[NumberOfReplications]))</f>
        <v>30</v>
      </c>
      <c r="J21" cm="1">
        <f t="array" ref="J21">IFERROR(AVERAGE(IF((CountersTable[GroupByKey]=CountersTable[[#This Row],[GroupByKey]]),(CountersTable[GroupByKey]=CountersTable[[#This Row],[GroupByKey]])*CountersTable[RecordedValue])),0)</f>
        <v>1.8333333333333333</v>
      </c>
      <c r="K21" s="5" cm="1">
        <f t="array" ref="K21">IFERROR(_xlfn.STDEV.S(IF((CountersTable[GroupByKey]=CountersTable[[#This Row],[GroupByKey]]),(CountersTable[GroupByKey]=CountersTable[[#This Row],[GroupByKey]])*CountersTable[RecordedValue])),0)</f>
        <v>2.0858031337217993</v>
      </c>
      <c r="L21" s="5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21" s="5" cm="1">
        <f t="array" ref="N21">MIN(IF((CountersTable[GroupByKey]=CountersTable[[#This Row],[GroupByKey]]),(CountersTable[GroupByKey]=CountersTable[[#This Row],[GroupByKey]])*CountersTable[RecordedValue]))</f>
        <v>0</v>
      </c>
      <c r="O21" s="5" cm="1">
        <f t="array" ref="O21">MAX(IF((CountersTable[GroupByKey]=CountersTable[[#This Row],[GroupByKey]]),(CountersTable[GroupByKey]=CountersTable[[#This Row],[GroupByKey]])*CountersTable[RecordedValue]))</f>
        <v>9</v>
      </c>
    </row>
    <row r="22" spans="1:15" x14ac:dyDescent="0.3">
      <c r="A22" t="s">
        <v>66</v>
      </c>
      <c r="B22" t="s">
        <v>68</v>
      </c>
      <c r="C22">
        <v>11</v>
      </c>
      <c r="D22" t="s">
        <v>87</v>
      </c>
      <c r="E22" t="s">
        <v>88</v>
      </c>
      <c r="F22" t="s">
        <v>89</v>
      </c>
      <c r="G22">
        <v>94</v>
      </c>
      <c r="H22" t="str">
        <f>CountersTable[[#This Row],[ProjectName]]&amp;CountersTable[[#This Row],[Name]]&amp;CountersTable[[#This Row],[Type]]&amp;CountersTable[[#This Row],[Source]]</f>
        <v>Unnamed Projectcustomer servedCountUser Specified</v>
      </c>
      <c r="I22" s="5" cm="1">
        <f t="array" ref="I22">MAX(IF((ProjectInfoTable[ProjectName]=CountersTable[[#This Row],[ProjectName]]),(ProjectInfoTable[ProjectName]=CountersTable[[#This Row],[ProjectName]])*ProjectInfoTable[NumberOfReplications]))</f>
        <v>30</v>
      </c>
      <c r="J22" cm="1">
        <f t="array" ref="J22">IFERROR(AVERAGE(IF((CountersTable[GroupByKey]=CountersTable[[#This Row],[GroupByKey]]),(CountersTable[GroupByKey]=CountersTable[[#This Row],[GroupByKey]])*CountersTable[RecordedValue])),0)</f>
        <v>89.166666666666671</v>
      </c>
      <c r="K22" s="5" cm="1">
        <f t="array" ref="K22">IFERROR(_xlfn.STDEV.S(IF((CountersTable[GroupByKey]=CountersTable[[#This Row],[GroupByKey]]),(CountersTable[GroupByKey]=CountersTable[[#This Row],[GroupByKey]])*CountersTable[RecordedValue])),0)</f>
        <v>7.9658033485961566</v>
      </c>
      <c r="L22" s="5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22" s="5" cm="1">
        <f t="array" ref="N22">MIN(IF((CountersTable[GroupByKey]=CountersTable[[#This Row],[GroupByKey]]),(CountersTable[GroupByKey]=CountersTable[[#This Row],[GroupByKey]])*CountersTable[RecordedValue]))</f>
        <v>70</v>
      </c>
      <c r="O22" s="5" cm="1">
        <f t="array" ref="O22">MAX(IF((CountersTable[GroupByKey]=CountersTable[[#This Row],[GroupByKey]]),(CountersTable[GroupByKey]=CountersTable[[#This Row],[GroupByKey]])*CountersTable[RecordedValue]))</f>
        <v>103</v>
      </c>
    </row>
    <row r="23" spans="1:15" x14ac:dyDescent="0.3">
      <c r="A23" t="s">
        <v>66</v>
      </c>
      <c r="B23" t="s">
        <v>68</v>
      </c>
      <c r="C23">
        <v>11</v>
      </c>
      <c r="D23" t="s">
        <v>90</v>
      </c>
      <c r="E23" t="s">
        <v>88</v>
      </c>
      <c r="F23" t="s">
        <v>89</v>
      </c>
      <c r="G23">
        <v>1</v>
      </c>
      <c r="H2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3" s="5" cm="1">
        <f t="array" ref="I23">MAX(IF((ProjectInfoTable[ProjectName]=CountersTable[[#This Row],[ProjectName]]),(ProjectInfoTable[ProjectName]=CountersTable[[#This Row],[ProjectName]])*ProjectInfoTable[NumberOfReplications]))</f>
        <v>30</v>
      </c>
      <c r="J23" cm="1">
        <f t="array" ref="J23">IFERROR(AVERAGE(IF((CountersTable[GroupByKey]=CountersTable[[#This Row],[GroupByKey]]),(CountersTable[GroupByKey]=CountersTable[[#This Row],[GroupByKey]])*CountersTable[RecordedValue])),0)</f>
        <v>1.8333333333333333</v>
      </c>
      <c r="K23" s="5" cm="1">
        <f t="array" ref="K23">IFERROR(_xlfn.STDEV.S(IF((CountersTable[GroupByKey]=CountersTable[[#This Row],[GroupByKey]]),(CountersTable[GroupByKey]=CountersTable[[#This Row],[GroupByKey]])*CountersTable[RecordedValue])),0)</f>
        <v>2.0858031337217993</v>
      </c>
      <c r="L23" s="5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23" s="5" cm="1">
        <f t="array" ref="N23">MIN(IF((CountersTable[GroupByKey]=CountersTable[[#This Row],[GroupByKey]]),(CountersTable[GroupByKey]=CountersTable[[#This Row],[GroupByKey]])*CountersTable[RecordedValue]))</f>
        <v>0</v>
      </c>
      <c r="O23" s="5" cm="1">
        <f t="array" ref="O23">MAX(IF((CountersTable[GroupByKey]=CountersTable[[#This Row],[GroupByKey]]),(CountersTable[GroupByKey]=CountersTable[[#This Row],[GroupByKey]])*CountersTable[RecordedValue]))</f>
        <v>9</v>
      </c>
    </row>
    <row r="24" spans="1:15" x14ac:dyDescent="0.3">
      <c r="A24" t="s">
        <v>66</v>
      </c>
      <c r="B24" t="s">
        <v>68</v>
      </c>
      <c r="C24">
        <v>12</v>
      </c>
      <c r="D24" t="s">
        <v>87</v>
      </c>
      <c r="E24" t="s">
        <v>88</v>
      </c>
      <c r="F24" t="s">
        <v>89</v>
      </c>
      <c r="G24">
        <v>84</v>
      </c>
      <c r="H24" t="str">
        <f>CountersTable[[#This Row],[ProjectName]]&amp;CountersTable[[#This Row],[Name]]&amp;CountersTable[[#This Row],[Type]]&amp;CountersTable[[#This Row],[Source]]</f>
        <v>Unnamed Projectcustomer servedCountUser Specified</v>
      </c>
      <c r="I24" s="5" cm="1">
        <f t="array" ref="I24">MAX(IF((ProjectInfoTable[ProjectName]=CountersTable[[#This Row],[ProjectName]]),(ProjectInfoTable[ProjectName]=CountersTable[[#This Row],[ProjectName]])*ProjectInfoTable[NumberOfReplications]))</f>
        <v>30</v>
      </c>
      <c r="J24" cm="1">
        <f t="array" ref="J24">IFERROR(AVERAGE(IF((CountersTable[GroupByKey]=CountersTable[[#This Row],[GroupByKey]]),(CountersTable[GroupByKey]=CountersTable[[#This Row],[GroupByKey]])*CountersTable[RecordedValue])),0)</f>
        <v>89.166666666666671</v>
      </c>
      <c r="K24" s="5" cm="1">
        <f t="array" ref="K24">IFERROR(_xlfn.STDEV.S(IF((CountersTable[GroupByKey]=CountersTable[[#This Row],[GroupByKey]]),(CountersTable[GroupByKey]=CountersTable[[#This Row],[GroupByKey]])*CountersTable[RecordedValue])),0)</f>
        <v>7.9658033485961566</v>
      </c>
      <c r="L24" s="5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24" s="5" cm="1">
        <f t="array" ref="N24">MIN(IF((CountersTable[GroupByKey]=CountersTable[[#This Row],[GroupByKey]]),(CountersTable[GroupByKey]=CountersTable[[#This Row],[GroupByKey]])*CountersTable[RecordedValue]))</f>
        <v>70</v>
      </c>
      <c r="O24" s="5" cm="1">
        <f t="array" ref="O24">MAX(IF((CountersTable[GroupByKey]=CountersTable[[#This Row],[GroupByKey]]),(CountersTable[GroupByKey]=CountersTable[[#This Row],[GroupByKey]])*CountersTable[RecordedValue]))</f>
        <v>103</v>
      </c>
    </row>
    <row r="25" spans="1:15" x14ac:dyDescent="0.3">
      <c r="A25" t="s">
        <v>66</v>
      </c>
      <c r="B25" t="s">
        <v>68</v>
      </c>
      <c r="C25">
        <v>12</v>
      </c>
      <c r="D25" t="s">
        <v>90</v>
      </c>
      <c r="E25" t="s">
        <v>88</v>
      </c>
      <c r="F25" t="s">
        <v>89</v>
      </c>
      <c r="G25">
        <v>5</v>
      </c>
      <c r="H2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5" s="5" cm="1">
        <f t="array" ref="I25">MAX(IF((ProjectInfoTable[ProjectName]=CountersTable[[#This Row],[ProjectName]]),(ProjectInfoTable[ProjectName]=CountersTable[[#This Row],[ProjectName]])*ProjectInfoTable[NumberOfReplications]))</f>
        <v>30</v>
      </c>
      <c r="J25" cm="1">
        <f t="array" ref="J25">IFERROR(AVERAGE(IF((CountersTable[GroupByKey]=CountersTable[[#This Row],[GroupByKey]]),(CountersTable[GroupByKey]=CountersTable[[#This Row],[GroupByKey]])*CountersTable[RecordedValue])),0)</f>
        <v>1.8333333333333333</v>
      </c>
      <c r="K25" s="5" cm="1">
        <f t="array" ref="K25">IFERROR(_xlfn.STDEV.S(IF((CountersTable[GroupByKey]=CountersTable[[#This Row],[GroupByKey]]),(CountersTable[GroupByKey]=CountersTable[[#This Row],[GroupByKey]])*CountersTable[RecordedValue])),0)</f>
        <v>2.0858031337217993</v>
      </c>
      <c r="L25" s="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25" s="5" cm="1">
        <f t="array" ref="N25">MIN(IF((CountersTable[GroupByKey]=CountersTable[[#This Row],[GroupByKey]]),(CountersTable[GroupByKey]=CountersTable[[#This Row],[GroupByKey]])*CountersTable[RecordedValue]))</f>
        <v>0</v>
      </c>
      <c r="O25" s="5" cm="1">
        <f t="array" ref="O25">MAX(IF((CountersTable[GroupByKey]=CountersTable[[#This Row],[GroupByKey]]),(CountersTable[GroupByKey]=CountersTable[[#This Row],[GroupByKey]])*CountersTable[RecordedValue]))</f>
        <v>9</v>
      </c>
    </row>
    <row r="26" spans="1:15" x14ac:dyDescent="0.3">
      <c r="A26" t="s">
        <v>66</v>
      </c>
      <c r="B26" t="s">
        <v>68</v>
      </c>
      <c r="C26">
        <v>13</v>
      </c>
      <c r="D26" t="s">
        <v>87</v>
      </c>
      <c r="E26" t="s">
        <v>88</v>
      </c>
      <c r="F26" t="s">
        <v>89</v>
      </c>
      <c r="G26">
        <v>92</v>
      </c>
      <c r="H26" t="str">
        <f>CountersTable[[#This Row],[ProjectName]]&amp;CountersTable[[#This Row],[Name]]&amp;CountersTable[[#This Row],[Type]]&amp;CountersTable[[#This Row],[Source]]</f>
        <v>Unnamed Projectcustomer servedCountUser Specified</v>
      </c>
      <c r="I26" s="5" cm="1">
        <f t="array" ref="I26">MAX(IF((ProjectInfoTable[ProjectName]=CountersTable[[#This Row],[ProjectName]]),(ProjectInfoTable[ProjectName]=CountersTable[[#This Row],[ProjectName]])*ProjectInfoTable[NumberOfReplications]))</f>
        <v>30</v>
      </c>
      <c r="J26" cm="1">
        <f t="array" ref="J26">IFERROR(AVERAGE(IF((CountersTable[GroupByKey]=CountersTable[[#This Row],[GroupByKey]]),(CountersTable[GroupByKey]=CountersTable[[#This Row],[GroupByKey]])*CountersTable[RecordedValue])),0)</f>
        <v>89.166666666666671</v>
      </c>
      <c r="K26" s="5" cm="1">
        <f t="array" ref="K26">IFERROR(_xlfn.STDEV.S(IF((CountersTable[GroupByKey]=CountersTable[[#This Row],[GroupByKey]]),(CountersTable[GroupByKey]=CountersTable[[#This Row],[GroupByKey]])*CountersTable[RecordedValue])),0)</f>
        <v>7.9658033485961566</v>
      </c>
      <c r="L26" s="5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26" s="5" cm="1">
        <f t="array" ref="N26">MIN(IF((CountersTable[GroupByKey]=CountersTable[[#This Row],[GroupByKey]]),(CountersTable[GroupByKey]=CountersTable[[#This Row],[GroupByKey]])*CountersTable[RecordedValue]))</f>
        <v>70</v>
      </c>
      <c r="O26" s="5" cm="1">
        <f t="array" ref="O26">MAX(IF((CountersTable[GroupByKey]=CountersTable[[#This Row],[GroupByKey]]),(CountersTable[GroupByKey]=CountersTable[[#This Row],[GroupByKey]])*CountersTable[RecordedValue]))</f>
        <v>103</v>
      </c>
    </row>
    <row r="27" spans="1:15" x14ac:dyDescent="0.3">
      <c r="A27" t="s">
        <v>66</v>
      </c>
      <c r="B27" t="s">
        <v>68</v>
      </c>
      <c r="C27">
        <v>13</v>
      </c>
      <c r="D27" t="s">
        <v>90</v>
      </c>
      <c r="E27" t="s">
        <v>88</v>
      </c>
      <c r="F27" t="s">
        <v>89</v>
      </c>
      <c r="G27">
        <v>0</v>
      </c>
      <c r="H2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7" s="5" cm="1">
        <f t="array" ref="I27">MAX(IF((ProjectInfoTable[ProjectName]=CountersTable[[#This Row],[ProjectName]]),(ProjectInfoTable[ProjectName]=CountersTable[[#This Row],[ProjectName]])*ProjectInfoTable[NumberOfReplications]))</f>
        <v>30</v>
      </c>
      <c r="J27" cm="1">
        <f t="array" ref="J27">IFERROR(AVERAGE(IF((CountersTable[GroupByKey]=CountersTable[[#This Row],[GroupByKey]]),(CountersTable[GroupByKey]=CountersTable[[#This Row],[GroupByKey]])*CountersTable[RecordedValue])),0)</f>
        <v>1.8333333333333333</v>
      </c>
      <c r="K27" s="5" cm="1">
        <f t="array" ref="K27">IFERROR(_xlfn.STDEV.S(IF((CountersTable[GroupByKey]=CountersTable[[#This Row],[GroupByKey]]),(CountersTable[GroupByKey]=CountersTable[[#This Row],[GroupByKey]])*CountersTable[RecordedValue])),0)</f>
        <v>2.0858031337217993</v>
      </c>
      <c r="L27" s="5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27" s="5" cm="1">
        <f t="array" ref="N27">MIN(IF((CountersTable[GroupByKey]=CountersTable[[#This Row],[GroupByKey]]),(CountersTable[GroupByKey]=CountersTable[[#This Row],[GroupByKey]])*CountersTable[RecordedValue]))</f>
        <v>0</v>
      </c>
      <c r="O27" s="5" cm="1">
        <f t="array" ref="O27">MAX(IF((CountersTable[GroupByKey]=CountersTable[[#This Row],[GroupByKey]]),(CountersTable[GroupByKey]=CountersTable[[#This Row],[GroupByKey]])*CountersTable[RecordedValue]))</f>
        <v>9</v>
      </c>
    </row>
    <row r="28" spans="1:15" x14ac:dyDescent="0.3">
      <c r="A28" t="s">
        <v>66</v>
      </c>
      <c r="B28" t="s">
        <v>68</v>
      </c>
      <c r="C28">
        <v>14</v>
      </c>
      <c r="D28" t="s">
        <v>87</v>
      </c>
      <c r="E28" t="s">
        <v>88</v>
      </c>
      <c r="F28" t="s">
        <v>89</v>
      </c>
      <c r="G28">
        <v>94</v>
      </c>
      <c r="H28" t="str">
        <f>CountersTable[[#This Row],[ProjectName]]&amp;CountersTable[[#This Row],[Name]]&amp;CountersTable[[#This Row],[Type]]&amp;CountersTable[[#This Row],[Source]]</f>
        <v>Unnamed Projectcustomer servedCountUser Specified</v>
      </c>
      <c r="I28" s="5" cm="1">
        <f t="array" ref="I28">MAX(IF((ProjectInfoTable[ProjectName]=CountersTable[[#This Row],[ProjectName]]),(ProjectInfoTable[ProjectName]=CountersTable[[#This Row],[ProjectName]])*ProjectInfoTable[NumberOfReplications]))</f>
        <v>30</v>
      </c>
      <c r="J28" cm="1">
        <f t="array" ref="J28">IFERROR(AVERAGE(IF((CountersTable[GroupByKey]=CountersTable[[#This Row],[GroupByKey]]),(CountersTable[GroupByKey]=CountersTable[[#This Row],[GroupByKey]])*CountersTable[RecordedValue])),0)</f>
        <v>89.166666666666671</v>
      </c>
      <c r="K28" s="5" cm="1">
        <f t="array" ref="K28">IFERROR(_xlfn.STDEV.S(IF((CountersTable[GroupByKey]=CountersTable[[#This Row],[GroupByKey]]),(CountersTable[GroupByKey]=CountersTable[[#This Row],[GroupByKey]])*CountersTable[RecordedValue])),0)</f>
        <v>7.9658033485961566</v>
      </c>
      <c r="L28" s="5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28" s="5" cm="1">
        <f t="array" ref="N28">MIN(IF((CountersTable[GroupByKey]=CountersTable[[#This Row],[GroupByKey]]),(CountersTable[GroupByKey]=CountersTable[[#This Row],[GroupByKey]])*CountersTable[RecordedValue]))</f>
        <v>70</v>
      </c>
      <c r="O28" s="5" cm="1">
        <f t="array" ref="O28">MAX(IF((CountersTable[GroupByKey]=CountersTable[[#This Row],[GroupByKey]]),(CountersTable[GroupByKey]=CountersTable[[#This Row],[GroupByKey]])*CountersTable[RecordedValue]))</f>
        <v>103</v>
      </c>
    </row>
    <row r="29" spans="1:15" x14ac:dyDescent="0.3">
      <c r="A29" t="s">
        <v>66</v>
      </c>
      <c r="B29" t="s">
        <v>68</v>
      </c>
      <c r="C29">
        <v>14</v>
      </c>
      <c r="D29" t="s">
        <v>90</v>
      </c>
      <c r="E29" t="s">
        <v>88</v>
      </c>
      <c r="F29" t="s">
        <v>89</v>
      </c>
      <c r="G29">
        <v>2</v>
      </c>
      <c r="H2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9" s="5" cm="1">
        <f t="array" ref="I29">MAX(IF((ProjectInfoTable[ProjectName]=CountersTable[[#This Row],[ProjectName]]),(ProjectInfoTable[ProjectName]=CountersTable[[#This Row],[ProjectName]])*ProjectInfoTable[NumberOfReplications]))</f>
        <v>30</v>
      </c>
      <c r="J29" cm="1">
        <f t="array" ref="J29">IFERROR(AVERAGE(IF((CountersTable[GroupByKey]=CountersTable[[#This Row],[GroupByKey]]),(CountersTable[GroupByKey]=CountersTable[[#This Row],[GroupByKey]])*CountersTable[RecordedValue])),0)</f>
        <v>1.8333333333333333</v>
      </c>
      <c r="K29" s="5" cm="1">
        <f t="array" ref="K29">IFERROR(_xlfn.STDEV.S(IF((CountersTable[GroupByKey]=CountersTable[[#This Row],[GroupByKey]]),(CountersTable[GroupByKey]=CountersTable[[#This Row],[GroupByKey]])*CountersTable[RecordedValue])),0)</f>
        <v>2.0858031337217993</v>
      </c>
      <c r="L29" s="5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29" s="5" cm="1">
        <f t="array" ref="N29">MIN(IF((CountersTable[GroupByKey]=CountersTable[[#This Row],[GroupByKey]]),(CountersTable[GroupByKey]=CountersTable[[#This Row],[GroupByKey]])*CountersTable[RecordedValue]))</f>
        <v>0</v>
      </c>
      <c r="O29" s="5" cm="1">
        <f t="array" ref="O29">MAX(IF((CountersTable[GroupByKey]=CountersTable[[#This Row],[GroupByKey]]),(CountersTable[GroupByKey]=CountersTable[[#This Row],[GroupByKey]])*CountersTable[RecordedValue]))</f>
        <v>9</v>
      </c>
    </row>
    <row r="30" spans="1:15" x14ac:dyDescent="0.3">
      <c r="A30" t="s">
        <v>66</v>
      </c>
      <c r="B30" t="s">
        <v>68</v>
      </c>
      <c r="C30">
        <v>15</v>
      </c>
      <c r="D30" t="s">
        <v>87</v>
      </c>
      <c r="E30" t="s">
        <v>88</v>
      </c>
      <c r="F30" t="s">
        <v>89</v>
      </c>
      <c r="G30">
        <v>86</v>
      </c>
      <c r="H30" t="str">
        <f>CountersTable[[#This Row],[ProjectName]]&amp;CountersTable[[#This Row],[Name]]&amp;CountersTable[[#This Row],[Type]]&amp;CountersTable[[#This Row],[Source]]</f>
        <v>Unnamed Projectcustomer servedCountUser Specified</v>
      </c>
      <c r="I30" s="5" cm="1">
        <f t="array" ref="I30">MAX(IF((ProjectInfoTable[ProjectName]=CountersTable[[#This Row],[ProjectName]]),(ProjectInfoTable[ProjectName]=CountersTable[[#This Row],[ProjectName]])*ProjectInfoTable[NumberOfReplications]))</f>
        <v>30</v>
      </c>
      <c r="J30" cm="1">
        <f t="array" ref="J30">IFERROR(AVERAGE(IF((CountersTable[GroupByKey]=CountersTable[[#This Row],[GroupByKey]]),(CountersTable[GroupByKey]=CountersTable[[#This Row],[GroupByKey]])*CountersTable[RecordedValue])),0)</f>
        <v>89.166666666666671</v>
      </c>
      <c r="K30" s="5" cm="1">
        <f t="array" ref="K30">IFERROR(_xlfn.STDEV.S(IF((CountersTable[GroupByKey]=CountersTable[[#This Row],[GroupByKey]]),(CountersTable[GroupByKey]=CountersTable[[#This Row],[GroupByKey]])*CountersTable[RecordedValue])),0)</f>
        <v>7.9658033485961566</v>
      </c>
      <c r="L30" s="5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30" s="5" cm="1">
        <f t="array" ref="N30">MIN(IF((CountersTable[GroupByKey]=CountersTable[[#This Row],[GroupByKey]]),(CountersTable[GroupByKey]=CountersTable[[#This Row],[GroupByKey]])*CountersTable[RecordedValue]))</f>
        <v>70</v>
      </c>
      <c r="O30" s="5" cm="1">
        <f t="array" ref="O30">MAX(IF((CountersTable[GroupByKey]=CountersTable[[#This Row],[GroupByKey]]),(CountersTable[GroupByKey]=CountersTable[[#This Row],[GroupByKey]])*CountersTable[RecordedValue]))</f>
        <v>103</v>
      </c>
    </row>
    <row r="31" spans="1:15" x14ac:dyDescent="0.3">
      <c r="A31" t="s">
        <v>66</v>
      </c>
      <c r="B31" t="s">
        <v>68</v>
      </c>
      <c r="C31">
        <v>15</v>
      </c>
      <c r="D31" t="s">
        <v>90</v>
      </c>
      <c r="E31" t="s">
        <v>88</v>
      </c>
      <c r="F31" t="s">
        <v>89</v>
      </c>
      <c r="G31">
        <v>0</v>
      </c>
      <c r="H3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1" s="5" cm="1">
        <f t="array" ref="I31">MAX(IF((ProjectInfoTable[ProjectName]=CountersTable[[#This Row],[ProjectName]]),(ProjectInfoTable[ProjectName]=CountersTable[[#This Row],[ProjectName]])*ProjectInfoTable[NumberOfReplications]))</f>
        <v>30</v>
      </c>
      <c r="J31" cm="1">
        <f t="array" ref="J31">IFERROR(AVERAGE(IF((CountersTable[GroupByKey]=CountersTable[[#This Row],[GroupByKey]]),(CountersTable[GroupByKey]=CountersTable[[#This Row],[GroupByKey]])*CountersTable[RecordedValue])),0)</f>
        <v>1.8333333333333333</v>
      </c>
      <c r="K31" s="5" cm="1">
        <f t="array" ref="K31">IFERROR(_xlfn.STDEV.S(IF((CountersTable[GroupByKey]=CountersTable[[#This Row],[GroupByKey]]),(CountersTable[GroupByKey]=CountersTable[[#This Row],[GroupByKey]])*CountersTable[RecordedValue])),0)</f>
        <v>2.0858031337217993</v>
      </c>
      <c r="L31" s="5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31" s="5" cm="1">
        <f t="array" ref="N31">MIN(IF((CountersTable[GroupByKey]=CountersTable[[#This Row],[GroupByKey]]),(CountersTable[GroupByKey]=CountersTable[[#This Row],[GroupByKey]])*CountersTable[RecordedValue]))</f>
        <v>0</v>
      </c>
      <c r="O31" s="5" cm="1">
        <f t="array" ref="O31">MAX(IF((CountersTable[GroupByKey]=CountersTable[[#This Row],[GroupByKey]]),(CountersTable[GroupByKey]=CountersTable[[#This Row],[GroupByKey]])*CountersTable[RecordedValue]))</f>
        <v>9</v>
      </c>
    </row>
    <row r="32" spans="1:15" x14ac:dyDescent="0.3">
      <c r="A32" t="s">
        <v>66</v>
      </c>
      <c r="B32" t="s">
        <v>68</v>
      </c>
      <c r="C32">
        <v>16</v>
      </c>
      <c r="D32" t="s">
        <v>87</v>
      </c>
      <c r="E32" t="s">
        <v>88</v>
      </c>
      <c r="F32" t="s">
        <v>89</v>
      </c>
      <c r="G32">
        <v>92</v>
      </c>
      <c r="H32" t="str">
        <f>CountersTable[[#This Row],[ProjectName]]&amp;CountersTable[[#This Row],[Name]]&amp;CountersTable[[#This Row],[Type]]&amp;CountersTable[[#This Row],[Source]]</f>
        <v>Unnamed Projectcustomer servedCountUser Specified</v>
      </c>
      <c r="I32" s="5" cm="1">
        <f t="array" ref="I32">MAX(IF((ProjectInfoTable[ProjectName]=CountersTable[[#This Row],[ProjectName]]),(ProjectInfoTable[ProjectName]=CountersTable[[#This Row],[ProjectName]])*ProjectInfoTable[NumberOfReplications]))</f>
        <v>30</v>
      </c>
      <c r="J32" cm="1">
        <f t="array" ref="J32">IFERROR(AVERAGE(IF((CountersTable[GroupByKey]=CountersTable[[#This Row],[GroupByKey]]),(CountersTable[GroupByKey]=CountersTable[[#This Row],[GroupByKey]])*CountersTable[RecordedValue])),0)</f>
        <v>89.166666666666671</v>
      </c>
      <c r="K32" s="5" cm="1">
        <f t="array" ref="K32">IFERROR(_xlfn.STDEV.S(IF((CountersTable[GroupByKey]=CountersTable[[#This Row],[GroupByKey]]),(CountersTable[GroupByKey]=CountersTable[[#This Row],[GroupByKey]])*CountersTable[RecordedValue])),0)</f>
        <v>7.9658033485961566</v>
      </c>
      <c r="L32" s="5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32" s="5" cm="1">
        <f t="array" ref="N32">MIN(IF((CountersTable[GroupByKey]=CountersTable[[#This Row],[GroupByKey]]),(CountersTable[GroupByKey]=CountersTable[[#This Row],[GroupByKey]])*CountersTable[RecordedValue]))</f>
        <v>70</v>
      </c>
      <c r="O32" s="5" cm="1">
        <f t="array" ref="O32">MAX(IF((CountersTable[GroupByKey]=CountersTable[[#This Row],[GroupByKey]]),(CountersTable[GroupByKey]=CountersTable[[#This Row],[GroupByKey]])*CountersTable[RecordedValue]))</f>
        <v>103</v>
      </c>
    </row>
    <row r="33" spans="1:15" x14ac:dyDescent="0.3">
      <c r="A33" t="s">
        <v>66</v>
      </c>
      <c r="B33" t="s">
        <v>68</v>
      </c>
      <c r="C33">
        <v>16</v>
      </c>
      <c r="D33" t="s">
        <v>90</v>
      </c>
      <c r="E33" t="s">
        <v>88</v>
      </c>
      <c r="F33" t="s">
        <v>89</v>
      </c>
      <c r="G33">
        <v>3</v>
      </c>
      <c r="H3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3" s="5" cm="1">
        <f t="array" ref="I33">MAX(IF((ProjectInfoTable[ProjectName]=CountersTable[[#This Row],[ProjectName]]),(ProjectInfoTable[ProjectName]=CountersTable[[#This Row],[ProjectName]])*ProjectInfoTable[NumberOfReplications]))</f>
        <v>30</v>
      </c>
      <c r="J33" cm="1">
        <f t="array" ref="J33">IFERROR(AVERAGE(IF((CountersTable[GroupByKey]=CountersTable[[#This Row],[GroupByKey]]),(CountersTable[GroupByKey]=CountersTable[[#This Row],[GroupByKey]])*CountersTable[RecordedValue])),0)</f>
        <v>1.8333333333333333</v>
      </c>
      <c r="K33" s="5" cm="1">
        <f t="array" ref="K33">IFERROR(_xlfn.STDEV.S(IF((CountersTable[GroupByKey]=CountersTable[[#This Row],[GroupByKey]]),(CountersTable[GroupByKey]=CountersTable[[#This Row],[GroupByKey]])*CountersTable[RecordedValue])),0)</f>
        <v>2.0858031337217993</v>
      </c>
      <c r="L33" s="5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33" s="5" cm="1">
        <f t="array" ref="N33">MIN(IF((CountersTable[GroupByKey]=CountersTable[[#This Row],[GroupByKey]]),(CountersTable[GroupByKey]=CountersTable[[#This Row],[GroupByKey]])*CountersTable[RecordedValue]))</f>
        <v>0</v>
      </c>
      <c r="O33" s="5" cm="1">
        <f t="array" ref="O33">MAX(IF((CountersTable[GroupByKey]=CountersTable[[#This Row],[GroupByKey]]),(CountersTable[GroupByKey]=CountersTable[[#This Row],[GroupByKey]])*CountersTable[RecordedValue]))</f>
        <v>9</v>
      </c>
    </row>
    <row r="34" spans="1:15" x14ac:dyDescent="0.3">
      <c r="A34" t="s">
        <v>66</v>
      </c>
      <c r="B34" t="s">
        <v>68</v>
      </c>
      <c r="C34">
        <v>17</v>
      </c>
      <c r="D34" t="s">
        <v>87</v>
      </c>
      <c r="E34" t="s">
        <v>88</v>
      </c>
      <c r="F34" t="s">
        <v>89</v>
      </c>
      <c r="G34">
        <v>70</v>
      </c>
      <c r="H34" t="str">
        <f>CountersTable[[#This Row],[ProjectName]]&amp;CountersTable[[#This Row],[Name]]&amp;CountersTable[[#This Row],[Type]]&amp;CountersTable[[#This Row],[Source]]</f>
        <v>Unnamed Projectcustomer servedCountUser Specified</v>
      </c>
      <c r="I34" s="5" cm="1">
        <f t="array" ref="I34">MAX(IF((ProjectInfoTable[ProjectName]=CountersTable[[#This Row],[ProjectName]]),(ProjectInfoTable[ProjectName]=CountersTable[[#This Row],[ProjectName]])*ProjectInfoTable[NumberOfReplications]))</f>
        <v>30</v>
      </c>
      <c r="J34" cm="1">
        <f t="array" ref="J34">IFERROR(AVERAGE(IF((CountersTable[GroupByKey]=CountersTable[[#This Row],[GroupByKey]]),(CountersTable[GroupByKey]=CountersTable[[#This Row],[GroupByKey]])*CountersTable[RecordedValue])),0)</f>
        <v>89.166666666666671</v>
      </c>
      <c r="K34" s="5" cm="1">
        <f t="array" ref="K34">IFERROR(_xlfn.STDEV.S(IF((CountersTable[GroupByKey]=CountersTable[[#This Row],[GroupByKey]]),(CountersTable[GroupByKey]=CountersTable[[#This Row],[GroupByKey]])*CountersTable[RecordedValue])),0)</f>
        <v>7.9658033485961566</v>
      </c>
      <c r="L34" s="5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34" s="5" cm="1">
        <f t="array" ref="N34">MIN(IF((CountersTable[GroupByKey]=CountersTable[[#This Row],[GroupByKey]]),(CountersTable[GroupByKey]=CountersTable[[#This Row],[GroupByKey]])*CountersTable[RecordedValue]))</f>
        <v>70</v>
      </c>
      <c r="O34" s="5" cm="1">
        <f t="array" ref="O34">MAX(IF((CountersTable[GroupByKey]=CountersTable[[#This Row],[GroupByKey]]),(CountersTable[GroupByKey]=CountersTable[[#This Row],[GroupByKey]])*CountersTable[RecordedValue]))</f>
        <v>103</v>
      </c>
    </row>
    <row r="35" spans="1:15" x14ac:dyDescent="0.3">
      <c r="A35" t="s">
        <v>66</v>
      </c>
      <c r="B35" t="s">
        <v>68</v>
      </c>
      <c r="C35">
        <v>17</v>
      </c>
      <c r="D35" t="s">
        <v>90</v>
      </c>
      <c r="E35" t="s">
        <v>88</v>
      </c>
      <c r="F35" t="s">
        <v>89</v>
      </c>
      <c r="G35">
        <v>1</v>
      </c>
      <c r="H3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5" s="5" cm="1">
        <f t="array" ref="I35">MAX(IF((ProjectInfoTable[ProjectName]=CountersTable[[#This Row],[ProjectName]]),(ProjectInfoTable[ProjectName]=CountersTable[[#This Row],[ProjectName]])*ProjectInfoTable[NumberOfReplications]))</f>
        <v>30</v>
      </c>
      <c r="J35" cm="1">
        <f t="array" ref="J35">IFERROR(AVERAGE(IF((CountersTable[GroupByKey]=CountersTable[[#This Row],[GroupByKey]]),(CountersTable[GroupByKey]=CountersTable[[#This Row],[GroupByKey]])*CountersTable[RecordedValue])),0)</f>
        <v>1.8333333333333333</v>
      </c>
      <c r="K35" s="5" cm="1">
        <f t="array" ref="K35">IFERROR(_xlfn.STDEV.S(IF((CountersTable[GroupByKey]=CountersTable[[#This Row],[GroupByKey]]),(CountersTable[GroupByKey]=CountersTable[[#This Row],[GroupByKey]])*CountersTable[RecordedValue])),0)</f>
        <v>2.0858031337217993</v>
      </c>
      <c r="L35" s="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35" s="5" cm="1">
        <f t="array" ref="N35">MIN(IF((CountersTable[GroupByKey]=CountersTable[[#This Row],[GroupByKey]]),(CountersTable[GroupByKey]=CountersTable[[#This Row],[GroupByKey]])*CountersTable[RecordedValue]))</f>
        <v>0</v>
      </c>
      <c r="O35" s="5" cm="1">
        <f t="array" ref="O35">MAX(IF((CountersTable[GroupByKey]=CountersTable[[#This Row],[GroupByKey]]),(CountersTable[GroupByKey]=CountersTable[[#This Row],[GroupByKey]])*CountersTable[RecordedValue]))</f>
        <v>9</v>
      </c>
    </row>
    <row r="36" spans="1:15" x14ac:dyDescent="0.3">
      <c r="A36" t="s">
        <v>66</v>
      </c>
      <c r="B36" t="s">
        <v>68</v>
      </c>
      <c r="C36">
        <v>18</v>
      </c>
      <c r="D36" t="s">
        <v>87</v>
      </c>
      <c r="E36" t="s">
        <v>88</v>
      </c>
      <c r="F36" t="s">
        <v>89</v>
      </c>
      <c r="G36">
        <v>100</v>
      </c>
      <c r="H36" t="str">
        <f>CountersTable[[#This Row],[ProjectName]]&amp;CountersTable[[#This Row],[Name]]&amp;CountersTable[[#This Row],[Type]]&amp;CountersTable[[#This Row],[Source]]</f>
        <v>Unnamed Projectcustomer servedCountUser Specified</v>
      </c>
      <c r="I36" s="5" cm="1">
        <f t="array" ref="I36">MAX(IF((ProjectInfoTable[ProjectName]=CountersTable[[#This Row],[ProjectName]]),(ProjectInfoTable[ProjectName]=CountersTable[[#This Row],[ProjectName]])*ProjectInfoTable[NumberOfReplications]))</f>
        <v>30</v>
      </c>
      <c r="J36" cm="1">
        <f t="array" ref="J36">IFERROR(AVERAGE(IF((CountersTable[GroupByKey]=CountersTable[[#This Row],[GroupByKey]]),(CountersTable[GroupByKey]=CountersTable[[#This Row],[GroupByKey]])*CountersTable[RecordedValue])),0)</f>
        <v>89.166666666666671</v>
      </c>
      <c r="K36" s="5" cm="1">
        <f t="array" ref="K36">IFERROR(_xlfn.STDEV.S(IF((CountersTable[GroupByKey]=CountersTable[[#This Row],[GroupByKey]]),(CountersTable[GroupByKey]=CountersTable[[#This Row],[GroupByKey]])*CountersTable[RecordedValue])),0)</f>
        <v>7.9658033485961566</v>
      </c>
      <c r="L36" s="5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36" s="5" cm="1">
        <f t="array" ref="N36">MIN(IF((CountersTable[GroupByKey]=CountersTable[[#This Row],[GroupByKey]]),(CountersTable[GroupByKey]=CountersTable[[#This Row],[GroupByKey]])*CountersTable[RecordedValue]))</f>
        <v>70</v>
      </c>
      <c r="O36" s="5" cm="1">
        <f t="array" ref="O36">MAX(IF((CountersTable[GroupByKey]=CountersTable[[#This Row],[GroupByKey]]),(CountersTable[GroupByKey]=CountersTable[[#This Row],[GroupByKey]])*CountersTable[RecordedValue]))</f>
        <v>103</v>
      </c>
    </row>
    <row r="37" spans="1:15" x14ac:dyDescent="0.3">
      <c r="A37" t="s">
        <v>66</v>
      </c>
      <c r="B37" t="s">
        <v>68</v>
      </c>
      <c r="C37">
        <v>18</v>
      </c>
      <c r="D37" t="s">
        <v>90</v>
      </c>
      <c r="E37" t="s">
        <v>88</v>
      </c>
      <c r="F37" t="s">
        <v>89</v>
      </c>
      <c r="G37">
        <v>1</v>
      </c>
      <c r="H3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7" s="5" cm="1">
        <f t="array" ref="I37">MAX(IF((ProjectInfoTable[ProjectName]=CountersTable[[#This Row],[ProjectName]]),(ProjectInfoTable[ProjectName]=CountersTable[[#This Row],[ProjectName]])*ProjectInfoTable[NumberOfReplications]))</f>
        <v>30</v>
      </c>
      <c r="J37" cm="1">
        <f t="array" ref="J37">IFERROR(AVERAGE(IF((CountersTable[GroupByKey]=CountersTable[[#This Row],[GroupByKey]]),(CountersTable[GroupByKey]=CountersTable[[#This Row],[GroupByKey]])*CountersTable[RecordedValue])),0)</f>
        <v>1.8333333333333333</v>
      </c>
      <c r="K37" s="5" cm="1">
        <f t="array" ref="K37">IFERROR(_xlfn.STDEV.S(IF((CountersTable[GroupByKey]=CountersTable[[#This Row],[GroupByKey]]),(CountersTable[GroupByKey]=CountersTable[[#This Row],[GroupByKey]])*CountersTable[RecordedValue])),0)</f>
        <v>2.0858031337217993</v>
      </c>
      <c r="L37" s="5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37" s="5" cm="1">
        <f t="array" ref="N37">MIN(IF((CountersTable[GroupByKey]=CountersTable[[#This Row],[GroupByKey]]),(CountersTable[GroupByKey]=CountersTable[[#This Row],[GroupByKey]])*CountersTable[RecordedValue]))</f>
        <v>0</v>
      </c>
      <c r="O37" s="5" cm="1">
        <f t="array" ref="O37">MAX(IF((CountersTable[GroupByKey]=CountersTable[[#This Row],[GroupByKey]]),(CountersTable[GroupByKey]=CountersTable[[#This Row],[GroupByKey]])*CountersTable[RecordedValue]))</f>
        <v>9</v>
      </c>
    </row>
    <row r="38" spans="1:15" x14ac:dyDescent="0.3">
      <c r="A38" t="s">
        <v>66</v>
      </c>
      <c r="B38" t="s">
        <v>68</v>
      </c>
      <c r="C38">
        <v>19</v>
      </c>
      <c r="D38" t="s">
        <v>87</v>
      </c>
      <c r="E38" t="s">
        <v>88</v>
      </c>
      <c r="F38" t="s">
        <v>89</v>
      </c>
      <c r="G38">
        <v>84</v>
      </c>
      <c r="H38" t="str">
        <f>CountersTable[[#This Row],[ProjectName]]&amp;CountersTable[[#This Row],[Name]]&amp;CountersTable[[#This Row],[Type]]&amp;CountersTable[[#This Row],[Source]]</f>
        <v>Unnamed Projectcustomer servedCountUser Specified</v>
      </c>
      <c r="I38" s="5" cm="1">
        <f t="array" ref="I38">MAX(IF((ProjectInfoTable[ProjectName]=CountersTable[[#This Row],[ProjectName]]),(ProjectInfoTable[ProjectName]=CountersTable[[#This Row],[ProjectName]])*ProjectInfoTable[NumberOfReplications]))</f>
        <v>30</v>
      </c>
      <c r="J38" cm="1">
        <f t="array" ref="J38">IFERROR(AVERAGE(IF((CountersTable[GroupByKey]=CountersTable[[#This Row],[GroupByKey]]),(CountersTable[GroupByKey]=CountersTable[[#This Row],[GroupByKey]])*CountersTable[RecordedValue])),0)</f>
        <v>89.166666666666671</v>
      </c>
      <c r="K38" s="5" cm="1">
        <f t="array" ref="K38">IFERROR(_xlfn.STDEV.S(IF((CountersTable[GroupByKey]=CountersTable[[#This Row],[GroupByKey]]),(CountersTable[GroupByKey]=CountersTable[[#This Row],[GroupByKey]])*CountersTable[RecordedValue])),0)</f>
        <v>7.9658033485961566</v>
      </c>
      <c r="L38" s="5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38" s="5" cm="1">
        <f t="array" ref="N38">MIN(IF((CountersTable[GroupByKey]=CountersTable[[#This Row],[GroupByKey]]),(CountersTable[GroupByKey]=CountersTable[[#This Row],[GroupByKey]])*CountersTable[RecordedValue]))</f>
        <v>70</v>
      </c>
      <c r="O38" s="5" cm="1">
        <f t="array" ref="O38">MAX(IF((CountersTable[GroupByKey]=CountersTable[[#This Row],[GroupByKey]]),(CountersTable[GroupByKey]=CountersTable[[#This Row],[GroupByKey]])*CountersTable[RecordedValue]))</f>
        <v>103</v>
      </c>
    </row>
    <row r="39" spans="1:15" x14ac:dyDescent="0.3">
      <c r="A39" t="s">
        <v>66</v>
      </c>
      <c r="B39" t="s">
        <v>68</v>
      </c>
      <c r="C39">
        <v>19</v>
      </c>
      <c r="D39" t="s">
        <v>90</v>
      </c>
      <c r="E39" t="s">
        <v>88</v>
      </c>
      <c r="F39" t="s">
        <v>89</v>
      </c>
      <c r="G39">
        <v>1</v>
      </c>
      <c r="H3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9" s="5" cm="1">
        <f t="array" ref="I39">MAX(IF((ProjectInfoTable[ProjectName]=CountersTable[[#This Row],[ProjectName]]),(ProjectInfoTable[ProjectName]=CountersTable[[#This Row],[ProjectName]])*ProjectInfoTable[NumberOfReplications]))</f>
        <v>30</v>
      </c>
      <c r="J39" cm="1">
        <f t="array" ref="J39">IFERROR(AVERAGE(IF((CountersTable[GroupByKey]=CountersTable[[#This Row],[GroupByKey]]),(CountersTable[GroupByKey]=CountersTable[[#This Row],[GroupByKey]])*CountersTable[RecordedValue])),0)</f>
        <v>1.8333333333333333</v>
      </c>
      <c r="K39" s="5" cm="1">
        <f t="array" ref="K39">IFERROR(_xlfn.STDEV.S(IF((CountersTable[GroupByKey]=CountersTable[[#This Row],[GroupByKey]]),(CountersTable[GroupByKey]=CountersTable[[#This Row],[GroupByKey]])*CountersTable[RecordedValue])),0)</f>
        <v>2.0858031337217993</v>
      </c>
      <c r="L39" s="5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39" s="5" cm="1">
        <f t="array" ref="N39">MIN(IF((CountersTable[GroupByKey]=CountersTable[[#This Row],[GroupByKey]]),(CountersTable[GroupByKey]=CountersTable[[#This Row],[GroupByKey]])*CountersTable[RecordedValue]))</f>
        <v>0</v>
      </c>
      <c r="O39" s="5" cm="1">
        <f t="array" ref="O39">MAX(IF((CountersTable[GroupByKey]=CountersTable[[#This Row],[GroupByKey]]),(CountersTable[GroupByKey]=CountersTable[[#This Row],[GroupByKey]])*CountersTable[RecordedValue]))</f>
        <v>9</v>
      </c>
    </row>
    <row r="40" spans="1:15" x14ac:dyDescent="0.3">
      <c r="A40" t="s">
        <v>66</v>
      </c>
      <c r="B40" t="s">
        <v>68</v>
      </c>
      <c r="C40">
        <v>20</v>
      </c>
      <c r="D40" t="s">
        <v>87</v>
      </c>
      <c r="E40" t="s">
        <v>88</v>
      </c>
      <c r="F40" t="s">
        <v>89</v>
      </c>
      <c r="G40">
        <v>84</v>
      </c>
      <c r="H40" t="str">
        <f>CountersTable[[#This Row],[ProjectName]]&amp;CountersTable[[#This Row],[Name]]&amp;CountersTable[[#This Row],[Type]]&amp;CountersTable[[#This Row],[Source]]</f>
        <v>Unnamed Projectcustomer servedCountUser Specified</v>
      </c>
      <c r="I40" s="5" cm="1">
        <f t="array" ref="I40">MAX(IF((ProjectInfoTable[ProjectName]=CountersTable[[#This Row],[ProjectName]]),(ProjectInfoTable[ProjectName]=CountersTable[[#This Row],[ProjectName]])*ProjectInfoTable[NumberOfReplications]))</f>
        <v>30</v>
      </c>
      <c r="J40" cm="1">
        <f t="array" ref="J40">IFERROR(AVERAGE(IF((CountersTable[GroupByKey]=CountersTable[[#This Row],[GroupByKey]]),(CountersTable[GroupByKey]=CountersTable[[#This Row],[GroupByKey]])*CountersTable[RecordedValue])),0)</f>
        <v>89.166666666666671</v>
      </c>
      <c r="K40" s="5" cm="1">
        <f t="array" ref="K40">IFERROR(_xlfn.STDEV.S(IF((CountersTable[GroupByKey]=CountersTable[[#This Row],[GroupByKey]]),(CountersTable[GroupByKey]=CountersTable[[#This Row],[GroupByKey]])*CountersTable[RecordedValue])),0)</f>
        <v>7.9658033485961566</v>
      </c>
      <c r="L40" s="5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40" s="5" cm="1">
        <f t="array" ref="N40">MIN(IF((CountersTable[GroupByKey]=CountersTable[[#This Row],[GroupByKey]]),(CountersTable[GroupByKey]=CountersTable[[#This Row],[GroupByKey]])*CountersTable[RecordedValue]))</f>
        <v>70</v>
      </c>
      <c r="O40" s="5" cm="1">
        <f t="array" ref="O40">MAX(IF((CountersTable[GroupByKey]=CountersTable[[#This Row],[GroupByKey]]),(CountersTable[GroupByKey]=CountersTable[[#This Row],[GroupByKey]])*CountersTable[RecordedValue]))</f>
        <v>103</v>
      </c>
    </row>
    <row r="41" spans="1:15" x14ac:dyDescent="0.3">
      <c r="A41" t="s">
        <v>66</v>
      </c>
      <c r="B41" t="s">
        <v>68</v>
      </c>
      <c r="C41">
        <v>20</v>
      </c>
      <c r="D41" t="s">
        <v>90</v>
      </c>
      <c r="E41" t="s">
        <v>88</v>
      </c>
      <c r="F41" t="s">
        <v>89</v>
      </c>
      <c r="G41">
        <v>0</v>
      </c>
      <c r="H4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1" s="5" cm="1">
        <f t="array" ref="I41">MAX(IF((ProjectInfoTable[ProjectName]=CountersTable[[#This Row],[ProjectName]]),(ProjectInfoTable[ProjectName]=CountersTable[[#This Row],[ProjectName]])*ProjectInfoTable[NumberOfReplications]))</f>
        <v>30</v>
      </c>
      <c r="J41" cm="1">
        <f t="array" ref="J41">IFERROR(AVERAGE(IF((CountersTable[GroupByKey]=CountersTable[[#This Row],[GroupByKey]]),(CountersTable[GroupByKey]=CountersTable[[#This Row],[GroupByKey]])*CountersTable[RecordedValue])),0)</f>
        <v>1.8333333333333333</v>
      </c>
      <c r="K41" s="5" cm="1">
        <f t="array" ref="K41">IFERROR(_xlfn.STDEV.S(IF((CountersTable[GroupByKey]=CountersTable[[#This Row],[GroupByKey]]),(CountersTable[GroupByKey]=CountersTable[[#This Row],[GroupByKey]])*CountersTable[RecordedValue])),0)</f>
        <v>2.0858031337217993</v>
      </c>
      <c r="L41" s="5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41" s="5" cm="1">
        <f t="array" ref="N41">MIN(IF((CountersTable[GroupByKey]=CountersTable[[#This Row],[GroupByKey]]),(CountersTable[GroupByKey]=CountersTable[[#This Row],[GroupByKey]])*CountersTable[RecordedValue]))</f>
        <v>0</v>
      </c>
      <c r="O41" s="5" cm="1">
        <f t="array" ref="O41">MAX(IF((CountersTable[GroupByKey]=CountersTable[[#This Row],[GroupByKey]]),(CountersTable[GroupByKey]=CountersTable[[#This Row],[GroupByKey]])*CountersTable[RecordedValue]))</f>
        <v>9</v>
      </c>
    </row>
    <row r="42" spans="1:15" x14ac:dyDescent="0.3">
      <c r="A42" t="s">
        <v>66</v>
      </c>
      <c r="B42" t="s">
        <v>68</v>
      </c>
      <c r="C42">
        <v>21</v>
      </c>
      <c r="D42" t="s">
        <v>87</v>
      </c>
      <c r="E42" t="s">
        <v>88</v>
      </c>
      <c r="F42" t="s">
        <v>89</v>
      </c>
      <c r="G42">
        <v>96</v>
      </c>
      <c r="H42" t="str">
        <f>CountersTable[[#This Row],[ProjectName]]&amp;CountersTable[[#This Row],[Name]]&amp;CountersTable[[#This Row],[Type]]&amp;CountersTable[[#This Row],[Source]]</f>
        <v>Unnamed Projectcustomer servedCountUser Specified</v>
      </c>
      <c r="I42" s="5" cm="1">
        <f t="array" ref="I42">MAX(IF((ProjectInfoTable[ProjectName]=CountersTable[[#This Row],[ProjectName]]),(ProjectInfoTable[ProjectName]=CountersTable[[#This Row],[ProjectName]])*ProjectInfoTable[NumberOfReplications]))</f>
        <v>30</v>
      </c>
      <c r="J42" cm="1">
        <f t="array" ref="J42">IFERROR(AVERAGE(IF((CountersTable[GroupByKey]=CountersTable[[#This Row],[GroupByKey]]),(CountersTable[GroupByKey]=CountersTable[[#This Row],[GroupByKey]])*CountersTable[RecordedValue])),0)</f>
        <v>89.166666666666671</v>
      </c>
      <c r="K42" s="5" cm="1">
        <f t="array" ref="K42">IFERROR(_xlfn.STDEV.S(IF((CountersTable[GroupByKey]=CountersTable[[#This Row],[GroupByKey]]),(CountersTable[GroupByKey]=CountersTable[[#This Row],[GroupByKey]])*CountersTable[RecordedValue])),0)</f>
        <v>7.9658033485961566</v>
      </c>
      <c r="L42" s="5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42" s="5" cm="1">
        <f t="array" ref="N42">MIN(IF((CountersTable[GroupByKey]=CountersTable[[#This Row],[GroupByKey]]),(CountersTable[GroupByKey]=CountersTable[[#This Row],[GroupByKey]])*CountersTable[RecordedValue]))</f>
        <v>70</v>
      </c>
      <c r="O42" s="5" cm="1">
        <f t="array" ref="O42">MAX(IF((CountersTable[GroupByKey]=CountersTable[[#This Row],[GroupByKey]]),(CountersTable[GroupByKey]=CountersTable[[#This Row],[GroupByKey]])*CountersTable[RecordedValue]))</f>
        <v>103</v>
      </c>
    </row>
    <row r="43" spans="1:15" x14ac:dyDescent="0.3">
      <c r="A43" t="s">
        <v>66</v>
      </c>
      <c r="B43" t="s">
        <v>68</v>
      </c>
      <c r="C43">
        <v>21</v>
      </c>
      <c r="D43" t="s">
        <v>90</v>
      </c>
      <c r="E43" t="s">
        <v>88</v>
      </c>
      <c r="F43" t="s">
        <v>89</v>
      </c>
      <c r="G43">
        <v>3</v>
      </c>
      <c r="H4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3" s="5" cm="1">
        <f t="array" ref="I43">MAX(IF((ProjectInfoTable[ProjectName]=CountersTable[[#This Row],[ProjectName]]),(ProjectInfoTable[ProjectName]=CountersTable[[#This Row],[ProjectName]])*ProjectInfoTable[NumberOfReplications]))</f>
        <v>30</v>
      </c>
      <c r="J43" cm="1">
        <f t="array" ref="J43">IFERROR(AVERAGE(IF((CountersTable[GroupByKey]=CountersTable[[#This Row],[GroupByKey]]),(CountersTable[GroupByKey]=CountersTable[[#This Row],[GroupByKey]])*CountersTable[RecordedValue])),0)</f>
        <v>1.8333333333333333</v>
      </c>
      <c r="K43" s="5" cm="1">
        <f t="array" ref="K43">IFERROR(_xlfn.STDEV.S(IF((CountersTable[GroupByKey]=CountersTable[[#This Row],[GroupByKey]]),(CountersTable[GroupByKey]=CountersTable[[#This Row],[GroupByKey]])*CountersTable[RecordedValue])),0)</f>
        <v>2.0858031337217993</v>
      </c>
      <c r="L43" s="5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43" s="5" cm="1">
        <f t="array" ref="N43">MIN(IF((CountersTable[GroupByKey]=CountersTable[[#This Row],[GroupByKey]]),(CountersTable[GroupByKey]=CountersTable[[#This Row],[GroupByKey]])*CountersTable[RecordedValue]))</f>
        <v>0</v>
      </c>
      <c r="O43" s="5" cm="1">
        <f t="array" ref="O43">MAX(IF((CountersTable[GroupByKey]=CountersTable[[#This Row],[GroupByKey]]),(CountersTable[GroupByKey]=CountersTable[[#This Row],[GroupByKey]])*CountersTable[RecordedValue]))</f>
        <v>9</v>
      </c>
    </row>
    <row r="44" spans="1:15" x14ac:dyDescent="0.3">
      <c r="A44" t="s">
        <v>66</v>
      </c>
      <c r="B44" t="s">
        <v>68</v>
      </c>
      <c r="C44">
        <v>22</v>
      </c>
      <c r="D44" t="s">
        <v>87</v>
      </c>
      <c r="E44" t="s">
        <v>88</v>
      </c>
      <c r="F44" t="s">
        <v>89</v>
      </c>
      <c r="G44">
        <v>85</v>
      </c>
      <c r="H44" t="str">
        <f>CountersTable[[#This Row],[ProjectName]]&amp;CountersTable[[#This Row],[Name]]&amp;CountersTable[[#This Row],[Type]]&amp;CountersTable[[#This Row],[Source]]</f>
        <v>Unnamed Projectcustomer servedCountUser Specified</v>
      </c>
      <c r="I44" s="5" cm="1">
        <f t="array" ref="I44">MAX(IF((ProjectInfoTable[ProjectName]=CountersTable[[#This Row],[ProjectName]]),(ProjectInfoTable[ProjectName]=CountersTable[[#This Row],[ProjectName]])*ProjectInfoTable[NumberOfReplications]))</f>
        <v>30</v>
      </c>
      <c r="J44" cm="1">
        <f t="array" ref="J44">IFERROR(AVERAGE(IF((CountersTable[GroupByKey]=CountersTable[[#This Row],[GroupByKey]]),(CountersTable[GroupByKey]=CountersTable[[#This Row],[GroupByKey]])*CountersTable[RecordedValue])),0)</f>
        <v>89.166666666666671</v>
      </c>
      <c r="K44" s="5" cm="1">
        <f t="array" ref="K44">IFERROR(_xlfn.STDEV.S(IF((CountersTable[GroupByKey]=CountersTable[[#This Row],[GroupByKey]]),(CountersTable[GroupByKey]=CountersTable[[#This Row],[GroupByKey]])*CountersTable[RecordedValue])),0)</f>
        <v>7.9658033485961566</v>
      </c>
      <c r="L44" s="5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44" s="5" cm="1">
        <f t="array" ref="N44">MIN(IF((CountersTable[GroupByKey]=CountersTable[[#This Row],[GroupByKey]]),(CountersTable[GroupByKey]=CountersTable[[#This Row],[GroupByKey]])*CountersTable[RecordedValue]))</f>
        <v>70</v>
      </c>
      <c r="O44" s="5" cm="1">
        <f t="array" ref="O44">MAX(IF((CountersTable[GroupByKey]=CountersTable[[#This Row],[GroupByKey]]),(CountersTable[GroupByKey]=CountersTable[[#This Row],[GroupByKey]])*CountersTable[RecordedValue]))</f>
        <v>103</v>
      </c>
    </row>
    <row r="45" spans="1:15" x14ac:dyDescent="0.3">
      <c r="A45" t="s">
        <v>66</v>
      </c>
      <c r="B45" t="s">
        <v>68</v>
      </c>
      <c r="C45">
        <v>22</v>
      </c>
      <c r="D45" t="s">
        <v>90</v>
      </c>
      <c r="E45" t="s">
        <v>88</v>
      </c>
      <c r="F45" t="s">
        <v>89</v>
      </c>
      <c r="G45">
        <v>9</v>
      </c>
      <c r="H4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5" s="5" cm="1">
        <f t="array" ref="I45">MAX(IF((ProjectInfoTable[ProjectName]=CountersTable[[#This Row],[ProjectName]]),(ProjectInfoTable[ProjectName]=CountersTable[[#This Row],[ProjectName]])*ProjectInfoTable[NumberOfReplications]))</f>
        <v>30</v>
      </c>
      <c r="J45" cm="1">
        <f t="array" ref="J45">IFERROR(AVERAGE(IF((CountersTable[GroupByKey]=CountersTable[[#This Row],[GroupByKey]]),(CountersTable[GroupByKey]=CountersTable[[#This Row],[GroupByKey]])*CountersTable[RecordedValue])),0)</f>
        <v>1.8333333333333333</v>
      </c>
      <c r="K45" s="5" cm="1">
        <f t="array" ref="K45">IFERROR(_xlfn.STDEV.S(IF((CountersTable[GroupByKey]=CountersTable[[#This Row],[GroupByKey]]),(CountersTable[GroupByKey]=CountersTable[[#This Row],[GroupByKey]])*CountersTable[RecordedValue])),0)</f>
        <v>2.0858031337217993</v>
      </c>
      <c r="L45" s="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45" s="5" cm="1">
        <f t="array" ref="N45">MIN(IF((CountersTable[GroupByKey]=CountersTable[[#This Row],[GroupByKey]]),(CountersTable[GroupByKey]=CountersTable[[#This Row],[GroupByKey]])*CountersTable[RecordedValue]))</f>
        <v>0</v>
      </c>
      <c r="O45" s="5" cm="1">
        <f t="array" ref="O45">MAX(IF((CountersTable[GroupByKey]=CountersTable[[#This Row],[GroupByKey]]),(CountersTable[GroupByKey]=CountersTable[[#This Row],[GroupByKey]])*CountersTable[RecordedValue]))</f>
        <v>9</v>
      </c>
    </row>
    <row r="46" spans="1:15" x14ac:dyDescent="0.3">
      <c r="A46" t="s">
        <v>66</v>
      </c>
      <c r="B46" t="s">
        <v>68</v>
      </c>
      <c r="C46">
        <v>23</v>
      </c>
      <c r="D46" t="s">
        <v>87</v>
      </c>
      <c r="E46" t="s">
        <v>88</v>
      </c>
      <c r="F46" t="s">
        <v>89</v>
      </c>
      <c r="G46">
        <v>91</v>
      </c>
      <c r="H46" t="str">
        <f>CountersTable[[#This Row],[ProjectName]]&amp;CountersTable[[#This Row],[Name]]&amp;CountersTable[[#This Row],[Type]]&amp;CountersTable[[#This Row],[Source]]</f>
        <v>Unnamed Projectcustomer servedCountUser Specified</v>
      </c>
      <c r="I46" s="5" cm="1">
        <f t="array" ref="I46">MAX(IF((ProjectInfoTable[ProjectName]=CountersTable[[#This Row],[ProjectName]]),(ProjectInfoTable[ProjectName]=CountersTable[[#This Row],[ProjectName]])*ProjectInfoTable[NumberOfReplications]))</f>
        <v>30</v>
      </c>
      <c r="J46" cm="1">
        <f t="array" ref="J46">IFERROR(AVERAGE(IF((CountersTable[GroupByKey]=CountersTable[[#This Row],[GroupByKey]]),(CountersTable[GroupByKey]=CountersTable[[#This Row],[GroupByKey]])*CountersTable[RecordedValue])),0)</f>
        <v>89.166666666666671</v>
      </c>
      <c r="K46" s="5" cm="1">
        <f t="array" ref="K46">IFERROR(_xlfn.STDEV.S(IF((CountersTable[GroupByKey]=CountersTable[[#This Row],[GroupByKey]]),(CountersTable[GroupByKey]=CountersTable[[#This Row],[GroupByKey]])*CountersTable[RecordedValue])),0)</f>
        <v>7.9658033485961566</v>
      </c>
      <c r="L46" s="5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46" s="5" cm="1">
        <f t="array" ref="N46">MIN(IF((CountersTable[GroupByKey]=CountersTable[[#This Row],[GroupByKey]]),(CountersTable[GroupByKey]=CountersTable[[#This Row],[GroupByKey]])*CountersTable[RecordedValue]))</f>
        <v>70</v>
      </c>
      <c r="O46" s="5" cm="1">
        <f t="array" ref="O46">MAX(IF((CountersTable[GroupByKey]=CountersTable[[#This Row],[GroupByKey]]),(CountersTable[GroupByKey]=CountersTable[[#This Row],[GroupByKey]])*CountersTable[RecordedValue]))</f>
        <v>103</v>
      </c>
    </row>
    <row r="47" spans="1:15" x14ac:dyDescent="0.3">
      <c r="A47" t="s">
        <v>66</v>
      </c>
      <c r="B47" t="s">
        <v>68</v>
      </c>
      <c r="C47">
        <v>23</v>
      </c>
      <c r="D47" t="s">
        <v>90</v>
      </c>
      <c r="E47" t="s">
        <v>88</v>
      </c>
      <c r="F47" t="s">
        <v>89</v>
      </c>
      <c r="G47">
        <v>1</v>
      </c>
      <c r="H4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7" s="5" cm="1">
        <f t="array" ref="I47">MAX(IF((ProjectInfoTable[ProjectName]=CountersTable[[#This Row],[ProjectName]]),(ProjectInfoTable[ProjectName]=CountersTable[[#This Row],[ProjectName]])*ProjectInfoTable[NumberOfReplications]))</f>
        <v>30</v>
      </c>
      <c r="J47" cm="1">
        <f t="array" ref="J47">IFERROR(AVERAGE(IF((CountersTable[GroupByKey]=CountersTable[[#This Row],[GroupByKey]]),(CountersTable[GroupByKey]=CountersTable[[#This Row],[GroupByKey]])*CountersTable[RecordedValue])),0)</f>
        <v>1.8333333333333333</v>
      </c>
      <c r="K47" s="5" cm="1">
        <f t="array" ref="K47">IFERROR(_xlfn.STDEV.S(IF((CountersTable[GroupByKey]=CountersTable[[#This Row],[GroupByKey]]),(CountersTable[GroupByKey]=CountersTable[[#This Row],[GroupByKey]])*CountersTable[RecordedValue])),0)</f>
        <v>2.0858031337217993</v>
      </c>
      <c r="L47" s="5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47" s="5" cm="1">
        <f t="array" ref="N47">MIN(IF((CountersTable[GroupByKey]=CountersTable[[#This Row],[GroupByKey]]),(CountersTable[GroupByKey]=CountersTable[[#This Row],[GroupByKey]])*CountersTable[RecordedValue]))</f>
        <v>0</v>
      </c>
      <c r="O47" s="5" cm="1">
        <f t="array" ref="O47">MAX(IF((CountersTable[GroupByKey]=CountersTable[[#This Row],[GroupByKey]]),(CountersTable[GroupByKey]=CountersTable[[#This Row],[GroupByKey]])*CountersTable[RecordedValue]))</f>
        <v>9</v>
      </c>
    </row>
    <row r="48" spans="1:15" x14ac:dyDescent="0.3">
      <c r="A48" t="s">
        <v>66</v>
      </c>
      <c r="B48" t="s">
        <v>68</v>
      </c>
      <c r="C48">
        <v>24</v>
      </c>
      <c r="D48" t="s">
        <v>87</v>
      </c>
      <c r="E48" t="s">
        <v>88</v>
      </c>
      <c r="F48" t="s">
        <v>89</v>
      </c>
      <c r="G48">
        <v>78</v>
      </c>
      <c r="H48" t="str">
        <f>CountersTable[[#This Row],[ProjectName]]&amp;CountersTable[[#This Row],[Name]]&amp;CountersTable[[#This Row],[Type]]&amp;CountersTable[[#This Row],[Source]]</f>
        <v>Unnamed Projectcustomer servedCountUser Specified</v>
      </c>
      <c r="I48" s="5" cm="1">
        <f t="array" ref="I48">MAX(IF((ProjectInfoTable[ProjectName]=CountersTable[[#This Row],[ProjectName]]),(ProjectInfoTable[ProjectName]=CountersTable[[#This Row],[ProjectName]])*ProjectInfoTable[NumberOfReplications]))</f>
        <v>30</v>
      </c>
      <c r="J48" cm="1">
        <f t="array" ref="J48">IFERROR(AVERAGE(IF((CountersTable[GroupByKey]=CountersTable[[#This Row],[GroupByKey]]),(CountersTable[GroupByKey]=CountersTable[[#This Row],[GroupByKey]])*CountersTable[RecordedValue])),0)</f>
        <v>89.166666666666671</v>
      </c>
      <c r="K48" s="5" cm="1">
        <f t="array" ref="K48">IFERROR(_xlfn.STDEV.S(IF((CountersTable[GroupByKey]=CountersTable[[#This Row],[GroupByKey]]),(CountersTable[GroupByKey]=CountersTable[[#This Row],[GroupByKey]])*CountersTable[RecordedValue])),0)</f>
        <v>7.9658033485961566</v>
      </c>
      <c r="L48" s="5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48" s="5" cm="1">
        <f t="array" ref="N48">MIN(IF((CountersTable[GroupByKey]=CountersTable[[#This Row],[GroupByKey]]),(CountersTable[GroupByKey]=CountersTable[[#This Row],[GroupByKey]])*CountersTable[RecordedValue]))</f>
        <v>70</v>
      </c>
      <c r="O48" s="5" cm="1">
        <f t="array" ref="O48">MAX(IF((CountersTable[GroupByKey]=CountersTable[[#This Row],[GroupByKey]]),(CountersTable[GroupByKey]=CountersTable[[#This Row],[GroupByKey]])*CountersTable[RecordedValue]))</f>
        <v>103</v>
      </c>
    </row>
    <row r="49" spans="1:15" x14ac:dyDescent="0.3">
      <c r="A49" t="s">
        <v>66</v>
      </c>
      <c r="B49" t="s">
        <v>68</v>
      </c>
      <c r="C49">
        <v>24</v>
      </c>
      <c r="D49" t="s">
        <v>90</v>
      </c>
      <c r="E49" t="s">
        <v>88</v>
      </c>
      <c r="F49" t="s">
        <v>89</v>
      </c>
      <c r="G49">
        <v>2</v>
      </c>
      <c r="H4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9" s="5" cm="1">
        <f t="array" ref="I49">MAX(IF((ProjectInfoTable[ProjectName]=CountersTable[[#This Row],[ProjectName]]),(ProjectInfoTable[ProjectName]=CountersTable[[#This Row],[ProjectName]])*ProjectInfoTable[NumberOfReplications]))</f>
        <v>30</v>
      </c>
      <c r="J49" cm="1">
        <f t="array" ref="J49">IFERROR(AVERAGE(IF((CountersTable[GroupByKey]=CountersTable[[#This Row],[GroupByKey]]),(CountersTable[GroupByKey]=CountersTable[[#This Row],[GroupByKey]])*CountersTable[RecordedValue])),0)</f>
        <v>1.8333333333333333</v>
      </c>
      <c r="K49" s="5" cm="1">
        <f t="array" ref="K49">IFERROR(_xlfn.STDEV.S(IF((CountersTable[GroupByKey]=CountersTable[[#This Row],[GroupByKey]]),(CountersTable[GroupByKey]=CountersTable[[#This Row],[GroupByKey]])*CountersTable[RecordedValue])),0)</f>
        <v>2.0858031337217993</v>
      </c>
      <c r="L49" s="5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49" s="5" cm="1">
        <f t="array" ref="N49">MIN(IF((CountersTable[GroupByKey]=CountersTable[[#This Row],[GroupByKey]]),(CountersTable[GroupByKey]=CountersTable[[#This Row],[GroupByKey]])*CountersTable[RecordedValue]))</f>
        <v>0</v>
      </c>
      <c r="O49" s="5" cm="1">
        <f t="array" ref="O49">MAX(IF((CountersTable[GroupByKey]=CountersTable[[#This Row],[GroupByKey]]),(CountersTable[GroupByKey]=CountersTable[[#This Row],[GroupByKey]])*CountersTable[RecordedValue]))</f>
        <v>9</v>
      </c>
    </row>
    <row r="50" spans="1:15" x14ac:dyDescent="0.3">
      <c r="A50" t="s">
        <v>66</v>
      </c>
      <c r="B50" t="s">
        <v>68</v>
      </c>
      <c r="C50">
        <v>25</v>
      </c>
      <c r="D50" t="s">
        <v>87</v>
      </c>
      <c r="E50" t="s">
        <v>88</v>
      </c>
      <c r="F50" t="s">
        <v>89</v>
      </c>
      <c r="G50">
        <v>88</v>
      </c>
      <c r="H50" t="str">
        <f>CountersTable[[#This Row],[ProjectName]]&amp;CountersTable[[#This Row],[Name]]&amp;CountersTable[[#This Row],[Type]]&amp;CountersTable[[#This Row],[Source]]</f>
        <v>Unnamed Projectcustomer servedCountUser Specified</v>
      </c>
      <c r="I50" s="5" cm="1">
        <f t="array" ref="I50">MAX(IF((ProjectInfoTable[ProjectName]=CountersTable[[#This Row],[ProjectName]]),(ProjectInfoTable[ProjectName]=CountersTable[[#This Row],[ProjectName]])*ProjectInfoTable[NumberOfReplications]))</f>
        <v>30</v>
      </c>
      <c r="J50" cm="1">
        <f t="array" ref="J50">IFERROR(AVERAGE(IF((CountersTable[GroupByKey]=CountersTable[[#This Row],[GroupByKey]]),(CountersTable[GroupByKey]=CountersTable[[#This Row],[GroupByKey]])*CountersTable[RecordedValue])),0)</f>
        <v>89.166666666666671</v>
      </c>
      <c r="K50" s="5" cm="1">
        <f t="array" ref="K50">IFERROR(_xlfn.STDEV.S(IF((CountersTable[GroupByKey]=CountersTable[[#This Row],[GroupByKey]]),(CountersTable[GroupByKey]=CountersTable[[#This Row],[GroupByKey]])*CountersTable[RecordedValue])),0)</f>
        <v>7.9658033485961566</v>
      </c>
      <c r="L50" s="5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50" s="5" cm="1">
        <f t="array" ref="N50">MIN(IF((CountersTable[GroupByKey]=CountersTable[[#This Row],[GroupByKey]]),(CountersTable[GroupByKey]=CountersTable[[#This Row],[GroupByKey]])*CountersTable[RecordedValue]))</f>
        <v>70</v>
      </c>
      <c r="O50" s="5" cm="1">
        <f t="array" ref="O50">MAX(IF((CountersTable[GroupByKey]=CountersTable[[#This Row],[GroupByKey]]),(CountersTable[GroupByKey]=CountersTable[[#This Row],[GroupByKey]])*CountersTable[RecordedValue]))</f>
        <v>103</v>
      </c>
    </row>
    <row r="51" spans="1:15" x14ac:dyDescent="0.3">
      <c r="A51" t="s">
        <v>66</v>
      </c>
      <c r="B51" t="s">
        <v>68</v>
      </c>
      <c r="C51">
        <v>25</v>
      </c>
      <c r="D51" t="s">
        <v>90</v>
      </c>
      <c r="E51" t="s">
        <v>88</v>
      </c>
      <c r="F51" t="s">
        <v>89</v>
      </c>
      <c r="G51">
        <v>1</v>
      </c>
      <c r="H5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1" s="5" cm="1">
        <f t="array" ref="I51">MAX(IF((ProjectInfoTable[ProjectName]=CountersTable[[#This Row],[ProjectName]]),(ProjectInfoTable[ProjectName]=CountersTable[[#This Row],[ProjectName]])*ProjectInfoTable[NumberOfReplications]))</f>
        <v>30</v>
      </c>
      <c r="J51" cm="1">
        <f t="array" ref="J51">IFERROR(AVERAGE(IF((CountersTable[GroupByKey]=CountersTable[[#This Row],[GroupByKey]]),(CountersTable[GroupByKey]=CountersTable[[#This Row],[GroupByKey]])*CountersTable[RecordedValue])),0)</f>
        <v>1.8333333333333333</v>
      </c>
      <c r="K51" s="5" cm="1">
        <f t="array" ref="K51">IFERROR(_xlfn.STDEV.S(IF((CountersTable[GroupByKey]=CountersTable[[#This Row],[GroupByKey]]),(CountersTable[GroupByKey]=CountersTable[[#This Row],[GroupByKey]])*CountersTable[RecordedValue])),0)</f>
        <v>2.0858031337217993</v>
      </c>
      <c r="L51" s="5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51" s="5" cm="1">
        <f t="array" ref="N51">MIN(IF((CountersTable[GroupByKey]=CountersTable[[#This Row],[GroupByKey]]),(CountersTable[GroupByKey]=CountersTable[[#This Row],[GroupByKey]])*CountersTable[RecordedValue]))</f>
        <v>0</v>
      </c>
      <c r="O51" s="5" cm="1">
        <f t="array" ref="O51">MAX(IF((CountersTable[GroupByKey]=CountersTable[[#This Row],[GroupByKey]]),(CountersTable[GroupByKey]=CountersTable[[#This Row],[GroupByKey]])*CountersTable[RecordedValue]))</f>
        <v>9</v>
      </c>
    </row>
    <row r="52" spans="1:15" x14ac:dyDescent="0.3">
      <c r="A52" t="s">
        <v>66</v>
      </c>
      <c r="B52" t="s">
        <v>68</v>
      </c>
      <c r="C52">
        <v>26</v>
      </c>
      <c r="D52" t="s">
        <v>87</v>
      </c>
      <c r="E52" t="s">
        <v>88</v>
      </c>
      <c r="F52" t="s">
        <v>89</v>
      </c>
      <c r="G52">
        <v>86</v>
      </c>
      <c r="H52" t="str">
        <f>CountersTable[[#This Row],[ProjectName]]&amp;CountersTable[[#This Row],[Name]]&amp;CountersTable[[#This Row],[Type]]&amp;CountersTable[[#This Row],[Source]]</f>
        <v>Unnamed Projectcustomer servedCountUser Specified</v>
      </c>
      <c r="I52" s="5" cm="1">
        <f t="array" ref="I52">MAX(IF((ProjectInfoTable[ProjectName]=CountersTable[[#This Row],[ProjectName]]),(ProjectInfoTable[ProjectName]=CountersTable[[#This Row],[ProjectName]])*ProjectInfoTable[NumberOfReplications]))</f>
        <v>30</v>
      </c>
      <c r="J52" cm="1">
        <f t="array" ref="J52">IFERROR(AVERAGE(IF((CountersTable[GroupByKey]=CountersTable[[#This Row],[GroupByKey]]),(CountersTable[GroupByKey]=CountersTable[[#This Row],[GroupByKey]])*CountersTable[RecordedValue])),0)</f>
        <v>89.166666666666671</v>
      </c>
      <c r="K52" s="5" cm="1">
        <f t="array" ref="K52">IFERROR(_xlfn.STDEV.S(IF((CountersTable[GroupByKey]=CountersTable[[#This Row],[GroupByKey]]),(CountersTable[GroupByKey]=CountersTable[[#This Row],[GroupByKey]])*CountersTable[RecordedValue])),0)</f>
        <v>7.9658033485961566</v>
      </c>
      <c r="L52" s="5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52" s="5" cm="1">
        <f t="array" ref="N52">MIN(IF((CountersTable[GroupByKey]=CountersTable[[#This Row],[GroupByKey]]),(CountersTable[GroupByKey]=CountersTable[[#This Row],[GroupByKey]])*CountersTable[RecordedValue]))</f>
        <v>70</v>
      </c>
      <c r="O52" s="5" cm="1">
        <f t="array" ref="O52">MAX(IF((CountersTable[GroupByKey]=CountersTable[[#This Row],[GroupByKey]]),(CountersTable[GroupByKey]=CountersTable[[#This Row],[GroupByKey]])*CountersTable[RecordedValue]))</f>
        <v>103</v>
      </c>
    </row>
    <row r="53" spans="1:15" x14ac:dyDescent="0.3">
      <c r="A53" t="s">
        <v>66</v>
      </c>
      <c r="B53" t="s">
        <v>68</v>
      </c>
      <c r="C53">
        <v>26</v>
      </c>
      <c r="D53" t="s">
        <v>90</v>
      </c>
      <c r="E53" t="s">
        <v>88</v>
      </c>
      <c r="F53" t="s">
        <v>89</v>
      </c>
      <c r="G53">
        <v>6</v>
      </c>
      <c r="H5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3" s="5" cm="1">
        <f t="array" ref="I53">MAX(IF((ProjectInfoTable[ProjectName]=CountersTable[[#This Row],[ProjectName]]),(ProjectInfoTable[ProjectName]=CountersTable[[#This Row],[ProjectName]])*ProjectInfoTable[NumberOfReplications]))</f>
        <v>30</v>
      </c>
      <c r="J53" cm="1">
        <f t="array" ref="J53">IFERROR(AVERAGE(IF((CountersTable[GroupByKey]=CountersTable[[#This Row],[GroupByKey]]),(CountersTable[GroupByKey]=CountersTable[[#This Row],[GroupByKey]])*CountersTable[RecordedValue])),0)</f>
        <v>1.8333333333333333</v>
      </c>
      <c r="K53" s="5" cm="1">
        <f t="array" ref="K53">IFERROR(_xlfn.STDEV.S(IF((CountersTable[GroupByKey]=CountersTable[[#This Row],[GroupByKey]]),(CountersTable[GroupByKey]=CountersTable[[#This Row],[GroupByKey]])*CountersTable[RecordedValue])),0)</f>
        <v>2.0858031337217993</v>
      </c>
      <c r="L53" s="5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53" s="5" cm="1">
        <f t="array" ref="N53">MIN(IF((CountersTable[GroupByKey]=CountersTable[[#This Row],[GroupByKey]]),(CountersTable[GroupByKey]=CountersTable[[#This Row],[GroupByKey]])*CountersTable[RecordedValue]))</f>
        <v>0</v>
      </c>
      <c r="O53" s="5" cm="1">
        <f t="array" ref="O53">MAX(IF((CountersTable[GroupByKey]=CountersTable[[#This Row],[GroupByKey]]),(CountersTable[GroupByKey]=CountersTable[[#This Row],[GroupByKey]])*CountersTable[RecordedValue]))</f>
        <v>9</v>
      </c>
    </row>
    <row r="54" spans="1:15" x14ac:dyDescent="0.3">
      <c r="A54" t="s">
        <v>66</v>
      </c>
      <c r="B54" t="s">
        <v>68</v>
      </c>
      <c r="C54">
        <v>27</v>
      </c>
      <c r="D54" t="s">
        <v>87</v>
      </c>
      <c r="E54" t="s">
        <v>88</v>
      </c>
      <c r="F54" t="s">
        <v>89</v>
      </c>
      <c r="G54">
        <v>90</v>
      </c>
      <c r="H54" t="str">
        <f>CountersTable[[#This Row],[ProjectName]]&amp;CountersTable[[#This Row],[Name]]&amp;CountersTable[[#This Row],[Type]]&amp;CountersTable[[#This Row],[Source]]</f>
        <v>Unnamed Projectcustomer servedCountUser Specified</v>
      </c>
      <c r="I54" s="5" cm="1">
        <f t="array" ref="I54">MAX(IF((ProjectInfoTable[ProjectName]=CountersTable[[#This Row],[ProjectName]]),(ProjectInfoTable[ProjectName]=CountersTable[[#This Row],[ProjectName]])*ProjectInfoTable[NumberOfReplications]))</f>
        <v>30</v>
      </c>
      <c r="J54" cm="1">
        <f t="array" ref="J54">IFERROR(AVERAGE(IF((CountersTable[GroupByKey]=CountersTable[[#This Row],[GroupByKey]]),(CountersTable[GroupByKey]=CountersTable[[#This Row],[GroupByKey]])*CountersTable[RecordedValue])),0)</f>
        <v>89.166666666666671</v>
      </c>
      <c r="K54" s="5" cm="1">
        <f t="array" ref="K54">IFERROR(_xlfn.STDEV.S(IF((CountersTable[GroupByKey]=CountersTable[[#This Row],[GroupByKey]]),(CountersTable[GroupByKey]=CountersTable[[#This Row],[GroupByKey]])*CountersTable[RecordedValue])),0)</f>
        <v>7.9658033485961566</v>
      </c>
      <c r="L54" s="5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54" s="5" cm="1">
        <f t="array" ref="N54">MIN(IF((CountersTable[GroupByKey]=CountersTable[[#This Row],[GroupByKey]]),(CountersTable[GroupByKey]=CountersTable[[#This Row],[GroupByKey]])*CountersTable[RecordedValue]))</f>
        <v>70</v>
      </c>
      <c r="O54" s="5" cm="1">
        <f t="array" ref="O54">MAX(IF((CountersTable[GroupByKey]=CountersTable[[#This Row],[GroupByKey]]),(CountersTable[GroupByKey]=CountersTable[[#This Row],[GroupByKey]])*CountersTable[RecordedValue]))</f>
        <v>103</v>
      </c>
    </row>
    <row r="55" spans="1:15" x14ac:dyDescent="0.3">
      <c r="A55" t="s">
        <v>66</v>
      </c>
      <c r="B55" t="s">
        <v>68</v>
      </c>
      <c r="C55">
        <v>27</v>
      </c>
      <c r="D55" t="s">
        <v>90</v>
      </c>
      <c r="E55" t="s">
        <v>88</v>
      </c>
      <c r="F55" t="s">
        <v>89</v>
      </c>
      <c r="G55">
        <v>4</v>
      </c>
      <c r="H5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5" s="5" cm="1">
        <f t="array" ref="I55">MAX(IF((ProjectInfoTable[ProjectName]=CountersTable[[#This Row],[ProjectName]]),(ProjectInfoTable[ProjectName]=CountersTable[[#This Row],[ProjectName]])*ProjectInfoTable[NumberOfReplications]))</f>
        <v>30</v>
      </c>
      <c r="J55" cm="1">
        <f t="array" ref="J55">IFERROR(AVERAGE(IF((CountersTable[GroupByKey]=CountersTable[[#This Row],[GroupByKey]]),(CountersTable[GroupByKey]=CountersTable[[#This Row],[GroupByKey]])*CountersTable[RecordedValue])),0)</f>
        <v>1.8333333333333333</v>
      </c>
      <c r="K55" s="5" cm="1">
        <f t="array" ref="K55">IFERROR(_xlfn.STDEV.S(IF((CountersTable[GroupByKey]=CountersTable[[#This Row],[GroupByKey]]),(CountersTable[GroupByKey]=CountersTable[[#This Row],[GroupByKey]])*CountersTable[RecordedValue])),0)</f>
        <v>2.0858031337217993</v>
      </c>
      <c r="L55" s="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55" s="5" cm="1">
        <f t="array" ref="N55">MIN(IF((CountersTable[GroupByKey]=CountersTable[[#This Row],[GroupByKey]]),(CountersTable[GroupByKey]=CountersTable[[#This Row],[GroupByKey]])*CountersTable[RecordedValue]))</f>
        <v>0</v>
      </c>
      <c r="O55" s="5" cm="1">
        <f t="array" ref="O55">MAX(IF((CountersTable[GroupByKey]=CountersTable[[#This Row],[GroupByKey]]),(CountersTable[GroupByKey]=CountersTable[[#This Row],[GroupByKey]])*CountersTable[RecordedValue]))</f>
        <v>9</v>
      </c>
    </row>
    <row r="56" spans="1:15" x14ac:dyDescent="0.3">
      <c r="A56" t="s">
        <v>66</v>
      </c>
      <c r="B56" t="s">
        <v>68</v>
      </c>
      <c r="C56">
        <v>28</v>
      </c>
      <c r="D56" t="s">
        <v>87</v>
      </c>
      <c r="E56" t="s">
        <v>88</v>
      </c>
      <c r="F56" t="s">
        <v>89</v>
      </c>
      <c r="G56">
        <v>98</v>
      </c>
      <c r="H56" t="str">
        <f>CountersTable[[#This Row],[ProjectName]]&amp;CountersTable[[#This Row],[Name]]&amp;CountersTable[[#This Row],[Type]]&amp;CountersTable[[#This Row],[Source]]</f>
        <v>Unnamed Projectcustomer servedCountUser Specified</v>
      </c>
      <c r="I56" s="5" cm="1">
        <f t="array" ref="I56">MAX(IF((ProjectInfoTable[ProjectName]=CountersTable[[#This Row],[ProjectName]]),(ProjectInfoTable[ProjectName]=CountersTable[[#This Row],[ProjectName]])*ProjectInfoTable[NumberOfReplications]))</f>
        <v>30</v>
      </c>
      <c r="J56" cm="1">
        <f t="array" ref="J56">IFERROR(AVERAGE(IF((CountersTable[GroupByKey]=CountersTable[[#This Row],[GroupByKey]]),(CountersTable[GroupByKey]=CountersTable[[#This Row],[GroupByKey]])*CountersTable[RecordedValue])),0)</f>
        <v>89.166666666666671</v>
      </c>
      <c r="K56" s="5" cm="1">
        <f t="array" ref="K56">IFERROR(_xlfn.STDEV.S(IF((CountersTable[GroupByKey]=CountersTable[[#This Row],[GroupByKey]]),(CountersTable[GroupByKey]=CountersTable[[#This Row],[GroupByKey]])*CountersTable[RecordedValue])),0)</f>
        <v>7.9658033485961566</v>
      </c>
      <c r="L56" s="5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56" s="5" cm="1">
        <f t="array" ref="N56">MIN(IF((CountersTable[GroupByKey]=CountersTable[[#This Row],[GroupByKey]]),(CountersTable[GroupByKey]=CountersTable[[#This Row],[GroupByKey]])*CountersTable[RecordedValue]))</f>
        <v>70</v>
      </c>
      <c r="O56" s="5" cm="1">
        <f t="array" ref="O56">MAX(IF((CountersTable[GroupByKey]=CountersTable[[#This Row],[GroupByKey]]),(CountersTable[GroupByKey]=CountersTable[[#This Row],[GroupByKey]])*CountersTable[RecordedValue]))</f>
        <v>103</v>
      </c>
    </row>
    <row r="57" spans="1:15" x14ac:dyDescent="0.3">
      <c r="A57" t="s">
        <v>66</v>
      </c>
      <c r="B57" t="s">
        <v>68</v>
      </c>
      <c r="C57">
        <v>28</v>
      </c>
      <c r="D57" t="s">
        <v>90</v>
      </c>
      <c r="E57" t="s">
        <v>88</v>
      </c>
      <c r="F57" t="s">
        <v>89</v>
      </c>
      <c r="G57">
        <v>2</v>
      </c>
      <c r="H5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7" s="5" cm="1">
        <f t="array" ref="I57">MAX(IF((ProjectInfoTable[ProjectName]=CountersTable[[#This Row],[ProjectName]]),(ProjectInfoTable[ProjectName]=CountersTable[[#This Row],[ProjectName]])*ProjectInfoTable[NumberOfReplications]))</f>
        <v>30</v>
      </c>
      <c r="J57" cm="1">
        <f t="array" ref="J57">IFERROR(AVERAGE(IF((CountersTable[GroupByKey]=CountersTable[[#This Row],[GroupByKey]]),(CountersTable[GroupByKey]=CountersTable[[#This Row],[GroupByKey]])*CountersTable[RecordedValue])),0)</f>
        <v>1.8333333333333333</v>
      </c>
      <c r="K57" s="5" cm="1">
        <f t="array" ref="K57">IFERROR(_xlfn.STDEV.S(IF((CountersTable[GroupByKey]=CountersTable[[#This Row],[GroupByKey]]),(CountersTable[GroupByKey]=CountersTable[[#This Row],[GroupByKey]])*CountersTable[RecordedValue])),0)</f>
        <v>2.0858031337217993</v>
      </c>
      <c r="L57" s="5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57" s="5" cm="1">
        <f t="array" ref="N57">MIN(IF((CountersTable[GroupByKey]=CountersTable[[#This Row],[GroupByKey]]),(CountersTable[GroupByKey]=CountersTable[[#This Row],[GroupByKey]])*CountersTable[RecordedValue]))</f>
        <v>0</v>
      </c>
      <c r="O57" s="5" cm="1">
        <f t="array" ref="O57">MAX(IF((CountersTable[GroupByKey]=CountersTable[[#This Row],[GroupByKey]]),(CountersTable[GroupByKey]=CountersTable[[#This Row],[GroupByKey]])*CountersTable[RecordedValue]))</f>
        <v>9</v>
      </c>
    </row>
    <row r="58" spans="1:15" x14ac:dyDescent="0.3">
      <c r="A58" t="s">
        <v>66</v>
      </c>
      <c r="B58" t="s">
        <v>68</v>
      </c>
      <c r="C58">
        <v>29</v>
      </c>
      <c r="D58" t="s">
        <v>87</v>
      </c>
      <c r="E58" t="s">
        <v>88</v>
      </c>
      <c r="F58" t="s">
        <v>89</v>
      </c>
      <c r="G58">
        <v>89</v>
      </c>
      <c r="H58" t="str">
        <f>CountersTable[[#This Row],[ProjectName]]&amp;CountersTable[[#This Row],[Name]]&amp;CountersTable[[#This Row],[Type]]&amp;CountersTable[[#This Row],[Source]]</f>
        <v>Unnamed Projectcustomer servedCountUser Specified</v>
      </c>
      <c r="I58" s="5" cm="1">
        <f t="array" ref="I58">MAX(IF((ProjectInfoTable[ProjectName]=CountersTable[[#This Row],[ProjectName]]),(ProjectInfoTable[ProjectName]=CountersTable[[#This Row],[ProjectName]])*ProjectInfoTable[NumberOfReplications]))</f>
        <v>30</v>
      </c>
      <c r="J58" cm="1">
        <f t="array" ref="J58">IFERROR(AVERAGE(IF((CountersTable[GroupByKey]=CountersTable[[#This Row],[GroupByKey]]),(CountersTable[GroupByKey]=CountersTable[[#This Row],[GroupByKey]])*CountersTable[RecordedValue])),0)</f>
        <v>89.166666666666671</v>
      </c>
      <c r="K58" s="5" cm="1">
        <f t="array" ref="K58">IFERROR(_xlfn.STDEV.S(IF((CountersTable[GroupByKey]=CountersTable[[#This Row],[GroupByKey]]),(CountersTable[GroupByKey]=CountersTable[[#This Row],[GroupByKey]])*CountersTable[RecordedValue])),0)</f>
        <v>7.9658033485961566</v>
      </c>
      <c r="L58" s="5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58" s="5" cm="1">
        <f t="array" ref="N58">MIN(IF((CountersTable[GroupByKey]=CountersTable[[#This Row],[GroupByKey]]),(CountersTable[GroupByKey]=CountersTable[[#This Row],[GroupByKey]])*CountersTable[RecordedValue]))</f>
        <v>70</v>
      </c>
      <c r="O58" s="5" cm="1">
        <f t="array" ref="O58">MAX(IF((CountersTable[GroupByKey]=CountersTable[[#This Row],[GroupByKey]]),(CountersTable[GroupByKey]=CountersTable[[#This Row],[GroupByKey]])*CountersTable[RecordedValue]))</f>
        <v>103</v>
      </c>
    </row>
    <row r="59" spans="1:15" x14ac:dyDescent="0.3">
      <c r="A59" t="s">
        <v>66</v>
      </c>
      <c r="B59" t="s">
        <v>68</v>
      </c>
      <c r="C59">
        <v>29</v>
      </c>
      <c r="D59" t="s">
        <v>90</v>
      </c>
      <c r="E59" t="s">
        <v>88</v>
      </c>
      <c r="F59" t="s">
        <v>89</v>
      </c>
      <c r="G59">
        <v>1</v>
      </c>
      <c r="H5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9" s="5" cm="1">
        <f t="array" ref="I59">MAX(IF((ProjectInfoTable[ProjectName]=CountersTable[[#This Row],[ProjectName]]),(ProjectInfoTable[ProjectName]=CountersTable[[#This Row],[ProjectName]])*ProjectInfoTable[NumberOfReplications]))</f>
        <v>30</v>
      </c>
      <c r="J59" cm="1">
        <f t="array" ref="J59">IFERROR(AVERAGE(IF((CountersTable[GroupByKey]=CountersTable[[#This Row],[GroupByKey]]),(CountersTable[GroupByKey]=CountersTable[[#This Row],[GroupByKey]])*CountersTable[RecordedValue])),0)</f>
        <v>1.8333333333333333</v>
      </c>
      <c r="K59" s="5" cm="1">
        <f t="array" ref="K59">IFERROR(_xlfn.STDEV.S(IF((CountersTable[GroupByKey]=CountersTable[[#This Row],[GroupByKey]]),(CountersTable[GroupByKey]=CountersTable[[#This Row],[GroupByKey]])*CountersTable[RecordedValue])),0)</f>
        <v>2.0858031337217993</v>
      </c>
      <c r="L59" s="5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59" s="5" cm="1">
        <f t="array" ref="N59">MIN(IF((CountersTable[GroupByKey]=CountersTable[[#This Row],[GroupByKey]]),(CountersTable[GroupByKey]=CountersTable[[#This Row],[GroupByKey]])*CountersTable[RecordedValue]))</f>
        <v>0</v>
      </c>
      <c r="O59" s="5" cm="1">
        <f t="array" ref="O59">MAX(IF((CountersTable[GroupByKey]=CountersTable[[#This Row],[GroupByKey]]),(CountersTable[GroupByKey]=CountersTable[[#This Row],[GroupByKey]])*CountersTable[RecordedValue]))</f>
        <v>9</v>
      </c>
    </row>
    <row r="60" spans="1:15" x14ac:dyDescent="0.3">
      <c r="A60" t="s">
        <v>66</v>
      </c>
      <c r="B60" t="s">
        <v>68</v>
      </c>
      <c r="C60">
        <v>30</v>
      </c>
      <c r="D60" t="s">
        <v>87</v>
      </c>
      <c r="E60" t="s">
        <v>88</v>
      </c>
      <c r="F60" t="s">
        <v>89</v>
      </c>
      <c r="G60">
        <v>102</v>
      </c>
      <c r="H60" t="str">
        <f>CountersTable[[#This Row],[ProjectName]]&amp;CountersTable[[#This Row],[Name]]&amp;CountersTable[[#This Row],[Type]]&amp;CountersTable[[#This Row],[Source]]</f>
        <v>Unnamed Projectcustomer servedCountUser Specified</v>
      </c>
      <c r="I60" s="5" cm="1">
        <f t="array" ref="I60">MAX(IF((ProjectInfoTable[ProjectName]=CountersTable[[#This Row],[ProjectName]]),(ProjectInfoTable[ProjectName]=CountersTable[[#This Row],[ProjectName]])*ProjectInfoTable[NumberOfReplications]))</f>
        <v>30</v>
      </c>
      <c r="J60" cm="1">
        <f t="array" ref="J60">IFERROR(AVERAGE(IF((CountersTable[GroupByKey]=CountersTable[[#This Row],[GroupByKey]]),(CountersTable[GroupByKey]=CountersTable[[#This Row],[GroupByKey]])*CountersTable[RecordedValue])),0)</f>
        <v>89.166666666666671</v>
      </c>
      <c r="K60" s="5" cm="1">
        <f t="array" ref="K60">IFERROR(_xlfn.STDEV.S(IF((CountersTable[GroupByKey]=CountersTable[[#This Row],[GroupByKey]]),(CountersTable[GroupByKey]=CountersTable[[#This Row],[GroupByKey]])*CountersTable[RecordedValue])),0)</f>
        <v>7.9658033485961566</v>
      </c>
      <c r="L60" s="5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2.9744798545740272</v>
      </c>
      <c r="N60" s="5" cm="1">
        <f t="array" ref="N60">MIN(IF((CountersTable[GroupByKey]=CountersTable[[#This Row],[GroupByKey]]),(CountersTable[GroupByKey]=CountersTable[[#This Row],[GroupByKey]])*CountersTable[RecordedValue]))</f>
        <v>70</v>
      </c>
      <c r="O60" s="5" cm="1">
        <f t="array" ref="O60">MAX(IF((CountersTable[GroupByKey]=CountersTable[[#This Row],[GroupByKey]]),(CountersTable[GroupByKey]=CountersTable[[#This Row],[GroupByKey]])*CountersTable[RecordedValue]))</f>
        <v>103</v>
      </c>
    </row>
    <row r="61" spans="1:15" x14ac:dyDescent="0.3">
      <c r="A61" t="s">
        <v>66</v>
      </c>
      <c r="B61" t="s">
        <v>68</v>
      </c>
      <c r="C61">
        <v>30</v>
      </c>
      <c r="D61" t="s">
        <v>90</v>
      </c>
      <c r="E61" t="s">
        <v>88</v>
      </c>
      <c r="F61" t="s">
        <v>89</v>
      </c>
      <c r="G61">
        <v>0</v>
      </c>
      <c r="H6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61" s="5" cm="1">
        <f t="array" ref="I61">MAX(IF((ProjectInfoTable[ProjectName]=CountersTable[[#This Row],[ProjectName]]),(ProjectInfoTable[ProjectName]=CountersTable[[#This Row],[ProjectName]])*ProjectInfoTable[NumberOfReplications]))</f>
        <v>30</v>
      </c>
      <c r="J61" cm="1">
        <f t="array" ref="J61">IFERROR(AVERAGE(IF((CountersTable[GroupByKey]=CountersTable[[#This Row],[GroupByKey]]),(CountersTable[GroupByKey]=CountersTable[[#This Row],[GroupByKey]])*CountersTable[RecordedValue])),0)</f>
        <v>1.8333333333333333</v>
      </c>
      <c r="K61" s="5" cm="1">
        <f t="array" ref="K61">IFERROR(_xlfn.STDEV.S(IF((CountersTable[GroupByKey]=CountersTable[[#This Row],[GroupByKey]]),(CountersTable[GroupByKey]=CountersTable[[#This Row],[GroupByKey]])*CountersTable[RecordedValue])),0)</f>
        <v>2.0858031337217993</v>
      </c>
      <c r="L61" s="5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0.77885169020099576</v>
      </c>
      <c r="N61" s="5" cm="1">
        <f t="array" ref="N61">MIN(IF((CountersTable[GroupByKey]=CountersTable[[#This Row],[GroupByKey]]),(CountersTable[GroupByKey]=CountersTable[[#This Row],[GroupByKey]])*CountersTable[RecordedValue]))</f>
        <v>0</v>
      </c>
      <c r="O61" s="5" cm="1">
        <f t="array" ref="O61">MAX(IF((CountersTable[GroupByKey]=CountersTable[[#This Row],[GroupByKey]]),(CountersTable[GroupByKey]=CountersTable[[#This Row],[GroupByKey]])*CountersTable[RecordedValue]))</f>
        <v>9</v>
      </c>
    </row>
  </sheetData>
  <phoneticPr fontId="2" type="noConversion"/>
  <conditionalFormatting sqref="H2:O61">
    <cfRule type="expression" dxfId="12" priority="2">
      <formula>MOD(ROW(),2)=0</formula>
    </cfRule>
  </conditionalFormatting>
  <conditionalFormatting sqref="M2:M61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51"/>
  <sheetViews>
    <sheetView workbookViewId="0">
      <selection activeCell="H2" sqref="H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31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71.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6" width="12.33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91</v>
      </c>
      <c r="E2" t="s">
        <v>92</v>
      </c>
      <c r="F2" t="s">
        <v>71</v>
      </c>
      <c r="G2">
        <v>82</v>
      </c>
      <c r="H2">
        <v>0</v>
      </c>
      <c r="I2" t="str">
        <f>OutputTable[[#This Row],[ProjectName]]&amp;OutputTable[[#This Row],[Name]]&amp;OutputTable[[#This Row],[Type]]&amp;OutputTable[[#This Row],[Source]]</f>
        <v>Unnamed ProjectCustomer.NumberInNumber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30</v>
      </c>
      <c r="K2" cm="1">
        <f t="array" ref="K2">IFERROR(AVERAGE(IF((OutputTable[GroupByKey]=OutputTable[[#This Row],[GroupByKey]]),(OutputTable[GroupByKey]=OutputTable[[#This Row],[GroupByKey]])*OutputTable[RecordedValue])),0)</f>
        <v>89.733333333333334</v>
      </c>
      <c r="L2" cm="1">
        <f t="array" ref="L2">IFERROR(_xlfn.STDEV.S(IF((OutputTable[GroupByKey]=OutputTable[[#This Row],[GroupByKey]]),(OutputTable[GroupByKey]=OutputTable[[#This Row],[GroupByKey]])*OutputTable[RecordedValue])),0)</f>
        <v>8.0212361818523625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2" cm="1">
        <f t="array" ref="O2">MIN(IF((OutputTable[GroupByKey]=OutputTable[[#This Row],[GroupByKey]]),(OutputTable[GroupByKey]=OutputTable[[#This Row],[GroupByKey]])*OutputTable[RecordedValue]))</f>
        <v>71</v>
      </c>
      <c r="P2" cm="1">
        <f t="array" ref="P2">MAX(IF((OutputTable[GroupByKey]=OutputTable[[#This Row],[GroupByKey]]),(OutputTable[GroupByKey]=OutputTable[[#This Row],[GroupByKey]])*OutputTable[RecordedValue]))</f>
        <v>103</v>
      </c>
    </row>
    <row r="3" spans="1:16" x14ac:dyDescent="0.3">
      <c r="A3" t="s">
        <v>66</v>
      </c>
      <c r="B3" t="s">
        <v>68</v>
      </c>
      <c r="C3">
        <v>1</v>
      </c>
      <c r="D3" t="s">
        <v>93</v>
      </c>
      <c r="E3" t="s">
        <v>94</v>
      </c>
      <c r="F3" t="s">
        <v>71</v>
      </c>
      <c r="G3">
        <v>82</v>
      </c>
      <c r="H3">
        <v>0</v>
      </c>
      <c r="I3" t="str">
        <f>OutputTable[[#This Row],[ProjectName]]&amp;OutputTable[[#This Row],[Name]]&amp;OutputTable[[#This Row],[Type]]&amp;OutputTable[[#This Row],[Source]]</f>
        <v>Unnamed ProjectCustomer.NumberOutNumber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30</v>
      </c>
      <c r="K3" cm="1">
        <f t="array" ref="K3">IFERROR(AVERAGE(IF((OutputTable[GroupByKey]=OutputTable[[#This Row],[GroupByKey]]),(OutputTable[GroupByKey]=OutputTable[[#This Row],[GroupByKey]])*OutputTable[RecordedValue])),0)</f>
        <v>89.166666666666671</v>
      </c>
      <c r="L3" cm="1">
        <f t="array" ref="L3">IFERROR(_xlfn.STDEV.S(IF((OutputTable[GroupByKey]=OutputTable[[#This Row],[GroupByKey]]),(OutputTable[GroupByKey]=OutputTable[[#This Row],[GroupByKey]])*OutputTable[RecordedValue])),0)</f>
        <v>7.9658033485961566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3" cm="1">
        <f t="array" ref="O3">MIN(IF((OutputTable[GroupByKey]=OutputTable[[#This Row],[GroupByKey]]),(OutputTable[GroupByKey]=OutputTable[[#This Row],[GroupByKey]])*OutputTable[RecordedValue]))</f>
        <v>70</v>
      </c>
      <c r="P3" cm="1">
        <f t="array" ref="P3">MAX(IF((OutputTable[GroupByKey]=OutputTable[[#This Row],[GroupByKey]]),(OutputTable[GroupByKey]=OutputTable[[#This Row],[GroupByKey]])*OutputTable[RecordedValue]))</f>
        <v>103</v>
      </c>
    </row>
    <row r="4" spans="1:16" x14ac:dyDescent="0.3">
      <c r="A4" t="s">
        <v>66</v>
      </c>
      <c r="B4" t="s">
        <v>68</v>
      </c>
      <c r="C4">
        <v>1</v>
      </c>
      <c r="D4" t="s">
        <v>95</v>
      </c>
      <c r="E4" t="s">
        <v>96</v>
      </c>
      <c r="F4" t="s">
        <v>83</v>
      </c>
      <c r="G4">
        <v>82</v>
      </c>
      <c r="H4">
        <v>0</v>
      </c>
      <c r="I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30</v>
      </c>
      <c r="K4" cm="1">
        <f t="array" ref="K4">IFERROR(AVERAGE(IF((OutputTable[GroupByKey]=OutputTable[[#This Row],[GroupByKey]]),(OutputTable[GroupByKey]=OutputTable[[#This Row],[GroupByKey]])*OutputTable[RecordedValue])),0)</f>
        <v>89.733333333333334</v>
      </c>
      <c r="L4" cm="1">
        <f t="array" ref="L4">IFERROR(_xlfn.STDEV.S(IF((OutputTable[GroupByKey]=OutputTable[[#This Row],[GroupByKey]]),(OutputTable[GroupByKey]=OutputTable[[#This Row],[GroupByKey]])*OutputTable[RecordedValue])),0)</f>
        <v>8.0212361818523625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4" cm="1">
        <f t="array" ref="O4">MIN(IF((OutputTable[GroupByKey]=OutputTable[[#This Row],[GroupByKey]]),(OutputTable[GroupByKey]=OutputTable[[#This Row],[GroupByKey]])*OutputTable[RecordedValue]))</f>
        <v>71</v>
      </c>
      <c r="P4" cm="1">
        <f t="array" ref="P4">MAX(IF((OutputTable[GroupByKey]=OutputTable[[#This Row],[GroupByKey]]),(OutputTable[GroupByKey]=OutputTable[[#This Row],[GroupByKey]])*OutputTable[RecordedValue]))</f>
        <v>103</v>
      </c>
    </row>
    <row r="5" spans="1:16" x14ac:dyDescent="0.3">
      <c r="A5" t="s">
        <v>66</v>
      </c>
      <c r="B5" t="s">
        <v>68</v>
      </c>
      <c r="C5">
        <v>1</v>
      </c>
      <c r="D5" t="s">
        <v>97</v>
      </c>
      <c r="E5" t="s">
        <v>98</v>
      </c>
      <c r="F5" t="s">
        <v>83</v>
      </c>
      <c r="G5">
        <v>0.354108351509345</v>
      </c>
      <c r="H5">
        <v>0</v>
      </c>
      <c r="I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30</v>
      </c>
      <c r="K5" cm="1">
        <f t="array" ref="K5">IFERROR(AVERAGE(IF((OutputTable[GroupByKey]=OutputTable[[#This Row],[GroupByKey]]),(OutputTable[GroupByKey]=OutputTable[[#This Row],[GroupByKey]])*OutputTable[RecordedValue])),0)</f>
        <v>0.34420349255945865</v>
      </c>
      <c r="L5" cm="1">
        <f t="array" ref="L5">IFERROR(_xlfn.STDEV.S(IF((OutputTable[GroupByKey]=OutputTable[[#This Row],[GroupByKey]]),(OutputTable[GroupByKey]=OutputTable[[#This Row],[GroupByKey]])*OutputTable[RecordedValue])),0)</f>
        <v>4.5304829879571427E-2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5" cm="1">
        <f t="array" ref="O5">MIN(IF((OutputTable[GroupByKey]=OutputTable[[#This Row],[GroupByKey]]),(OutputTable[GroupByKey]=OutputTable[[#This Row],[GroupByKey]])*OutputTable[RecordedValue]))</f>
        <v>0.24637585883753399</v>
      </c>
      <c r="P5" cm="1">
        <f t="array" ref="P5">MAX(IF((OutputTable[GroupByKey]=OutputTable[[#This Row],[GroupByKey]]),(OutputTable[GroupByKey]=OutputTable[[#This Row],[GroupByKey]])*OutputTable[RecordedValue]))</f>
        <v>0.43753875749565602</v>
      </c>
    </row>
    <row r="6" spans="1:16" x14ac:dyDescent="0.3">
      <c r="A6" t="s">
        <v>66</v>
      </c>
      <c r="B6" t="s">
        <v>68</v>
      </c>
      <c r="C6">
        <v>1</v>
      </c>
      <c r="D6" t="s">
        <v>99</v>
      </c>
      <c r="E6" t="s">
        <v>94</v>
      </c>
      <c r="F6" t="s">
        <v>100</v>
      </c>
      <c r="G6">
        <v>82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30</v>
      </c>
      <c r="K6" cm="1">
        <f t="array" ref="K6">IFERROR(AVERAGE(IF((OutputTable[GroupByKey]=OutputTable[[#This Row],[GroupByKey]]),(OutputTable[GroupByKey]=OutputTable[[#This Row],[GroupByKey]])*OutputTable[RecordedValue])),0)</f>
        <v>89.166666666666671</v>
      </c>
      <c r="L6" cm="1">
        <f t="array" ref="L6">IFERROR(_xlfn.STDEV.S(IF((OutputTable[GroupByKey]=OutputTable[[#This Row],[GroupByKey]]),(OutputTable[GroupByKey]=OutputTable[[#This Row],[GroupByKey]])*OutputTable[RecordedValue])),0)</f>
        <v>7.9658033485961566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6" cm="1">
        <f t="array" ref="O6">MIN(IF((OutputTable[GroupByKey]=OutputTable[[#This Row],[GroupByKey]]),(OutputTable[GroupByKey]=OutputTable[[#This Row],[GroupByKey]])*OutputTable[RecordedValue]))</f>
        <v>70</v>
      </c>
      <c r="P6" cm="1">
        <f t="array" ref="P6">MAX(IF((OutputTable[GroupByKey]=OutputTable[[#This Row],[GroupByKey]]),(OutputTable[GroupByKey]=OutputTable[[#This Row],[GroupByKey]])*OutputTable[RecordedValue]))</f>
        <v>103</v>
      </c>
    </row>
    <row r="7" spans="1:16" x14ac:dyDescent="0.3">
      <c r="A7" t="s">
        <v>66</v>
      </c>
      <c r="B7" t="s">
        <v>68</v>
      </c>
      <c r="C7">
        <v>2</v>
      </c>
      <c r="D7" t="s">
        <v>91</v>
      </c>
      <c r="E7" t="s">
        <v>92</v>
      </c>
      <c r="F7" t="s">
        <v>71</v>
      </c>
      <c r="G7">
        <v>101</v>
      </c>
      <c r="H7">
        <v>0</v>
      </c>
      <c r="I7" t="str">
        <f>OutputTable[[#This Row],[ProjectName]]&amp;OutputTable[[#This Row],[Name]]&amp;OutputTable[[#This Row],[Type]]&amp;OutputTable[[#This Row],[Source]]</f>
        <v>Unnamed ProjectCustomer.NumberInNumber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30</v>
      </c>
      <c r="K7" cm="1">
        <f t="array" ref="K7">IFERROR(AVERAGE(IF((OutputTable[GroupByKey]=OutputTable[[#This Row],[GroupByKey]]),(OutputTable[GroupByKey]=OutputTable[[#This Row],[GroupByKey]])*OutputTable[RecordedValue])),0)</f>
        <v>89.733333333333334</v>
      </c>
      <c r="L7" cm="1">
        <f t="array" ref="L7">IFERROR(_xlfn.STDEV.S(IF((OutputTable[GroupByKey]=OutputTable[[#This Row],[GroupByKey]]),(OutputTable[GroupByKey]=OutputTable[[#This Row],[GroupByKey]])*OutputTable[RecordedValue])),0)</f>
        <v>8.0212361818523625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7" cm="1">
        <f t="array" ref="O7">MIN(IF((OutputTable[GroupByKey]=OutputTable[[#This Row],[GroupByKey]]),(OutputTable[GroupByKey]=OutputTable[[#This Row],[GroupByKey]])*OutputTable[RecordedValue]))</f>
        <v>71</v>
      </c>
      <c r="P7" cm="1">
        <f t="array" ref="P7">MAX(IF((OutputTable[GroupByKey]=OutputTable[[#This Row],[GroupByKey]]),(OutputTable[GroupByKey]=OutputTable[[#This Row],[GroupByKey]])*OutputTable[RecordedValue]))</f>
        <v>103</v>
      </c>
    </row>
    <row r="8" spans="1:16" x14ac:dyDescent="0.3">
      <c r="A8" t="s">
        <v>66</v>
      </c>
      <c r="B8" t="s">
        <v>68</v>
      </c>
      <c r="C8">
        <v>2</v>
      </c>
      <c r="D8" t="s">
        <v>93</v>
      </c>
      <c r="E8" t="s">
        <v>94</v>
      </c>
      <c r="F8" t="s">
        <v>71</v>
      </c>
      <c r="G8">
        <v>100</v>
      </c>
      <c r="H8">
        <v>0</v>
      </c>
      <c r="I8" t="str">
        <f>OutputTable[[#This Row],[ProjectName]]&amp;OutputTable[[#This Row],[Name]]&amp;OutputTable[[#This Row],[Type]]&amp;OutputTable[[#This Row],[Source]]</f>
        <v>Unnamed ProjectCustomer.NumberOutNumber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30</v>
      </c>
      <c r="K8" cm="1">
        <f t="array" ref="K8">IFERROR(AVERAGE(IF((OutputTable[GroupByKey]=OutputTable[[#This Row],[GroupByKey]]),(OutputTable[GroupByKey]=OutputTable[[#This Row],[GroupByKey]])*OutputTable[RecordedValue])),0)</f>
        <v>89.166666666666671</v>
      </c>
      <c r="L8" cm="1">
        <f t="array" ref="L8">IFERROR(_xlfn.STDEV.S(IF((OutputTable[GroupByKey]=OutputTable[[#This Row],[GroupByKey]]),(OutputTable[GroupByKey]=OutputTable[[#This Row],[GroupByKey]])*OutputTable[RecordedValue])),0)</f>
        <v>7.9658033485961566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8" cm="1">
        <f t="array" ref="O8">MIN(IF((OutputTable[GroupByKey]=OutputTable[[#This Row],[GroupByKey]]),(OutputTable[GroupByKey]=OutputTable[[#This Row],[GroupByKey]])*OutputTable[RecordedValue]))</f>
        <v>70</v>
      </c>
      <c r="P8" cm="1">
        <f t="array" ref="P8">MAX(IF((OutputTable[GroupByKey]=OutputTable[[#This Row],[GroupByKey]]),(OutputTable[GroupByKey]=OutputTable[[#This Row],[GroupByKey]])*OutputTable[RecordedValue]))</f>
        <v>103</v>
      </c>
    </row>
    <row r="9" spans="1:16" x14ac:dyDescent="0.3">
      <c r="A9" t="s">
        <v>66</v>
      </c>
      <c r="B9" t="s">
        <v>68</v>
      </c>
      <c r="C9">
        <v>2</v>
      </c>
      <c r="D9" t="s">
        <v>95</v>
      </c>
      <c r="E9" t="s">
        <v>96</v>
      </c>
      <c r="F9" t="s">
        <v>83</v>
      </c>
      <c r="G9">
        <v>101</v>
      </c>
      <c r="H9">
        <v>0</v>
      </c>
      <c r="I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30</v>
      </c>
      <c r="K9" cm="1">
        <f t="array" ref="K9">IFERROR(AVERAGE(IF((OutputTable[GroupByKey]=OutputTable[[#This Row],[GroupByKey]]),(OutputTable[GroupByKey]=OutputTable[[#This Row],[GroupByKey]])*OutputTable[RecordedValue])),0)</f>
        <v>89.733333333333334</v>
      </c>
      <c r="L9" cm="1">
        <f t="array" ref="L9">IFERROR(_xlfn.STDEV.S(IF((OutputTable[GroupByKey]=OutputTable[[#This Row],[GroupByKey]]),(OutputTable[GroupByKey]=OutputTable[[#This Row],[GroupByKey]])*OutputTable[RecordedValue])),0)</f>
        <v>8.0212361818523625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9" cm="1">
        <f t="array" ref="O9">MIN(IF((OutputTable[GroupByKey]=OutputTable[[#This Row],[GroupByKey]]),(OutputTable[GroupByKey]=OutputTable[[#This Row],[GroupByKey]])*OutputTable[RecordedValue]))</f>
        <v>71</v>
      </c>
      <c r="P9" cm="1">
        <f t="array" ref="P9">MAX(IF((OutputTable[GroupByKey]=OutputTable[[#This Row],[GroupByKey]]),(OutputTable[GroupByKey]=OutputTable[[#This Row],[GroupByKey]])*OutputTable[RecordedValue]))</f>
        <v>103</v>
      </c>
    </row>
    <row r="10" spans="1:16" x14ac:dyDescent="0.3">
      <c r="A10" t="s">
        <v>66</v>
      </c>
      <c r="B10" t="s">
        <v>68</v>
      </c>
      <c r="C10">
        <v>2</v>
      </c>
      <c r="D10" t="s">
        <v>97</v>
      </c>
      <c r="E10" t="s">
        <v>98</v>
      </c>
      <c r="F10" t="s">
        <v>83</v>
      </c>
      <c r="G10">
        <v>0.40412492404054001</v>
      </c>
      <c r="H10">
        <v>0</v>
      </c>
      <c r="I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30</v>
      </c>
      <c r="K10" cm="1">
        <f t="array" ref="K10">IFERROR(AVERAGE(IF((OutputTable[GroupByKey]=OutputTable[[#This Row],[GroupByKey]]),(OutputTable[GroupByKey]=OutputTable[[#This Row],[GroupByKey]])*OutputTable[RecordedValue])),0)</f>
        <v>0.34420349255945865</v>
      </c>
      <c r="L10" cm="1">
        <f t="array" ref="L10">IFERROR(_xlfn.STDEV.S(IF((OutputTable[GroupByKey]=OutputTable[[#This Row],[GroupByKey]]),(OutputTable[GroupByKey]=OutputTable[[#This Row],[GroupByKey]])*OutputTable[RecordedValue])),0)</f>
        <v>4.5304829879571427E-2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10" cm="1">
        <f t="array" ref="O10">MIN(IF((OutputTable[GroupByKey]=OutputTable[[#This Row],[GroupByKey]]),(OutputTable[GroupByKey]=OutputTable[[#This Row],[GroupByKey]])*OutputTable[RecordedValue]))</f>
        <v>0.24637585883753399</v>
      </c>
      <c r="P10" cm="1">
        <f t="array" ref="P10">MAX(IF((OutputTable[GroupByKey]=OutputTable[[#This Row],[GroupByKey]]),(OutputTable[GroupByKey]=OutputTable[[#This Row],[GroupByKey]])*OutputTable[RecordedValue]))</f>
        <v>0.43753875749565602</v>
      </c>
    </row>
    <row r="11" spans="1:16" x14ac:dyDescent="0.3">
      <c r="A11" t="s">
        <v>66</v>
      </c>
      <c r="B11" t="s">
        <v>68</v>
      </c>
      <c r="C11">
        <v>2</v>
      </c>
      <c r="D11" t="s">
        <v>99</v>
      </c>
      <c r="E11" t="s">
        <v>94</v>
      </c>
      <c r="F11" t="s">
        <v>100</v>
      </c>
      <c r="G11">
        <v>100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30</v>
      </c>
      <c r="K11" cm="1">
        <f t="array" ref="K11">IFERROR(AVERAGE(IF((OutputTable[GroupByKey]=OutputTable[[#This Row],[GroupByKey]]),(OutputTable[GroupByKey]=OutputTable[[#This Row],[GroupByKey]])*OutputTable[RecordedValue])),0)</f>
        <v>89.166666666666671</v>
      </c>
      <c r="L11" cm="1">
        <f t="array" ref="L11">IFERROR(_xlfn.STDEV.S(IF((OutputTable[GroupByKey]=OutputTable[[#This Row],[GroupByKey]]),(OutputTable[GroupByKey]=OutputTable[[#This Row],[GroupByKey]])*OutputTable[RecordedValue])),0)</f>
        <v>7.9658033485961566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11" cm="1">
        <f t="array" ref="O11">MIN(IF((OutputTable[GroupByKey]=OutputTable[[#This Row],[GroupByKey]]),(OutputTable[GroupByKey]=OutputTable[[#This Row],[GroupByKey]])*OutputTable[RecordedValue]))</f>
        <v>70</v>
      </c>
      <c r="P11" cm="1">
        <f t="array" ref="P11">MAX(IF((OutputTable[GroupByKey]=OutputTable[[#This Row],[GroupByKey]]),(OutputTable[GroupByKey]=OutputTable[[#This Row],[GroupByKey]])*OutputTable[RecordedValue]))</f>
        <v>103</v>
      </c>
    </row>
    <row r="12" spans="1:16" x14ac:dyDescent="0.3">
      <c r="A12" t="s">
        <v>66</v>
      </c>
      <c r="B12" t="s">
        <v>68</v>
      </c>
      <c r="C12">
        <v>3</v>
      </c>
      <c r="D12" t="s">
        <v>91</v>
      </c>
      <c r="E12" t="s">
        <v>92</v>
      </c>
      <c r="F12" t="s">
        <v>71</v>
      </c>
      <c r="G12">
        <v>103</v>
      </c>
      <c r="H12">
        <v>0</v>
      </c>
      <c r="I12" t="str">
        <f>OutputTable[[#This Row],[ProjectName]]&amp;OutputTable[[#This Row],[Name]]&amp;OutputTable[[#This Row],[Type]]&amp;OutputTable[[#This Row],[Source]]</f>
        <v>Unnamed ProjectCustomer.NumberInNumber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30</v>
      </c>
      <c r="K12" cm="1">
        <f t="array" ref="K12">IFERROR(AVERAGE(IF((OutputTable[GroupByKey]=OutputTable[[#This Row],[GroupByKey]]),(OutputTable[GroupByKey]=OutputTable[[#This Row],[GroupByKey]])*OutputTable[RecordedValue])),0)</f>
        <v>89.733333333333334</v>
      </c>
      <c r="L12" cm="1">
        <f t="array" ref="L12">IFERROR(_xlfn.STDEV.S(IF((OutputTable[GroupByKey]=OutputTable[[#This Row],[GroupByKey]]),(OutputTable[GroupByKey]=OutputTable[[#This Row],[GroupByKey]])*OutputTable[RecordedValue])),0)</f>
        <v>8.0212361818523625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12" cm="1">
        <f t="array" ref="O12">MIN(IF((OutputTable[GroupByKey]=OutputTable[[#This Row],[GroupByKey]]),(OutputTable[GroupByKey]=OutputTable[[#This Row],[GroupByKey]])*OutputTable[RecordedValue]))</f>
        <v>71</v>
      </c>
      <c r="P12" cm="1">
        <f t="array" ref="P12">MAX(IF((OutputTable[GroupByKey]=OutputTable[[#This Row],[GroupByKey]]),(OutputTable[GroupByKey]=OutputTable[[#This Row],[GroupByKey]])*OutputTable[RecordedValue]))</f>
        <v>103</v>
      </c>
    </row>
    <row r="13" spans="1:16" x14ac:dyDescent="0.3">
      <c r="A13" t="s">
        <v>66</v>
      </c>
      <c r="B13" t="s">
        <v>68</v>
      </c>
      <c r="C13">
        <v>3</v>
      </c>
      <c r="D13" t="s">
        <v>93</v>
      </c>
      <c r="E13" t="s">
        <v>94</v>
      </c>
      <c r="F13" t="s">
        <v>71</v>
      </c>
      <c r="G13">
        <v>103</v>
      </c>
      <c r="H13">
        <v>0</v>
      </c>
      <c r="I13" t="str">
        <f>OutputTable[[#This Row],[ProjectName]]&amp;OutputTable[[#This Row],[Name]]&amp;OutputTable[[#This Row],[Type]]&amp;OutputTable[[#This Row],[Source]]</f>
        <v>Unnamed ProjectCustomer.NumberOutNumber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30</v>
      </c>
      <c r="K13" cm="1">
        <f t="array" ref="K13">IFERROR(AVERAGE(IF((OutputTable[GroupByKey]=OutputTable[[#This Row],[GroupByKey]]),(OutputTable[GroupByKey]=OutputTable[[#This Row],[GroupByKey]])*OutputTable[RecordedValue])),0)</f>
        <v>89.166666666666671</v>
      </c>
      <c r="L13" cm="1">
        <f t="array" ref="L13">IFERROR(_xlfn.STDEV.S(IF((OutputTable[GroupByKey]=OutputTable[[#This Row],[GroupByKey]]),(OutputTable[GroupByKey]=OutputTable[[#This Row],[GroupByKey]])*OutputTable[RecordedValue])),0)</f>
        <v>7.9658033485961566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13" cm="1">
        <f t="array" ref="O13">MIN(IF((OutputTable[GroupByKey]=OutputTable[[#This Row],[GroupByKey]]),(OutputTable[GroupByKey]=OutputTable[[#This Row],[GroupByKey]])*OutputTable[RecordedValue]))</f>
        <v>70</v>
      </c>
      <c r="P13" cm="1">
        <f t="array" ref="P13">MAX(IF((OutputTable[GroupByKey]=OutputTable[[#This Row],[GroupByKey]]),(OutputTable[GroupByKey]=OutputTable[[#This Row],[GroupByKey]])*OutputTable[RecordedValue]))</f>
        <v>103</v>
      </c>
    </row>
    <row r="14" spans="1:16" x14ac:dyDescent="0.3">
      <c r="A14" t="s">
        <v>66</v>
      </c>
      <c r="B14" t="s">
        <v>68</v>
      </c>
      <c r="C14">
        <v>3</v>
      </c>
      <c r="D14" t="s">
        <v>95</v>
      </c>
      <c r="E14" t="s">
        <v>96</v>
      </c>
      <c r="F14" t="s">
        <v>83</v>
      </c>
      <c r="G14">
        <v>103</v>
      </c>
      <c r="H14">
        <v>0</v>
      </c>
      <c r="I1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30</v>
      </c>
      <c r="K14" cm="1">
        <f t="array" ref="K14">IFERROR(AVERAGE(IF((OutputTable[GroupByKey]=OutputTable[[#This Row],[GroupByKey]]),(OutputTable[GroupByKey]=OutputTable[[#This Row],[GroupByKey]])*OutputTable[RecordedValue])),0)</f>
        <v>89.733333333333334</v>
      </c>
      <c r="L14" cm="1">
        <f t="array" ref="L14">IFERROR(_xlfn.STDEV.S(IF((OutputTable[GroupByKey]=OutputTable[[#This Row],[GroupByKey]]),(OutputTable[GroupByKey]=OutputTable[[#This Row],[GroupByKey]])*OutputTable[RecordedValue])),0)</f>
        <v>8.0212361818523625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14" cm="1">
        <f t="array" ref="O14">MIN(IF((OutputTable[GroupByKey]=OutputTable[[#This Row],[GroupByKey]]),(OutputTable[GroupByKey]=OutputTable[[#This Row],[GroupByKey]])*OutputTable[RecordedValue]))</f>
        <v>71</v>
      </c>
      <c r="P14" cm="1">
        <f t="array" ref="P14">MAX(IF((OutputTable[GroupByKey]=OutputTable[[#This Row],[GroupByKey]]),(OutputTable[GroupByKey]=OutputTable[[#This Row],[GroupByKey]])*OutputTable[RecordedValue]))</f>
        <v>103</v>
      </c>
    </row>
    <row r="15" spans="1:16" x14ac:dyDescent="0.3">
      <c r="A15" t="s">
        <v>66</v>
      </c>
      <c r="B15" t="s">
        <v>68</v>
      </c>
      <c r="C15">
        <v>3</v>
      </c>
      <c r="D15" t="s">
        <v>97</v>
      </c>
      <c r="E15" t="s">
        <v>98</v>
      </c>
      <c r="F15" t="s">
        <v>83</v>
      </c>
      <c r="G15">
        <v>0.38192949867303899</v>
      </c>
      <c r="H15">
        <v>0</v>
      </c>
      <c r="I1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30</v>
      </c>
      <c r="K15" cm="1">
        <f t="array" ref="K15">IFERROR(AVERAGE(IF((OutputTable[GroupByKey]=OutputTable[[#This Row],[GroupByKey]]),(OutputTable[GroupByKey]=OutputTable[[#This Row],[GroupByKey]])*OutputTable[RecordedValue])),0)</f>
        <v>0.34420349255945865</v>
      </c>
      <c r="L15" cm="1">
        <f t="array" ref="L15">IFERROR(_xlfn.STDEV.S(IF((OutputTable[GroupByKey]=OutputTable[[#This Row],[GroupByKey]]),(OutputTable[GroupByKey]=OutputTable[[#This Row],[GroupByKey]])*OutputTable[RecordedValue])),0)</f>
        <v>4.5304829879571427E-2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15" cm="1">
        <f t="array" ref="O15">MIN(IF((OutputTable[GroupByKey]=OutputTable[[#This Row],[GroupByKey]]),(OutputTable[GroupByKey]=OutputTable[[#This Row],[GroupByKey]])*OutputTable[RecordedValue]))</f>
        <v>0.24637585883753399</v>
      </c>
      <c r="P15" cm="1">
        <f t="array" ref="P15">MAX(IF((OutputTable[GroupByKey]=OutputTable[[#This Row],[GroupByKey]]),(OutputTable[GroupByKey]=OutputTable[[#This Row],[GroupByKey]])*OutputTable[RecordedValue]))</f>
        <v>0.43753875749565602</v>
      </c>
    </row>
    <row r="16" spans="1:16" x14ac:dyDescent="0.3">
      <c r="A16" t="s">
        <v>66</v>
      </c>
      <c r="B16" t="s">
        <v>68</v>
      </c>
      <c r="C16">
        <v>3</v>
      </c>
      <c r="D16" t="s">
        <v>99</v>
      </c>
      <c r="E16" t="s">
        <v>94</v>
      </c>
      <c r="F16" t="s">
        <v>100</v>
      </c>
      <c r="G16">
        <v>103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30</v>
      </c>
      <c r="K16" cm="1">
        <f t="array" ref="K16">IFERROR(AVERAGE(IF((OutputTable[GroupByKey]=OutputTable[[#This Row],[GroupByKey]]),(OutputTable[GroupByKey]=OutputTable[[#This Row],[GroupByKey]])*OutputTable[RecordedValue])),0)</f>
        <v>89.166666666666671</v>
      </c>
      <c r="L16" cm="1">
        <f t="array" ref="L16">IFERROR(_xlfn.STDEV.S(IF((OutputTable[GroupByKey]=OutputTable[[#This Row],[GroupByKey]]),(OutputTable[GroupByKey]=OutputTable[[#This Row],[GroupByKey]])*OutputTable[RecordedValue])),0)</f>
        <v>7.9658033485961566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16" cm="1">
        <f t="array" ref="O16">MIN(IF((OutputTable[GroupByKey]=OutputTable[[#This Row],[GroupByKey]]),(OutputTable[GroupByKey]=OutputTable[[#This Row],[GroupByKey]])*OutputTable[RecordedValue]))</f>
        <v>70</v>
      </c>
      <c r="P16" cm="1">
        <f t="array" ref="P16">MAX(IF((OutputTable[GroupByKey]=OutputTable[[#This Row],[GroupByKey]]),(OutputTable[GroupByKey]=OutputTable[[#This Row],[GroupByKey]])*OutputTable[RecordedValue]))</f>
        <v>103</v>
      </c>
    </row>
    <row r="17" spans="1:16" x14ac:dyDescent="0.3">
      <c r="A17" t="s">
        <v>66</v>
      </c>
      <c r="B17" t="s">
        <v>68</v>
      </c>
      <c r="C17">
        <v>4</v>
      </c>
      <c r="D17" t="s">
        <v>91</v>
      </c>
      <c r="E17" t="s">
        <v>92</v>
      </c>
      <c r="F17" t="s">
        <v>71</v>
      </c>
      <c r="G17">
        <v>90</v>
      </c>
      <c r="H17">
        <v>0</v>
      </c>
      <c r="I17" t="str">
        <f>OutputTable[[#This Row],[ProjectName]]&amp;OutputTable[[#This Row],[Name]]&amp;OutputTable[[#This Row],[Type]]&amp;OutputTable[[#This Row],[Source]]</f>
        <v>Unnamed ProjectCustomer.NumberInNumber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30</v>
      </c>
      <c r="K17" cm="1">
        <f t="array" ref="K17">IFERROR(AVERAGE(IF((OutputTable[GroupByKey]=OutputTable[[#This Row],[GroupByKey]]),(OutputTable[GroupByKey]=OutputTable[[#This Row],[GroupByKey]])*OutputTable[RecordedValue])),0)</f>
        <v>89.733333333333334</v>
      </c>
      <c r="L17" cm="1">
        <f t="array" ref="L17">IFERROR(_xlfn.STDEV.S(IF((OutputTable[GroupByKey]=OutputTable[[#This Row],[GroupByKey]]),(OutputTable[GroupByKey]=OutputTable[[#This Row],[GroupByKey]])*OutputTable[RecordedValue])),0)</f>
        <v>8.0212361818523625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17" cm="1">
        <f t="array" ref="O17">MIN(IF((OutputTable[GroupByKey]=OutputTable[[#This Row],[GroupByKey]]),(OutputTable[GroupByKey]=OutputTable[[#This Row],[GroupByKey]])*OutputTable[RecordedValue]))</f>
        <v>71</v>
      </c>
      <c r="P17" cm="1">
        <f t="array" ref="P17">MAX(IF((OutputTable[GroupByKey]=OutputTable[[#This Row],[GroupByKey]]),(OutputTable[GroupByKey]=OutputTable[[#This Row],[GroupByKey]])*OutputTable[RecordedValue]))</f>
        <v>103</v>
      </c>
    </row>
    <row r="18" spans="1:16" x14ac:dyDescent="0.3">
      <c r="A18" t="s">
        <v>66</v>
      </c>
      <c r="B18" t="s">
        <v>68</v>
      </c>
      <c r="C18">
        <v>4</v>
      </c>
      <c r="D18" t="s">
        <v>93</v>
      </c>
      <c r="E18" t="s">
        <v>94</v>
      </c>
      <c r="F18" t="s">
        <v>71</v>
      </c>
      <c r="G18">
        <v>89</v>
      </c>
      <c r="H18">
        <v>0</v>
      </c>
      <c r="I18" t="str">
        <f>OutputTable[[#This Row],[ProjectName]]&amp;OutputTable[[#This Row],[Name]]&amp;OutputTable[[#This Row],[Type]]&amp;OutputTable[[#This Row],[Source]]</f>
        <v>Unnamed ProjectCustomer.NumberOutNumber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30</v>
      </c>
      <c r="K18" cm="1">
        <f t="array" ref="K18">IFERROR(AVERAGE(IF((OutputTable[GroupByKey]=OutputTable[[#This Row],[GroupByKey]]),(OutputTable[GroupByKey]=OutputTable[[#This Row],[GroupByKey]])*OutputTable[RecordedValue])),0)</f>
        <v>89.166666666666671</v>
      </c>
      <c r="L18" cm="1">
        <f t="array" ref="L18">IFERROR(_xlfn.STDEV.S(IF((OutputTable[GroupByKey]=OutputTable[[#This Row],[GroupByKey]]),(OutputTable[GroupByKey]=OutputTable[[#This Row],[GroupByKey]])*OutputTable[RecordedValue])),0)</f>
        <v>7.9658033485961566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18" cm="1">
        <f t="array" ref="O18">MIN(IF((OutputTable[GroupByKey]=OutputTable[[#This Row],[GroupByKey]]),(OutputTable[GroupByKey]=OutputTable[[#This Row],[GroupByKey]])*OutputTable[RecordedValue]))</f>
        <v>70</v>
      </c>
      <c r="P18" cm="1">
        <f t="array" ref="P18">MAX(IF((OutputTable[GroupByKey]=OutputTable[[#This Row],[GroupByKey]]),(OutputTable[GroupByKey]=OutputTable[[#This Row],[GroupByKey]])*OutputTable[RecordedValue]))</f>
        <v>103</v>
      </c>
    </row>
    <row r="19" spans="1:16" x14ac:dyDescent="0.3">
      <c r="A19" t="s">
        <v>66</v>
      </c>
      <c r="B19" t="s">
        <v>68</v>
      </c>
      <c r="C19">
        <v>4</v>
      </c>
      <c r="D19" t="s">
        <v>95</v>
      </c>
      <c r="E19" t="s">
        <v>96</v>
      </c>
      <c r="F19" t="s">
        <v>83</v>
      </c>
      <c r="G19">
        <v>90</v>
      </c>
      <c r="H19">
        <v>0</v>
      </c>
      <c r="I1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30</v>
      </c>
      <c r="K19" cm="1">
        <f t="array" ref="K19">IFERROR(AVERAGE(IF((OutputTable[GroupByKey]=OutputTable[[#This Row],[GroupByKey]]),(OutputTable[GroupByKey]=OutputTable[[#This Row],[GroupByKey]])*OutputTable[RecordedValue])),0)</f>
        <v>89.733333333333334</v>
      </c>
      <c r="L19" cm="1">
        <f t="array" ref="L19">IFERROR(_xlfn.STDEV.S(IF((OutputTable[GroupByKey]=OutputTable[[#This Row],[GroupByKey]]),(OutputTable[GroupByKey]=OutputTable[[#This Row],[GroupByKey]])*OutputTable[RecordedValue])),0)</f>
        <v>8.0212361818523625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19" cm="1">
        <f t="array" ref="O19">MIN(IF((OutputTable[GroupByKey]=OutputTable[[#This Row],[GroupByKey]]),(OutputTable[GroupByKey]=OutputTable[[#This Row],[GroupByKey]])*OutputTable[RecordedValue]))</f>
        <v>71</v>
      </c>
      <c r="P19" cm="1">
        <f t="array" ref="P19">MAX(IF((OutputTable[GroupByKey]=OutputTable[[#This Row],[GroupByKey]]),(OutputTable[GroupByKey]=OutputTable[[#This Row],[GroupByKey]])*OutputTable[RecordedValue]))</f>
        <v>103</v>
      </c>
    </row>
    <row r="20" spans="1:16" x14ac:dyDescent="0.3">
      <c r="A20" t="s">
        <v>66</v>
      </c>
      <c r="B20" t="s">
        <v>68</v>
      </c>
      <c r="C20">
        <v>4</v>
      </c>
      <c r="D20" t="s">
        <v>97</v>
      </c>
      <c r="E20" t="s">
        <v>98</v>
      </c>
      <c r="F20" t="s">
        <v>83</v>
      </c>
      <c r="G20">
        <v>0.33853517456830601</v>
      </c>
      <c r="H20">
        <v>0</v>
      </c>
      <c r="I2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30</v>
      </c>
      <c r="K20" cm="1">
        <f t="array" ref="K20">IFERROR(AVERAGE(IF((OutputTable[GroupByKey]=OutputTable[[#This Row],[GroupByKey]]),(OutputTable[GroupByKey]=OutputTable[[#This Row],[GroupByKey]])*OutputTable[RecordedValue])),0)</f>
        <v>0.34420349255945865</v>
      </c>
      <c r="L20" cm="1">
        <f t="array" ref="L20">IFERROR(_xlfn.STDEV.S(IF((OutputTable[GroupByKey]=OutputTable[[#This Row],[GroupByKey]]),(OutputTable[GroupByKey]=OutputTable[[#This Row],[GroupByKey]])*OutputTable[RecordedValue])),0)</f>
        <v>4.5304829879571427E-2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20" cm="1">
        <f t="array" ref="O20">MIN(IF((OutputTable[GroupByKey]=OutputTable[[#This Row],[GroupByKey]]),(OutputTable[GroupByKey]=OutputTable[[#This Row],[GroupByKey]])*OutputTable[RecordedValue]))</f>
        <v>0.24637585883753399</v>
      </c>
      <c r="P20" cm="1">
        <f t="array" ref="P20">MAX(IF((OutputTable[GroupByKey]=OutputTable[[#This Row],[GroupByKey]]),(OutputTable[GroupByKey]=OutputTable[[#This Row],[GroupByKey]])*OutputTable[RecordedValue]))</f>
        <v>0.43753875749565602</v>
      </c>
    </row>
    <row r="21" spans="1:16" x14ac:dyDescent="0.3">
      <c r="A21" t="s">
        <v>66</v>
      </c>
      <c r="B21" t="s">
        <v>68</v>
      </c>
      <c r="C21">
        <v>4</v>
      </c>
      <c r="D21" t="s">
        <v>99</v>
      </c>
      <c r="E21" t="s">
        <v>94</v>
      </c>
      <c r="F21" t="s">
        <v>100</v>
      </c>
      <c r="G21">
        <v>89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30</v>
      </c>
      <c r="K21" cm="1">
        <f t="array" ref="K21">IFERROR(AVERAGE(IF((OutputTable[GroupByKey]=OutputTable[[#This Row],[GroupByKey]]),(OutputTable[GroupByKey]=OutputTable[[#This Row],[GroupByKey]])*OutputTable[RecordedValue])),0)</f>
        <v>89.166666666666671</v>
      </c>
      <c r="L21" cm="1">
        <f t="array" ref="L21">IFERROR(_xlfn.STDEV.S(IF((OutputTable[GroupByKey]=OutputTable[[#This Row],[GroupByKey]]),(OutputTable[GroupByKey]=OutputTable[[#This Row],[GroupByKey]])*OutputTable[RecordedValue])),0)</f>
        <v>7.9658033485961566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21" cm="1">
        <f t="array" ref="O21">MIN(IF((OutputTable[GroupByKey]=OutputTable[[#This Row],[GroupByKey]]),(OutputTable[GroupByKey]=OutputTable[[#This Row],[GroupByKey]])*OutputTable[RecordedValue]))</f>
        <v>70</v>
      </c>
      <c r="P21" cm="1">
        <f t="array" ref="P21">MAX(IF((OutputTable[GroupByKey]=OutputTable[[#This Row],[GroupByKey]]),(OutputTable[GroupByKey]=OutputTable[[#This Row],[GroupByKey]])*OutputTable[RecordedValue]))</f>
        <v>103</v>
      </c>
    </row>
    <row r="22" spans="1:16" x14ac:dyDescent="0.3">
      <c r="A22" t="s">
        <v>66</v>
      </c>
      <c r="B22" t="s">
        <v>68</v>
      </c>
      <c r="C22">
        <v>5</v>
      </c>
      <c r="D22" t="s">
        <v>91</v>
      </c>
      <c r="E22" t="s">
        <v>92</v>
      </c>
      <c r="F22" t="s">
        <v>71</v>
      </c>
      <c r="G22">
        <v>96</v>
      </c>
      <c r="H22">
        <v>0</v>
      </c>
      <c r="I22" t="str">
        <f>OutputTable[[#This Row],[ProjectName]]&amp;OutputTable[[#This Row],[Name]]&amp;OutputTable[[#This Row],[Type]]&amp;OutputTable[[#This Row],[Source]]</f>
        <v>Unnamed ProjectCustomer.NumberInNumber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30</v>
      </c>
      <c r="K22" cm="1">
        <f t="array" ref="K22">IFERROR(AVERAGE(IF((OutputTable[GroupByKey]=OutputTable[[#This Row],[GroupByKey]]),(OutputTable[GroupByKey]=OutputTable[[#This Row],[GroupByKey]])*OutputTable[RecordedValue])),0)</f>
        <v>89.733333333333334</v>
      </c>
      <c r="L22" cm="1">
        <f t="array" ref="L22">IFERROR(_xlfn.STDEV.S(IF((OutputTable[GroupByKey]=OutputTable[[#This Row],[GroupByKey]]),(OutputTable[GroupByKey]=OutputTable[[#This Row],[GroupByKey]])*OutputTable[RecordedValue])),0)</f>
        <v>8.0212361818523625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22" cm="1">
        <f t="array" ref="O22">MIN(IF((OutputTable[GroupByKey]=OutputTable[[#This Row],[GroupByKey]]),(OutputTable[GroupByKey]=OutputTable[[#This Row],[GroupByKey]])*OutputTable[RecordedValue]))</f>
        <v>71</v>
      </c>
      <c r="P22" cm="1">
        <f t="array" ref="P22">MAX(IF((OutputTable[GroupByKey]=OutputTable[[#This Row],[GroupByKey]]),(OutputTable[GroupByKey]=OutputTable[[#This Row],[GroupByKey]])*OutputTable[RecordedValue]))</f>
        <v>103</v>
      </c>
    </row>
    <row r="23" spans="1:16" x14ac:dyDescent="0.3">
      <c r="A23" t="s">
        <v>66</v>
      </c>
      <c r="B23" t="s">
        <v>68</v>
      </c>
      <c r="C23">
        <v>5</v>
      </c>
      <c r="D23" t="s">
        <v>93</v>
      </c>
      <c r="E23" t="s">
        <v>94</v>
      </c>
      <c r="F23" t="s">
        <v>71</v>
      </c>
      <c r="G23">
        <v>94</v>
      </c>
      <c r="H23">
        <v>0</v>
      </c>
      <c r="I23" t="str">
        <f>OutputTable[[#This Row],[ProjectName]]&amp;OutputTable[[#This Row],[Name]]&amp;OutputTable[[#This Row],[Type]]&amp;OutputTable[[#This Row],[Source]]</f>
        <v>Unnamed ProjectCustomer.NumberOutNumber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30</v>
      </c>
      <c r="K23" cm="1">
        <f t="array" ref="K23">IFERROR(AVERAGE(IF((OutputTable[GroupByKey]=OutputTable[[#This Row],[GroupByKey]]),(OutputTable[GroupByKey]=OutputTable[[#This Row],[GroupByKey]])*OutputTable[RecordedValue])),0)</f>
        <v>89.166666666666671</v>
      </c>
      <c r="L23" cm="1">
        <f t="array" ref="L23">IFERROR(_xlfn.STDEV.S(IF((OutputTable[GroupByKey]=OutputTable[[#This Row],[GroupByKey]]),(OutputTable[GroupByKey]=OutputTable[[#This Row],[GroupByKey]])*OutputTable[RecordedValue])),0)</f>
        <v>7.9658033485961566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23" cm="1">
        <f t="array" ref="O23">MIN(IF((OutputTable[GroupByKey]=OutputTable[[#This Row],[GroupByKey]]),(OutputTable[GroupByKey]=OutputTable[[#This Row],[GroupByKey]])*OutputTable[RecordedValue]))</f>
        <v>70</v>
      </c>
      <c r="P23" cm="1">
        <f t="array" ref="P23">MAX(IF((OutputTable[GroupByKey]=OutputTable[[#This Row],[GroupByKey]]),(OutputTable[GroupByKey]=OutputTable[[#This Row],[GroupByKey]])*OutputTable[RecordedValue]))</f>
        <v>103</v>
      </c>
    </row>
    <row r="24" spans="1:16" x14ac:dyDescent="0.3">
      <c r="A24" t="s">
        <v>66</v>
      </c>
      <c r="B24" t="s">
        <v>68</v>
      </c>
      <c r="C24">
        <v>5</v>
      </c>
      <c r="D24" t="s">
        <v>95</v>
      </c>
      <c r="E24" t="s">
        <v>96</v>
      </c>
      <c r="F24" t="s">
        <v>83</v>
      </c>
      <c r="G24">
        <v>96</v>
      </c>
      <c r="H24">
        <v>0</v>
      </c>
      <c r="I2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30</v>
      </c>
      <c r="K24" cm="1">
        <f t="array" ref="K24">IFERROR(AVERAGE(IF((OutputTable[GroupByKey]=OutputTable[[#This Row],[GroupByKey]]),(OutputTable[GroupByKey]=OutputTable[[#This Row],[GroupByKey]])*OutputTable[RecordedValue])),0)</f>
        <v>89.733333333333334</v>
      </c>
      <c r="L24" cm="1">
        <f t="array" ref="L24">IFERROR(_xlfn.STDEV.S(IF((OutputTable[GroupByKey]=OutputTable[[#This Row],[GroupByKey]]),(OutputTable[GroupByKey]=OutputTable[[#This Row],[GroupByKey]])*OutputTable[RecordedValue])),0)</f>
        <v>8.0212361818523625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24" cm="1">
        <f t="array" ref="O24">MIN(IF((OutputTable[GroupByKey]=OutputTable[[#This Row],[GroupByKey]]),(OutputTable[GroupByKey]=OutputTable[[#This Row],[GroupByKey]])*OutputTable[RecordedValue]))</f>
        <v>71</v>
      </c>
      <c r="P24" cm="1">
        <f t="array" ref="P24">MAX(IF((OutputTable[GroupByKey]=OutputTable[[#This Row],[GroupByKey]]),(OutputTable[GroupByKey]=OutputTable[[#This Row],[GroupByKey]])*OutputTable[RecordedValue]))</f>
        <v>103</v>
      </c>
    </row>
    <row r="25" spans="1:16" x14ac:dyDescent="0.3">
      <c r="A25" t="s">
        <v>66</v>
      </c>
      <c r="B25" t="s">
        <v>68</v>
      </c>
      <c r="C25">
        <v>5</v>
      </c>
      <c r="D25" t="s">
        <v>97</v>
      </c>
      <c r="E25" t="s">
        <v>98</v>
      </c>
      <c r="F25" t="s">
        <v>83</v>
      </c>
      <c r="G25">
        <v>0.29697533889166999</v>
      </c>
      <c r="H25">
        <v>0</v>
      </c>
      <c r="I2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30</v>
      </c>
      <c r="K25" cm="1">
        <f t="array" ref="K25">IFERROR(AVERAGE(IF((OutputTable[GroupByKey]=OutputTable[[#This Row],[GroupByKey]]),(OutputTable[GroupByKey]=OutputTable[[#This Row],[GroupByKey]])*OutputTable[RecordedValue])),0)</f>
        <v>0.34420349255945865</v>
      </c>
      <c r="L25" cm="1">
        <f t="array" ref="L25">IFERROR(_xlfn.STDEV.S(IF((OutputTable[GroupByKey]=OutputTable[[#This Row],[GroupByKey]]),(OutputTable[GroupByKey]=OutputTable[[#This Row],[GroupByKey]])*OutputTable[RecordedValue])),0)</f>
        <v>4.5304829879571427E-2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25" cm="1">
        <f t="array" ref="O25">MIN(IF((OutputTable[GroupByKey]=OutputTable[[#This Row],[GroupByKey]]),(OutputTable[GroupByKey]=OutputTable[[#This Row],[GroupByKey]])*OutputTable[RecordedValue]))</f>
        <v>0.24637585883753399</v>
      </c>
      <c r="P25" cm="1">
        <f t="array" ref="P25">MAX(IF((OutputTable[GroupByKey]=OutputTable[[#This Row],[GroupByKey]]),(OutputTable[GroupByKey]=OutputTable[[#This Row],[GroupByKey]])*OutputTable[RecordedValue]))</f>
        <v>0.43753875749565602</v>
      </c>
    </row>
    <row r="26" spans="1:16" x14ac:dyDescent="0.3">
      <c r="A26" t="s">
        <v>66</v>
      </c>
      <c r="B26" t="s">
        <v>68</v>
      </c>
      <c r="C26">
        <v>5</v>
      </c>
      <c r="D26" t="s">
        <v>99</v>
      </c>
      <c r="E26" t="s">
        <v>94</v>
      </c>
      <c r="F26" t="s">
        <v>100</v>
      </c>
      <c r="G26">
        <v>94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30</v>
      </c>
      <c r="K26" cm="1">
        <f t="array" ref="K26">IFERROR(AVERAGE(IF((OutputTable[GroupByKey]=OutputTable[[#This Row],[GroupByKey]]),(OutputTable[GroupByKey]=OutputTable[[#This Row],[GroupByKey]])*OutputTable[RecordedValue])),0)</f>
        <v>89.166666666666671</v>
      </c>
      <c r="L26" cm="1">
        <f t="array" ref="L26">IFERROR(_xlfn.STDEV.S(IF((OutputTable[GroupByKey]=OutputTable[[#This Row],[GroupByKey]]),(OutputTable[GroupByKey]=OutputTable[[#This Row],[GroupByKey]])*OutputTable[RecordedValue])),0)</f>
        <v>7.9658033485961566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26" cm="1">
        <f t="array" ref="O26">MIN(IF((OutputTable[GroupByKey]=OutputTable[[#This Row],[GroupByKey]]),(OutputTable[GroupByKey]=OutputTable[[#This Row],[GroupByKey]])*OutputTable[RecordedValue]))</f>
        <v>70</v>
      </c>
      <c r="P26" cm="1">
        <f t="array" ref="P26">MAX(IF((OutputTable[GroupByKey]=OutputTable[[#This Row],[GroupByKey]]),(OutputTable[GroupByKey]=OutputTable[[#This Row],[GroupByKey]])*OutputTable[RecordedValue]))</f>
        <v>103</v>
      </c>
    </row>
    <row r="27" spans="1:16" x14ac:dyDescent="0.3">
      <c r="A27" t="s">
        <v>66</v>
      </c>
      <c r="B27" t="s">
        <v>68</v>
      </c>
      <c r="C27">
        <v>6</v>
      </c>
      <c r="D27" t="s">
        <v>91</v>
      </c>
      <c r="E27" t="s">
        <v>92</v>
      </c>
      <c r="F27" t="s">
        <v>71</v>
      </c>
      <c r="G27">
        <v>96</v>
      </c>
      <c r="H27">
        <v>0</v>
      </c>
      <c r="I27" t="str">
        <f>OutputTable[[#This Row],[ProjectName]]&amp;OutputTable[[#This Row],[Name]]&amp;OutputTable[[#This Row],[Type]]&amp;OutputTable[[#This Row],[Source]]</f>
        <v>Unnamed ProjectCustomer.NumberInNumber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30</v>
      </c>
      <c r="K27" cm="1">
        <f t="array" ref="K27">IFERROR(AVERAGE(IF((OutputTable[GroupByKey]=OutputTable[[#This Row],[GroupByKey]]),(OutputTable[GroupByKey]=OutputTable[[#This Row],[GroupByKey]])*OutputTable[RecordedValue])),0)</f>
        <v>89.733333333333334</v>
      </c>
      <c r="L27" cm="1">
        <f t="array" ref="L27">IFERROR(_xlfn.STDEV.S(IF((OutputTable[GroupByKey]=OutputTable[[#This Row],[GroupByKey]]),(OutputTable[GroupByKey]=OutputTable[[#This Row],[GroupByKey]])*OutputTable[RecordedValue])),0)</f>
        <v>8.0212361818523625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27" cm="1">
        <f t="array" ref="O27">MIN(IF((OutputTable[GroupByKey]=OutputTable[[#This Row],[GroupByKey]]),(OutputTable[GroupByKey]=OutputTable[[#This Row],[GroupByKey]])*OutputTable[RecordedValue]))</f>
        <v>71</v>
      </c>
      <c r="P27" cm="1">
        <f t="array" ref="P27">MAX(IF((OutputTable[GroupByKey]=OutputTable[[#This Row],[GroupByKey]]),(OutputTable[GroupByKey]=OutputTable[[#This Row],[GroupByKey]])*OutputTable[RecordedValue]))</f>
        <v>103</v>
      </c>
    </row>
    <row r="28" spans="1:16" x14ac:dyDescent="0.3">
      <c r="A28" t="s">
        <v>66</v>
      </c>
      <c r="B28" t="s">
        <v>68</v>
      </c>
      <c r="C28">
        <v>6</v>
      </c>
      <c r="D28" t="s">
        <v>93</v>
      </c>
      <c r="E28" t="s">
        <v>94</v>
      </c>
      <c r="F28" t="s">
        <v>71</v>
      </c>
      <c r="G28">
        <v>95</v>
      </c>
      <c r="H28">
        <v>0</v>
      </c>
      <c r="I28" t="str">
        <f>OutputTable[[#This Row],[ProjectName]]&amp;OutputTable[[#This Row],[Name]]&amp;OutputTable[[#This Row],[Type]]&amp;OutputTable[[#This Row],[Source]]</f>
        <v>Unnamed ProjectCustomer.NumberOutNumber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30</v>
      </c>
      <c r="K28" cm="1">
        <f t="array" ref="K28">IFERROR(AVERAGE(IF((OutputTable[GroupByKey]=OutputTable[[#This Row],[GroupByKey]]),(OutputTable[GroupByKey]=OutputTable[[#This Row],[GroupByKey]])*OutputTable[RecordedValue])),0)</f>
        <v>89.166666666666671</v>
      </c>
      <c r="L28" cm="1">
        <f t="array" ref="L28">IFERROR(_xlfn.STDEV.S(IF((OutputTable[GroupByKey]=OutputTable[[#This Row],[GroupByKey]]),(OutputTable[GroupByKey]=OutputTable[[#This Row],[GroupByKey]])*OutputTable[RecordedValue])),0)</f>
        <v>7.9658033485961566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28" cm="1">
        <f t="array" ref="O28">MIN(IF((OutputTable[GroupByKey]=OutputTable[[#This Row],[GroupByKey]]),(OutputTable[GroupByKey]=OutputTable[[#This Row],[GroupByKey]])*OutputTable[RecordedValue]))</f>
        <v>70</v>
      </c>
      <c r="P28" cm="1">
        <f t="array" ref="P28">MAX(IF((OutputTable[GroupByKey]=OutputTable[[#This Row],[GroupByKey]]),(OutputTable[GroupByKey]=OutputTable[[#This Row],[GroupByKey]])*OutputTable[RecordedValue]))</f>
        <v>103</v>
      </c>
    </row>
    <row r="29" spans="1:16" x14ac:dyDescent="0.3">
      <c r="A29" t="s">
        <v>66</v>
      </c>
      <c r="B29" t="s">
        <v>68</v>
      </c>
      <c r="C29">
        <v>6</v>
      </c>
      <c r="D29" t="s">
        <v>95</v>
      </c>
      <c r="E29" t="s">
        <v>96</v>
      </c>
      <c r="F29" t="s">
        <v>83</v>
      </c>
      <c r="G29">
        <v>96</v>
      </c>
      <c r="H29">
        <v>0</v>
      </c>
      <c r="I2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30</v>
      </c>
      <c r="K29" cm="1">
        <f t="array" ref="K29">IFERROR(AVERAGE(IF((OutputTable[GroupByKey]=OutputTable[[#This Row],[GroupByKey]]),(OutputTable[GroupByKey]=OutputTable[[#This Row],[GroupByKey]])*OutputTable[RecordedValue])),0)</f>
        <v>89.733333333333334</v>
      </c>
      <c r="L29" cm="1">
        <f t="array" ref="L29">IFERROR(_xlfn.STDEV.S(IF((OutputTable[GroupByKey]=OutputTable[[#This Row],[GroupByKey]]),(OutputTable[GroupByKey]=OutputTable[[#This Row],[GroupByKey]])*OutputTable[RecordedValue])),0)</f>
        <v>8.0212361818523625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29" cm="1">
        <f t="array" ref="O29">MIN(IF((OutputTable[GroupByKey]=OutputTable[[#This Row],[GroupByKey]]),(OutputTable[GroupByKey]=OutputTable[[#This Row],[GroupByKey]])*OutputTable[RecordedValue]))</f>
        <v>71</v>
      </c>
      <c r="P29" cm="1">
        <f t="array" ref="P29">MAX(IF((OutputTable[GroupByKey]=OutputTable[[#This Row],[GroupByKey]]),(OutputTable[GroupByKey]=OutputTable[[#This Row],[GroupByKey]])*OutputTable[RecordedValue]))</f>
        <v>103</v>
      </c>
    </row>
    <row r="30" spans="1:16" x14ac:dyDescent="0.3">
      <c r="A30" t="s">
        <v>66</v>
      </c>
      <c r="B30" t="s">
        <v>68</v>
      </c>
      <c r="C30">
        <v>6</v>
      </c>
      <c r="D30" t="s">
        <v>97</v>
      </c>
      <c r="E30" t="s">
        <v>98</v>
      </c>
      <c r="F30" t="s">
        <v>83</v>
      </c>
      <c r="G30">
        <v>0.38267550564104102</v>
      </c>
      <c r="H30">
        <v>0</v>
      </c>
      <c r="I3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30</v>
      </c>
      <c r="K30" cm="1">
        <f t="array" ref="K30">IFERROR(AVERAGE(IF((OutputTable[GroupByKey]=OutputTable[[#This Row],[GroupByKey]]),(OutputTable[GroupByKey]=OutputTable[[#This Row],[GroupByKey]])*OutputTable[RecordedValue])),0)</f>
        <v>0.34420349255945865</v>
      </c>
      <c r="L30" cm="1">
        <f t="array" ref="L30">IFERROR(_xlfn.STDEV.S(IF((OutputTable[GroupByKey]=OutputTable[[#This Row],[GroupByKey]]),(OutputTable[GroupByKey]=OutputTable[[#This Row],[GroupByKey]])*OutputTable[RecordedValue])),0)</f>
        <v>4.5304829879571427E-2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30" cm="1">
        <f t="array" ref="O30">MIN(IF((OutputTable[GroupByKey]=OutputTable[[#This Row],[GroupByKey]]),(OutputTable[GroupByKey]=OutputTable[[#This Row],[GroupByKey]])*OutputTable[RecordedValue]))</f>
        <v>0.24637585883753399</v>
      </c>
      <c r="P30" cm="1">
        <f t="array" ref="P30">MAX(IF((OutputTable[GroupByKey]=OutputTable[[#This Row],[GroupByKey]]),(OutputTable[GroupByKey]=OutputTable[[#This Row],[GroupByKey]])*OutputTable[RecordedValue]))</f>
        <v>0.43753875749565602</v>
      </c>
    </row>
    <row r="31" spans="1:16" x14ac:dyDescent="0.3">
      <c r="A31" t="s">
        <v>66</v>
      </c>
      <c r="B31" t="s">
        <v>68</v>
      </c>
      <c r="C31">
        <v>6</v>
      </c>
      <c r="D31" t="s">
        <v>99</v>
      </c>
      <c r="E31" t="s">
        <v>94</v>
      </c>
      <c r="F31" t="s">
        <v>100</v>
      </c>
      <c r="G31">
        <v>95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30</v>
      </c>
      <c r="K31" cm="1">
        <f t="array" ref="K31">IFERROR(AVERAGE(IF((OutputTable[GroupByKey]=OutputTable[[#This Row],[GroupByKey]]),(OutputTable[GroupByKey]=OutputTable[[#This Row],[GroupByKey]])*OutputTable[RecordedValue])),0)</f>
        <v>89.166666666666671</v>
      </c>
      <c r="L31" cm="1">
        <f t="array" ref="L31">IFERROR(_xlfn.STDEV.S(IF((OutputTable[GroupByKey]=OutputTable[[#This Row],[GroupByKey]]),(OutputTable[GroupByKey]=OutputTable[[#This Row],[GroupByKey]])*OutputTable[RecordedValue])),0)</f>
        <v>7.9658033485961566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31" cm="1">
        <f t="array" ref="O31">MIN(IF((OutputTable[GroupByKey]=OutputTable[[#This Row],[GroupByKey]]),(OutputTable[GroupByKey]=OutputTable[[#This Row],[GroupByKey]])*OutputTable[RecordedValue]))</f>
        <v>70</v>
      </c>
      <c r="P31" cm="1">
        <f t="array" ref="P31">MAX(IF((OutputTable[GroupByKey]=OutputTable[[#This Row],[GroupByKey]]),(OutputTable[GroupByKey]=OutputTable[[#This Row],[GroupByKey]])*OutputTable[RecordedValue]))</f>
        <v>103</v>
      </c>
    </row>
    <row r="32" spans="1:16" x14ac:dyDescent="0.3">
      <c r="A32" t="s">
        <v>66</v>
      </c>
      <c r="B32" t="s">
        <v>68</v>
      </c>
      <c r="C32">
        <v>7</v>
      </c>
      <c r="D32" t="s">
        <v>91</v>
      </c>
      <c r="E32" t="s">
        <v>92</v>
      </c>
      <c r="F32" t="s">
        <v>71</v>
      </c>
      <c r="G32">
        <v>90</v>
      </c>
      <c r="H32">
        <v>0</v>
      </c>
      <c r="I32" t="str">
        <f>OutputTable[[#This Row],[ProjectName]]&amp;OutputTable[[#This Row],[Name]]&amp;OutputTable[[#This Row],[Type]]&amp;OutputTable[[#This Row],[Source]]</f>
        <v>Unnamed ProjectCustomer.NumberInNumber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30</v>
      </c>
      <c r="K32" cm="1">
        <f t="array" ref="K32">IFERROR(AVERAGE(IF((OutputTable[GroupByKey]=OutputTable[[#This Row],[GroupByKey]]),(OutputTable[GroupByKey]=OutputTable[[#This Row],[GroupByKey]])*OutputTable[RecordedValue])),0)</f>
        <v>89.733333333333334</v>
      </c>
      <c r="L32" cm="1">
        <f t="array" ref="L32">IFERROR(_xlfn.STDEV.S(IF((OutputTable[GroupByKey]=OutputTable[[#This Row],[GroupByKey]]),(OutputTable[GroupByKey]=OutputTable[[#This Row],[GroupByKey]])*OutputTable[RecordedValue])),0)</f>
        <v>8.0212361818523625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32" cm="1">
        <f t="array" ref="O32">MIN(IF((OutputTable[GroupByKey]=OutputTable[[#This Row],[GroupByKey]]),(OutputTable[GroupByKey]=OutputTable[[#This Row],[GroupByKey]])*OutputTable[RecordedValue]))</f>
        <v>71</v>
      </c>
      <c r="P32" cm="1">
        <f t="array" ref="P32">MAX(IF((OutputTable[GroupByKey]=OutputTable[[#This Row],[GroupByKey]]),(OutputTable[GroupByKey]=OutputTable[[#This Row],[GroupByKey]])*OutputTable[RecordedValue]))</f>
        <v>103</v>
      </c>
    </row>
    <row r="33" spans="1:16" x14ac:dyDescent="0.3">
      <c r="A33" t="s">
        <v>66</v>
      </c>
      <c r="B33" t="s">
        <v>68</v>
      </c>
      <c r="C33">
        <v>7</v>
      </c>
      <c r="D33" t="s">
        <v>93</v>
      </c>
      <c r="E33" t="s">
        <v>94</v>
      </c>
      <c r="F33" t="s">
        <v>71</v>
      </c>
      <c r="G33">
        <v>89</v>
      </c>
      <c r="H33">
        <v>0</v>
      </c>
      <c r="I33" t="str">
        <f>OutputTable[[#This Row],[ProjectName]]&amp;OutputTable[[#This Row],[Name]]&amp;OutputTable[[#This Row],[Type]]&amp;OutputTable[[#This Row],[Source]]</f>
        <v>Unnamed ProjectCustomer.NumberOutNumber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30</v>
      </c>
      <c r="K33" cm="1">
        <f t="array" ref="K33">IFERROR(AVERAGE(IF((OutputTable[GroupByKey]=OutputTable[[#This Row],[GroupByKey]]),(OutputTable[GroupByKey]=OutputTable[[#This Row],[GroupByKey]])*OutputTable[RecordedValue])),0)</f>
        <v>89.166666666666671</v>
      </c>
      <c r="L33" cm="1">
        <f t="array" ref="L33">IFERROR(_xlfn.STDEV.S(IF((OutputTable[GroupByKey]=OutputTable[[#This Row],[GroupByKey]]),(OutputTable[GroupByKey]=OutputTable[[#This Row],[GroupByKey]])*OutputTable[RecordedValue])),0)</f>
        <v>7.9658033485961566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33" cm="1">
        <f t="array" ref="O33">MIN(IF((OutputTable[GroupByKey]=OutputTable[[#This Row],[GroupByKey]]),(OutputTable[GroupByKey]=OutputTable[[#This Row],[GroupByKey]])*OutputTable[RecordedValue]))</f>
        <v>70</v>
      </c>
      <c r="P33" cm="1">
        <f t="array" ref="P33">MAX(IF((OutputTable[GroupByKey]=OutputTable[[#This Row],[GroupByKey]]),(OutputTable[GroupByKey]=OutputTable[[#This Row],[GroupByKey]])*OutputTable[RecordedValue]))</f>
        <v>103</v>
      </c>
    </row>
    <row r="34" spans="1:16" x14ac:dyDescent="0.3">
      <c r="A34" t="s">
        <v>66</v>
      </c>
      <c r="B34" t="s">
        <v>68</v>
      </c>
      <c r="C34">
        <v>7</v>
      </c>
      <c r="D34" t="s">
        <v>95</v>
      </c>
      <c r="E34" t="s">
        <v>96</v>
      </c>
      <c r="F34" t="s">
        <v>83</v>
      </c>
      <c r="G34">
        <v>90</v>
      </c>
      <c r="H34">
        <v>0</v>
      </c>
      <c r="I3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30</v>
      </c>
      <c r="K34" cm="1">
        <f t="array" ref="K34">IFERROR(AVERAGE(IF((OutputTable[GroupByKey]=OutputTable[[#This Row],[GroupByKey]]),(OutputTable[GroupByKey]=OutputTable[[#This Row],[GroupByKey]])*OutputTable[RecordedValue])),0)</f>
        <v>89.733333333333334</v>
      </c>
      <c r="L34" cm="1">
        <f t="array" ref="L34">IFERROR(_xlfn.STDEV.S(IF((OutputTable[GroupByKey]=OutputTable[[#This Row],[GroupByKey]]),(OutputTable[GroupByKey]=OutputTable[[#This Row],[GroupByKey]])*OutputTable[RecordedValue])),0)</f>
        <v>8.0212361818523625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34" cm="1">
        <f t="array" ref="O34">MIN(IF((OutputTable[GroupByKey]=OutputTable[[#This Row],[GroupByKey]]),(OutputTable[GroupByKey]=OutputTable[[#This Row],[GroupByKey]])*OutputTable[RecordedValue]))</f>
        <v>71</v>
      </c>
      <c r="P34" cm="1">
        <f t="array" ref="P34">MAX(IF((OutputTable[GroupByKey]=OutputTable[[#This Row],[GroupByKey]]),(OutputTable[GroupByKey]=OutputTable[[#This Row],[GroupByKey]])*OutputTable[RecordedValue]))</f>
        <v>103</v>
      </c>
    </row>
    <row r="35" spans="1:16" x14ac:dyDescent="0.3">
      <c r="A35" t="s">
        <v>66</v>
      </c>
      <c r="B35" t="s">
        <v>68</v>
      </c>
      <c r="C35">
        <v>7</v>
      </c>
      <c r="D35" t="s">
        <v>97</v>
      </c>
      <c r="E35" t="s">
        <v>98</v>
      </c>
      <c r="F35" t="s">
        <v>83</v>
      </c>
      <c r="G35">
        <v>0.37910240114661697</v>
      </c>
      <c r="H35">
        <v>0</v>
      </c>
      <c r="I3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30</v>
      </c>
      <c r="K35" cm="1">
        <f t="array" ref="K35">IFERROR(AVERAGE(IF((OutputTable[GroupByKey]=OutputTable[[#This Row],[GroupByKey]]),(OutputTable[GroupByKey]=OutputTable[[#This Row],[GroupByKey]])*OutputTable[RecordedValue])),0)</f>
        <v>0.34420349255945865</v>
      </c>
      <c r="L35" cm="1">
        <f t="array" ref="L35">IFERROR(_xlfn.STDEV.S(IF((OutputTable[GroupByKey]=OutputTable[[#This Row],[GroupByKey]]),(OutputTable[GroupByKey]=OutputTable[[#This Row],[GroupByKey]])*OutputTable[RecordedValue])),0)</f>
        <v>4.5304829879571427E-2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35" cm="1">
        <f t="array" ref="O35">MIN(IF((OutputTable[GroupByKey]=OutputTable[[#This Row],[GroupByKey]]),(OutputTable[GroupByKey]=OutputTable[[#This Row],[GroupByKey]])*OutputTable[RecordedValue]))</f>
        <v>0.24637585883753399</v>
      </c>
      <c r="P35" cm="1">
        <f t="array" ref="P35">MAX(IF((OutputTable[GroupByKey]=OutputTable[[#This Row],[GroupByKey]]),(OutputTable[GroupByKey]=OutputTable[[#This Row],[GroupByKey]])*OutputTable[RecordedValue]))</f>
        <v>0.43753875749565602</v>
      </c>
    </row>
    <row r="36" spans="1:16" x14ac:dyDescent="0.3">
      <c r="A36" t="s">
        <v>66</v>
      </c>
      <c r="B36" t="s">
        <v>68</v>
      </c>
      <c r="C36">
        <v>7</v>
      </c>
      <c r="D36" t="s">
        <v>99</v>
      </c>
      <c r="E36" t="s">
        <v>94</v>
      </c>
      <c r="F36" t="s">
        <v>100</v>
      </c>
      <c r="G36">
        <v>89</v>
      </c>
      <c r="H36">
        <v>0</v>
      </c>
      <c r="I36" t="str">
        <f>OutputTable[[#This Row],[ProjectName]]&amp;OutputTable[[#This Row],[Name]]&amp;OutputTable[[#This Row],[Type]]&amp;OutputTable[[#This Row],[Source]]</f>
        <v>Unnamed ProjectSystem.NumberOutNumber OutSystem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30</v>
      </c>
      <c r="K36" cm="1">
        <f t="array" ref="K36">IFERROR(AVERAGE(IF((OutputTable[GroupByKey]=OutputTable[[#This Row],[GroupByKey]]),(OutputTable[GroupByKey]=OutputTable[[#This Row],[GroupByKey]])*OutputTable[RecordedValue])),0)</f>
        <v>89.166666666666671</v>
      </c>
      <c r="L36" cm="1">
        <f t="array" ref="L36">IFERROR(_xlfn.STDEV.S(IF((OutputTable[GroupByKey]=OutputTable[[#This Row],[GroupByKey]]),(OutputTable[GroupByKey]=OutputTable[[#This Row],[GroupByKey]])*OutputTable[RecordedValue])),0)</f>
        <v>7.9658033485961566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36" cm="1">
        <f t="array" ref="O36">MIN(IF((OutputTable[GroupByKey]=OutputTable[[#This Row],[GroupByKey]]),(OutputTable[GroupByKey]=OutputTable[[#This Row],[GroupByKey]])*OutputTable[RecordedValue]))</f>
        <v>70</v>
      </c>
      <c r="P36" cm="1">
        <f t="array" ref="P36">MAX(IF((OutputTable[GroupByKey]=OutputTable[[#This Row],[GroupByKey]]),(OutputTable[GroupByKey]=OutputTable[[#This Row],[GroupByKey]])*OutputTable[RecordedValue]))</f>
        <v>103</v>
      </c>
    </row>
    <row r="37" spans="1:16" x14ac:dyDescent="0.3">
      <c r="A37" t="s">
        <v>66</v>
      </c>
      <c r="B37" t="s">
        <v>68</v>
      </c>
      <c r="C37">
        <v>8</v>
      </c>
      <c r="D37" t="s">
        <v>91</v>
      </c>
      <c r="E37" t="s">
        <v>92</v>
      </c>
      <c r="F37" t="s">
        <v>71</v>
      </c>
      <c r="G37">
        <v>74</v>
      </c>
      <c r="H37">
        <v>0</v>
      </c>
      <c r="I37" t="str">
        <f>OutputTable[[#This Row],[ProjectName]]&amp;OutputTable[[#This Row],[Name]]&amp;OutputTable[[#This Row],[Type]]&amp;OutputTable[[#This Row],[Source]]</f>
        <v>Unnamed ProjectCustomer.NumberInNumber InEntity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30</v>
      </c>
      <c r="K37" cm="1">
        <f t="array" ref="K37">IFERROR(AVERAGE(IF((OutputTable[GroupByKey]=OutputTable[[#This Row],[GroupByKey]]),(OutputTable[GroupByKey]=OutputTable[[#This Row],[GroupByKey]])*OutputTable[RecordedValue])),0)</f>
        <v>89.733333333333334</v>
      </c>
      <c r="L37" cm="1">
        <f t="array" ref="L37">IFERROR(_xlfn.STDEV.S(IF((OutputTable[GroupByKey]=OutputTable[[#This Row],[GroupByKey]]),(OutputTable[GroupByKey]=OutputTable[[#This Row],[GroupByKey]])*OutputTable[RecordedValue])),0)</f>
        <v>8.0212361818523625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37" cm="1">
        <f t="array" ref="O37">MIN(IF((OutputTable[GroupByKey]=OutputTable[[#This Row],[GroupByKey]]),(OutputTable[GroupByKey]=OutputTable[[#This Row],[GroupByKey]])*OutputTable[RecordedValue]))</f>
        <v>71</v>
      </c>
      <c r="P37" cm="1">
        <f t="array" ref="P37">MAX(IF((OutputTable[GroupByKey]=OutputTable[[#This Row],[GroupByKey]]),(OutputTable[GroupByKey]=OutputTable[[#This Row],[GroupByKey]])*OutputTable[RecordedValue]))</f>
        <v>103</v>
      </c>
    </row>
    <row r="38" spans="1:16" x14ac:dyDescent="0.3">
      <c r="A38" t="s">
        <v>66</v>
      </c>
      <c r="B38" t="s">
        <v>68</v>
      </c>
      <c r="C38">
        <v>8</v>
      </c>
      <c r="D38" t="s">
        <v>93</v>
      </c>
      <c r="E38" t="s">
        <v>94</v>
      </c>
      <c r="F38" t="s">
        <v>71</v>
      </c>
      <c r="G38">
        <v>73</v>
      </c>
      <c r="H38">
        <v>0</v>
      </c>
      <c r="I38" t="str">
        <f>OutputTable[[#This Row],[ProjectName]]&amp;OutputTable[[#This Row],[Name]]&amp;OutputTable[[#This Row],[Type]]&amp;OutputTable[[#This Row],[Source]]</f>
        <v>Unnamed ProjectCustomer.NumberOutNumber OutEntity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30</v>
      </c>
      <c r="K38" cm="1">
        <f t="array" ref="K38">IFERROR(AVERAGE(IF((OutputTable[GroupByKey]=OutputTable[[#This Row],[GroupByKey]]),(OutputTable[GroupByKey]=OutputTable[[#This Row],[GroupByKey]])*OutputTable[RecordedValue])),0)</f>
        <v>89.166666666666671</v>
      </c>
      <c r="L38" cm="1">
        <f t="array" ref="L38">IFERROR(_xlfn.STDEV.S(IF((OutputTable[GroupByKey]=OutputTable[[#This Row],[GroupByKey]]),(OutputTable[GroupByKey]=OutputTable[[#This Row],[GroupByKey]])*OutputTable[RecordedValue])),0)</f>
        <v>7.9658033485961566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38" cm="1">
        <f t="array" ref="O38">MIN(IF((OutputTable[GroupByKey]=OutputTable[[#This Row],[GroupByKey]]),(OutputTable[GroupByKey]=OutputTable[[#This Row],[GroupByKey]])*OutputTable[RecordedValue]))</f>
        <v>70</v>
      </c>
      <c r="P38" cm="1">
        <f t="array" ref="P38">MAX(IF((OutputTable[GroupByKey]=OutputTable[[#This Row],[GroupByKey]]),(OutputTable[GroupByKey]=OutputTable[[#This Row],[GroupByKey]])*OutputTable[RecordedValue]))</f>
        <v>103</v>
      </c>
    </row>
    <row r="39" spans="1:16" x14ac:dyDescent="0.3">
      <c r="A39" t="s">
        <v>66</v>
      </c>
      <c r="B39" t="s">
        <v>68</v>
      </c>
      <c r="C39">
        <v>8</v>
      </c>
      <c r="D39" t="s">
        <v>95</v>
      </c>
      <c r="E39" t="s">
        <v>96</v>
      </c>
      <c r="F39" t="s">
        <v>83</v>
      </c>
      <c r="G39">
        <v>74</v>
      </c>
      <c r="H39">
        <v>0</v>
      </c>
      <c r="I3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30</v>
      </c>
      <c r="K39" cm="1">
        <f t="array" ref="K39">IFERROR(AVERAGE(IF((OutputTable[GroupByKey]=OutputTable[[#This Row],[GroupByKey]]),(OutputTable[GroupByKey]=OutputTable[[#This Row],[GroupByKey]])*OutputTable[RecordedValue])),0)</f>
        <v>89.733333333333334</v>
      </c>
      <c r="L39" cm="1">
        <f t="array" ref="L39">IFERROR(_xlfn.STDEV.S(IF((OutputTable[GroupByKey]=OutputTable[[#This Row],[GroupByKey]]),(OutputTable[GroupByKey]=OutputTable[[#This Row],[GroupByKey]])*OutputTable[RecordedValue])),0)</f>
        <v>8.0212361818523625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39" cm="1">
        <f t="array" ref="O39">MIN(IF((OutputTable[GroupByKey]=OutputTable[[#This Row],[GroupByKey]]),(OutputTable[GroupByKey]=OutputTable[[#This Row],[GroupByKey]])*OutputTable[RecordedValue]))</f>
        <v>71</v>
      </c>
      <c r="P39" cm="1">
        <f t="array" ref="P39">MAX(IF((OutputTable[GroupByKey]=OutputTable[[#This Row],[GroupByKey]]),(OutputTable[GroupByKey]=OutputTable[[#This Row],[GroupByKey]])*OutputTable[RecordedValue]))</f>
        <v>103</v>
      </c>
    </row>
    <row r="40" spans="1:16" x14ac:dyDescent="0.3">
      <c r="A40" t="s">
        <v>66</v>
      </c>
      <c r="B40" t="s">
        <v>68</v>
      </c>
      <c r="C40">
        <v>8</v>
      </c>
      <c r="D40" t="s">
        <v>97</v>
      </c>
      <c r="E40" t="s">
        <v>98</v>
      </c>
      <c r="F40" t="s">
        <v>83</v>
      </c>
      <c r="G40">
        <v>0.31497856917895301</v>
      </c>
      <c r="H40">
        <v>0</v>
      </c>
      <c r="I4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30</v>
      </c>
      <c r="K40" cm="1">
        <f t="array" ref="K40">IFERROR(AVERAGE(IF((OutputTable[GroupByKey]=OutputTable[[#This Row],[GroupByKey]]),(OutputTable[GroupByKey]=OutputTable[[#This Row],[GroupByKey]])*OutputTable[RecordedValue])),0)</f>
        <v>0.34420349255945865</v>
      </c>
      <c r="L40" cm="1">
        <f t="array" ref="L40">IFERROR(_xlfn.STDEV.S(IF((OutputTable[GroupByKey]=OutputTable[[#This Row],[GroupByKey]]),(OutputTable[GroupByKey]=OutputTable[[#This Row],[GroupByKey]])*OutputTable[RecordedValue])),0)</f>
        <v>4.5304829879571427E-2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40" cm="1">
        <f t="array" ref="O40">MIN(IF((OutputTable[GroupByKey]=OutputTable[[#This Row],[GroupByKey]]),(OutputTable[GroupByKey]=OutputTable[[#This Row],[GroupByKey]])*OutputTable[RecordedValue]))</f>
        <v>0.24637585883753399</v>
      </c>
      <c r="P40" cm="1">
        <f t="array" ref="P40">MAX(IF((OutputTable[GroupByKey]=OutputTable[[#This Row],[GroupByKey]]),(OutputTable[GroupByKey]=OutputTable[[#This Row],[GroupByKey]])*OutputTable[RecordedValue]))</f>
        <v>0.43753875749565602</v>
      </c>
    </row>
    <row r="41" spans="1:16" x14ac:dyDescent="0.3">
      <c r="A41" t="s">
        <v>66</v>
      </c>
      <c r="B41" t="s">
        <v>68</v>
      </c>
      <c r="C41">
        <v>8</v>
      </c>
      <c r="D41" t="s">
        <v>99</v>
      </c>
      <c r="E41" t="s">
        <v>94</v>
      </c>
      <c r="F41" t="s">
        <v>100</v>
      </c>
      <c r="G41">
        <v>73</v>
      </c>
      <c r="H41">
        <v>0</v>
      </c>
      <c r="I41" t="str">
        <f>OutputTable[[#This Row],[ProjectName]]&amp;OutputTable[[#This Row],[Name]]&amp;OutputTable[[#This Row],[Type]]&amp;OutputTable[[#This Row],[Source]]</f>
        <v>Unnamed ProjectSystem.NumberOutNumber OutSystem</v>
      </c>
      <c r="J41" cm="1">
        <f t="array" ref="J41">MAX(IF((ProjectInfoTable[ProjectName]=OutputTable[[#This Row],[ProjectName]]),(ProjectInfoTable[ProjectName]=OutputTable[[#This Row],[ProjectName]])*ProjectInfoTable[NumberOfReplications]))</f>
        <v>30</v>
      </c>
      <c r="K41" cm="1">
        <f t="array" ref="K41">IFERROR(AVERAGE(IF((OutputTable[GroupByKey]=OutputTable[[#This Row],[GroupByKey]]),(OutputTable[GroupByKey]=OutputTable[[#This Row],[GroupByKey]])*OutputTable[RecordedValue])),0)</f>
        <v>89.166666666666671</v>
      </c>
      <c r="L41" cm="1">
        <f t="array" ref="L41">IFERROR(_xlfn.STDEV.S(IF((OutputTable[GroupByKey]=OutputTable[[#This Row],[GroupByKey]]),(OutputTable[GroupByKey]=OutputTable[[#This Row],[GroupByKey]])*OutputTable[RecordedValue])),0)</f>
        <v>7.9658033485961566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41" cm="1">
        <f t="array" ref="O41">MIN(IF((OutputTable[GroupByKey]=OutputTable[[#This Row],[GroupByKey]]),(OutputTable[GroupByKey]=OutputTable[[#This Row],[GroupByKey]])*OutputTable[RecordedValue]))</f>
        <v>70</v>
      </c>
      <c r="P41" cm="1">
        <f t="array" ref="P41">MAX(IF((OutputTable[GroupByKey]=OutputTable[[#This Row],[GroupByKey]]),(OutputTable[GroupByKey]=OutputTable[[#This Row],[GroupByKey]])*OutputTable[RecordedValue]))</f>
        <v>103</v>
      </c>
    </row>
    <row r="42" spans="1:16" x14ac:dyDescent="0.3">
      <c r="A42" t="s">
        <v>66</v>
      </c>
      <c r="B42" t="s">
        <v>68</v>
      </c>
      <c r="C42">
        <v>9</v>
      </c>
      <c r="D42" t="s">
        <v>91</v>
      </c>
      <c r="E42" t="s">
        <v>92</v>
      </c>
      <c r="F42" t="s">
        <v>71</v>
      </c>
      <c r="G42">
        <v>87</v>
      </c>
      <c r="H42">
        <v>0</v>
      </c>
      <c r="I42" t="str">
        <f>OutputTable[[#This Row],[ProjectName]]&amp;OutputTable[[#This Row],[Name]]&amp;OutputTable[[#This Row],[Type]]&amp;OutputTable[[#This Row],[Source]]</f>
        <v>Unnamed ProjectCustomer.NumberInNumber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30</v>
      </c>
      <c r="K42" cm="1">
        <f t="array" ref="K42">IFERROR(AVERAGE(IF((OutputTable[GroupByKey]=OutputTable[[#This Row],[GroupByKey]]),(OutputTable[GroupByKey]=OutputTable[[#This Row],[GroupByKey]])*OutputTable[RecordedValue])),0)</f>
        <v>89.733333333333334</v>
      </c>
      <c r="L42" cm="1">
        <f t="array" ref="L42">IFERROR(_xlfn.STDEV.S(IF((OutputTable[GroupByKey]=OutputTable[[#This Row],[GroupByKey]]),(OutputTable[GroupByKey]=OutputTable[[#This Row],[GroupByKey]])*OutputTable[RecordedValue])),0)</f>
        <v>8.0212361818523625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42" cm="1">
        <f t="array" ref="O42">MIN(IF((OutputTable[GroupByKey]=OutputTable[[#This Row],[GroupByKey]]),(OutputTable[GroupByKey]=OutputTable[[#This Row],[GroupByKey]])*OutputTable[RecordedValue]))</f>
        <v>71</v>
      </c>
      <c r="P42" cm="1">
        <f t="array" ref="P42">MAX(IF((OutputTable[GroupByKey]=OutputTable[[#This Row],[GroupByKey]]),(OutputTable[GroupByKey]=OutputTable[[#This Row],[GroupByKey]])*OutputTable[RecordedValue]))</f>
        <v>103</v>
      </c>
    </row>
    <row r="43" spans="1:16" x14ac:dyDescent="0.3">
      <c r="A43" t="s">
        <v>66</v>
      </c>
      <c r="B43" t="s">
        <v>68</v>
      </c>
      <c r="C43">
        <v>9</v>
      </c>
      <c r="D43" t="s">
        <v>93</v>
      </c>
      <c r="E43" t="s">
        <v>94</v>
      </c>
      <c r="F43" t="s">
        <v>71</v>
      </c>
      <c r="G43">
        <v>86</v>
      </c>
      <c r="H43">
        <v>0</v>
      </c>
      <c r="I43" t="str">
        <f>OutputTable[[#This Row],[ProjectName]]&amp;OutputTable[[#This Row],[Name]]&amp;OutputTable[[#This Row],[Type]]&amp;OutputTable[[#This Row],[Source]]</f>
        <v>Unnamed ProjectCustomer.NumberOutNumber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30</v>
      </c>
      <c r="K43" cm="1">
        <f t="array" ref="K43">IFERROR(AVERAGE(IF((OutputTable[GroupByKey]=OutputTable[[#This Row],[GroupByKey]]),(OutputTable[GroupByKey]=OutputTable[[#This Row],[GroupByKey]])*OutputTable[RecordedValue])),0)</f>
        <v>89.166666666666671</v>
      </c>
      <c r="L43" cm="1">
        <f t="array" ref="L43">IFERROR(_xlfn.STDEV.S(IF((OutputTable[GroupByKey]=OutputTable[[#This Row],[GroupByKey]]),(OutputTable[GroupByKey]=OutputTable[[#This Row],[GroupByKey]])*OutputTable[RecordedValue])),0)</f>
        <v>7.9658033485961566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43" cm="1">
        <f t="array" ref="O43">MIN(IF((OutputTable[GroupByKey]=OutputTable[[#This Row],[GroupByKey]]),(OutputTable[GroupByKey]=OutputTable[[#This Row],[GroupByKey]])*OutputTable[RecordedValue]))</f>
        <v>70</v>
      </c>
      <c r="P43" cm="1">
        <f t="array" ref="P43">MAX(IF((OutputTable[GroupByKey]=OutputTable[[#This Row],[GroupByKey]]),(OutputTable[GroupByKey]=OutputTable[[#This Row],[GroupByKey]])*OutputTable[RecordedValue]))</f>
        <v>103</v>
      </c>
    </row>
    <row r="44" spans="1:16" x14ac:dyDescent="0.3">
      <c r="A44" t="s">
        <v>66</v>
      </c>
      <c r="B44" t="s">
        <v>68</v>
      </c>
      <c r="C44">
        <v>9</v>
      </c>
      <c r="D44" t="s">
        <v>95</v>
      </c>
      <c r="E44" t="s">
        <v>96</v>
      </c>
      <c r="F44" t="s">
        <v>83</v>
      </c>
      <c r="G44">
        <v>87</v>
      </c>
      <c r="H44">
        <v>0</v>
      </c>
      <c r="I4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30</v>
      </c>
      <c r="K44" cm="1">
        <f t="array" ref="K44">IFERROR(AVERAGE(IF((OutputTable[GroupByKey]=OutputTable[[#This Row],[GroupByKey]]),(OutputTable[GroupByKey]=OutputTable[[#This Row],[GroupByKey]])*OutputTable[RecordedValue])),0)</f>
        <v>89.733333333333334</v>
      </c>
      <c r="L44" cm="1">
        <f t="array" ref="L44">IFERROR(_xlfn.STDEV.S(IF((OutputTable[GroupByKey]=OutputTable[[#This Row],[GroupByKey]]),(OutputTable[GroupByKey]=OutputTable[[#This Row],[GroupByKey]])*OutputTable[RecordedValue])),0)</f>
        <v>8.0212361818523625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44" cm="1">
        <f t="array" ref="O44">MIN(IF((OutputTable[GroupByKey]=OutputTable[[#This Row],[GroupByKey]]),(OutputTable[GroupByKey]=OutputTable[[#This Row],[GroupByKey]])*OutputTable[RecordedValue]))</f>
        <v>71</v>
      </c>
      <c r="P44" cm="1">
        <f t="array" ref="P44">MAX(IF((OutputTable[GroupByKey]=OutputTable[[#This Row],[GroupByKey]]),(OutputTable[GroupByKey]=OutputTable[[#This Row],[GroupByKey]])*OutputTable[RecordedValue]))</f>
        <v>103</v>
      </c>
    </row>
    <row r="45" spans="1:16" x14ac:dyDescent="0.3">
      <c r="A45" t="s">
        <v>66</v>
      </c>
      <c r="B45" t="s">
        <v>68</v>
      </c>
      <c r="C45">
        <v>9</v>
      </c>
      <c r="D45" t="s">
        <v>97</v>
      </c>
      <c r="E45" t="s">
        <v>98</v>
      </c>
      <c r="F45" t="s">
        <v>83</v>
      </c>
      <c r="G45">
        <v>0.30049152490128</v>
      </c>
      <c r="H45">
        <v>0</v>
      </c>
      <c r="I4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30</v>
      </c>
      <c r="K45" cm="1">
        <f t="array" ref="K45">IFERROR(AVERAGE(IF((OutputTable[GroupByKey]=OutputTable[[#This Row],[GroupByKey]]),(OutputTable[GroupByKey]=OutputTable[[#This Row],[GroupByKey]])*OutputTable[RecordedValue])),0)</f>
        <v>0.34420349255945865</v>
      </c>
      <c r="L45" cm="1">
        <f t="array" ref="L45">IFERROR(_xlfn.STDEV.S(IF((OutputTable[GroupByKey]=OutputTable[[#This Row],[GroupByKey]]),(OutputTable[GroupByKey]=OutputTable[[#This Row],[GroupByKey]])*OutputTable[RecordedValue])),0)</f>
        <v>4.5304829879571427E-2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45" cm="1">
        <f t="array" ref="O45">MIN(IF((OutputTable[GroupByKey]=OutputTable[[#This Row],[GroupByKey]]),(OutputTable[GroupByKey]=OutputTable[[#This Row],[GroupByKey]])*OutputTable[RecordedValue]))</f>
        <v>0.24637585883753399</v>
      </c>
      <c r="P45" cm="1">
        <f t="array" ref="P45">MAX(IF((OutputTable[GroupByKey]=OutputTable[[#This Row],[GroupByKey]]),(OutputTable[GroupByKey]=OutputTable[[#This Row],[GroupByKey]])*OutputTable[RecordedValue]))</f>
        <v>0.43753875749565602</v>
      </c>
    </row>
    <row r="46" spans="1:16" x14ac:dyDescent="0.3">
      <c r="A46" t="s">
        <v>66</v>
      </c>
      <c r="B46" t="s">
        <v>68</v>
      </c>
      <c r="C46">
        <v>9</v>
      </c>
      <c r="D46" t="s">
        <v>99</v>
      </c>
      <c r="E46" t="s">
        <v>94</v>
      </c>
      <c r="F46" t="s">
        <v>100</v>
      </c>
      <c r="G46">
        <v>86</v>
      </c>
      <c r="H46">
        <v>0</v>
      </c>
      <c r="I46" t="str">
        <f>OutputTable[[#This Row],[ProjectName]]&amp;OutputTable[[#This Row],[Name]]&amp;OutputTable[[#This Row],[Type]]&amp;OutputTable[[#This Row],[Source]]</f>
        <v>Unnamed ProjectSystem.NumberOutNumber OutSystem</v>
      </c>
      <c r="J46" cm="1">
        <f t="array" ref="J46">MAX(IF((ProjectInfoTable[ProjectName]=OutputTable[[#This Row],[ProjectName]]),(ProjectInfoTable[ProjectName]=OutputTable[[#This Row],[ProjectName]])*ProjectInfoTable[NumberOfReplications]))</f>
        <v>30</v>
      </c>
      <c r="K46" cm="1">
        <f t="array" ref="K46">IFERROR(AVERAGE(IF((OutputTable[GroupByKey]=OutputTable[[#This Row],[GroupByKey]]),(OutputTable[GroupByKey]=OutputTable[[#This Row],[GroupByKey]])*OutputTable[RecordedValue])),0)</f>
        <v>89.166666666666671</v>
      </c>
      <c r="L46" cm="1">
        <f t="array" ref="L46">IFERROR(_xlfn.STDEV.S(IF((OutputTable[GroupByKey]=OutputTable[[#This Row],[GroupByKey]]),(OutputTable[GroupByKey]=OutputTable[[#This Row],[GroupByKey]])*OutputTable[RecordedValue])),0)</f>
        <v>7.9658033485961566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46" cm="1">
        <f t="array" ref="O46">MIN(IF((OutputTable[GroupByKey]=OutputTable[[#This Row],[GroupByKey]]),(OutputTable[GroupByKey]=OutputTable[[#This Row],[GroupByKey]])*OutputTable[RecordedValue]))</f>
        <v>70</v>
      </c>
      <c r="P46" cm="1">
        <f t="array" ref="P46">MAX(IF((OutputTable[GroupByKey]=OutputTable[[#This Row],[GroupByKey]]),(OutputTable[GroupByKey]=OutputTable[[#This Row],[GroupByKey]])*OutputTable[RecordedValue]))</f>
        <v>103</v>
      </c>
    </row>
    <row r="47" spans="1:16" x14ac:dyDescent="0.3">
      <c r="A47" t="s">
        <v>66</v>
      </c>
      <c r="B47" t="s">
        <v>68</v>
      </c>
      <c r="C47">
        <v>10</v>
      </c>
      <c r="D47" t="s">
        <v>91</v>
      </c>
      <c r="E47" t="s">
        <v>92</v>
      </c>
      <c r="F47" t="s">
        <v>71</v>
      </c>
      <c r="G47">
        <v>81</v>
      </c>
      <c r="H47">
        <v>0</v>
      </c>
      <c r="I47" t="str">
        <f>OutputTable[[#This Row],[ProjectName]]&amp;OutputTable[[#This Row],[Name]]&amp;OutputTable[[#This Row],[Type]]&amp;OutputTable[[#This Row],[Source]]</f>
        <v>Unnamed ProjectCustomer.NumberInNumber InEntity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30</v>
      </c>
      <c r="K47" cm="1">
        <f t="array" ref="K47">IFERROR(AVERAGE(IF((OutputTable[GroupByKey]=OutputTable[[#This Row],[GroupByKey]]),(OutputTable[GroupByKey]=OutputTable[[#This Row],[GroupByKey]])*OutputTable[RecordedValue])),0)</f>
        <v>89.733333333333334</v>
      </c>
      <c r="L47" cm="1">
        <f t="array" ref="L47">IFERROR(_xlfn.STDEV.S(IF((OutputTable[GroupByKey]=OutputTable[[#This Row],[GroupByKey]]),(OutputTable[GroupByKey]=OutputTable[[#This Row],[GroupByKey]])*OutputTable[RecordedValue])),0)</f>
        <v>8.0212361818523625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47" cm="1">
        <f t="array" ref="O47">MIN(IF((OutputTable[GroupByKey]=OutputTable[[#This Row],[GroupByKey]]),(OutputTable[GroupByKey]=OutputTable[[#This Row],[GroupByKey]])*OutputTable[RecordedValue]))</f>
        <v>71</v>
      </c>
      <c r="P47" cm="1">
        <f t="array" ref="P47">MAX(IF((OutputTable[GroupByKey]=OutputTable[[#This Row],[GroupByKey]]),(OutputTable[GroupByKey]=OutputTable[[#This Row],[GroupByKey]])*OutputTable[RecordedValue]))</f>
        <v>103</v>
      </c>
    </row>
    <row r="48" spans="1:16" x14ac:dyDescent="0.3">
      <c r="A48" t="s">
        <v>66</v>
      </c>
      <c r="B48" t="s">
        <v>68</v>
      </c>
      <c r="C48">
        <v>10</v>
      </c>
      <c r="D48" t="s">
        <v>93</v>
      </c>
      <c r="E48" t="s">
        <v>94</v>
      </c>
      <c r="F48" t="s">
        <v>71</v>
      </c>
      <c r="G48">
        <v>81</v>
      </c>
      <c r="H48">
        <v>0</v>
      </c>
      <c r="I48" t="str">
        <f>OutputTable[[#This Row],[ProjectName]]&amp;OutputTable[[#This Row],[Name]]&amp;OutputTable[[#This Row],[Type]]&amp;OutputTable[[#This Row],[Source]]</f>
        <v>Unnamed ProjectCustomer.NumberOutNumber OutEntity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30</v>
      </c>
      <c r="K48" cm="1">
        <f t="array" ref="K48">IFERROR(AVERAGE(IF((OutputTable[GroupByKey]=OutputTable[[#This Row],[GroupByKey]]),(OutputTable[GroupByKey]=OutputTable[[#This Row],[GroupByKey]])*OutputTable[RecordedValue])),0)</f>
        <v>89.166666666666671</v>
      </c>
      <c r="L48" cm="1">
        <f t="array" ref="L48">IFERROR(_xlfn.STDEV.S(IF((OutputTable[GroupByKey]=OutputTable[[#This Row],[GroupByKey]]),(OutputTable[GroupByKey]=OutputTable[[#This Row],[GroupByKey]])*OutputTable[RecordedValue])),0)</f>
        <v>7.9658033485961566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48" cm="1">
        <f t="array" ref="O48">MIN(IF((OutputTable[GroupByKey]=OutputTable[[#This Row],[GroupByKey]]),(OutputTable[GroupByKey]=OutputTable[[#This Row],[GroupByKey]])*OutputTable[RecordedValue]))</f>
        <v>70</v>
      </c>
      <c r="P48" cm="1">
        <f t="array" ref="P48">MAX(IF((OutputTable[GroupByKey]=OutputTable[[#This Row],[GroupByKey]]),(OutputTable[GroupByKey]=OutputTable[[#This Row],[GroupByKey]])*OutputTable[RecordedValue]))</f>
        <v>103</v>
      </c>
    </row>
    <row r="49" spans="1:16" x14ac:dyDescent="0.3">
      <c r="A49" t="s">
        <v>66</v>
      </c>
      <c r="B49" t="s">
        <v>68</v>
      </c>
      <c r="C49">
        <v>10</v>
      </c>
      <c r="D49" t="s">
        <v>95</v>
      </c>
      <c r="E49" t="s">
        <v>96</v>
      </c>
      <c r="F49" t="s">
        <v>83</v>
      </c>
      <c r="G49">
        <v>81</v>
      </c>
      <c r="H49">
        <v>0</v>
      </c>
      <c r="I4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30</v>
      </c>
      <c r="K49" cm="1">
        <f t="array" ref="K49">IFERROR(AVERAGE(IF((OutputTable[GroupByKey]=OutputTable[[#This Row],[GroupByKey]]),(OutputTable[GroupByKey]=OutputTable[[#This Row],[GroupByKey]])*OutputTable[RecordedValue])),0)</f>
        <v>89.733333333333334</v>
      </c>
      <c r="L49" cm="1">
        <f t="array" ref="L49">IFERROR(_xlfn.STDEV.S(IF((OutputTable[GroupByKey]=OutputTable[[#This Row],[GroupByKey]]),(OutputTable[GroupByKey]=OutputTable[[#This Row],[GroupByKey]])*OutputTable[RecordedValue])),0)</f>
        <v>8.0212361818523625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49" cm="1">
        <f t="array" ref="O49">MIN(IF((OutputTable[GroupByKey]=OutputTable[[#This Row],[GroupByKey]]),(OutputTable[GroupByKey]=OutputTable[[#This Row],[GroupByKey]])*OutputTable[RecordedValue]))</f>
        <v>71</v>
      </c>
      <c r="P49" cm="1">
        <f t="array" ref="P49">MAX(IF((OutputTable[GroupByKey]=OutputTable[[#This Row],[GroupByKey]]),(OutputTable[GroupByKey]=OutputTable[[#This Row],[GroupByKey]])*OutputTable[RecordedValue]))</f>
        <v>103</v>
      </c>
    </row>
    <row r="50" spans="1:16" x14ac:dyDescent="0.3">
      <c r="A50" t="s">
        <v>66</v>
      </c>
      <c r="B50" t="s">
        <v>68</v>
      </c>
      <c r="C50">
        <v>10</v>
      </c>
      <c r="D50" t="s">
        <v>97</v>
      </c>
      <c r="E50" t="s">
        <v>98</v>
      </c>
      <c r="F50" t="s">
        <v>83</v>
      </c>
      <c r="G50">
        <v>0.24637585883753399</v>
      </c>
      <c r="H50">
        <v>0</v>
      </c>
      <c r="I5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30</v>
      </c>
      <c r="K50" cm="1">
        <f t="array" ref="K50">IFERROR(AVERAGE(IF((OutputTable[GroupByKey]=OutputTable[[#This Row],[GroupByKey]]),(OutputTable[GroupByKey]=OutputTable[[#This Row],[GroupByKey]])*OutputTable[RecordedValue])),0)</f>
        <v>0.34420349255945865</v>
      </c>
      <c r="L50" cm="1">
        <f t="array" ref="L50">IFERROR(_xlfn.STDEV.S(IF((OutputTable[GroupByKey]=OutputTable[[#This Row],[GroupByKey]]),(OutputTable[GroupByKey]=OutputTable[[#This Row],[GroupByKey]])*OutputTable[RecordedValue])),0)</f>
        <v>4.5304829879571427E-2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50" cm="1">
        <f t="array" ref="O50">MIN(IF((OutputTable[GroupByKey]=OutputTable[[#This Row],[GroupByKey]]),(OutputTable[GroupByKey]=OutputTable[[#This Row],[GroupByKey]])*OutputTable[RecordedValue]))</f>
        <v>0.24637585883753399</v>
      </c>
      <c r="P50" cm="1">
        <f t="array" ref="P50">MAX(IF((OutputTable[GroupByKey]=OutputTable[[#This Row],[GroupByKey]]),(OutputTable[GroupByKey]=OutputTable[[#This Row],[GroupByKey]])*OutputTable[RecordedValue]))</f>
        <v>0.43753875749565602</v>
      </c>
    </row>
    <row r="51" spans="1:16" x14ac:dyDescent="0.3">
      <c r="A51" t="s">
        <v>66</v>
      </c>
      <c r="B51" t="s">
        <v>68</v>
      </c>
      <c r="C51">
        <v>10</v>
      </c>
      <c r="D51" t="s">
        <v>99</v>
      </c>
      <c r="E51" t="s">
        <v>94</v>
      </c>
      <c r="F51" t="s">
        <v>100</v>
      </c>
      <c r="G51">
        <v>81</v>
      </c>
      <c r="H51">
        <v>0</v>
      </c>
      <c r="I51" t="str">
        <f>OutputTable[[#This Row],[ProjectName]]&amp;OutputTable[[#This Row],[Name]]&amp;OutputTable[[#This Row],[Type]]&amp;OutputTable[[#This Row],[Source]]</f>
        <v>Unnamed ProjectSystem.NumberOutNumber OutSystem</v>
      </c>
      <c r="J51" cm="1">
        <f t="array" ref="J51">MAX(IF((ProjectInfoTable[ProjectName]=OutputTable[[#This Row],[ProjectName]]),(ProjectInfoTable[ProjectName]=OutputTable[[#This Row],[ProjectName]])*ProjectInfoTable[NumberOfReplications]))</f>
        <v>30</v>
      </c>
      <c r="K51" cm="1">
        <f t="array" ref="K51">IFERROR(AVERAGE(IF((OutputTable[GroupByKey]=OutputTable[[#This Row],[GroupByKey]]),(OutputTable[GroupByKey]=OutputTable[[#This Row],[GroupByKey]])*OutputTable[RecordedValue])),0)</f>
        <v>89.166666666666671</v>
      </c>
      <c r="L51" cm="1">
        <f t="array" ref="L51">IFERROR(_xlfn.STDEV.S(IF((OutputTable[GroupByKey]=OutputTable[[#This Row],[GroupByKey]]),(OutputTable[GroupByKey]=OutputTable[[#This Row],[GroupByKey]])*OutputTable[RecordedValue])),0)</f>
        <v>7.9658033485961566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51" cm="1">
        <f t="array" ref="O51">MIN(IF((OutputTable[GroupByKey]=OutputTable[[#This Row],[GroupByKey]]),(OutputTable[GroupByKey]=OutputTable[[#This Row],[GroupByKey]])*OutputTable[RecordedValue]))</f>
        <v>70</v>
      </c>
      <c r="P51" cm="1">
        <f t="array" ref="P51">MAX(IF((OutputTable[GroupByKey]=OutputTable[[#This Row],[GroupByKey]]),(OutputTable[GroupByKey]=OutputTable[[#This Row],[GroupByKey]])*OutputTable[RecordedValue]))</f>
        <v>103</v>
      </c>
    </row>
    <row r="52" spans="1:16" x14ac:dyDescent="0.3">
      <c r="A52" t="s">
        <v>66</v>
      </c>
      <c r="B52" t="s">
        <v>68</v>
      </c>
      <c r="C52">
        <v>11</v>
      </c>
      <c r="D52" t="s">
        <v>91</v>
      </c>
      <c r="E52" t="s">
        <v>92</v>
      </c>
      <c r="F52" t="s">
        <v>71</v>
      </c>
      <c r="G52">
        <v>95</v>
      </c>
      <c r="H52">
        <v>0</v>
      </c>
      <c r="I52" t="str">
        <f>OutputTable[[#This Row],[ProjectName]]&amp;OutputTable[[#This Row],[Name]]&amp;OutputTable[[#This Row],[Type]]&amp;OutputTable[[#This Row],[Source]]</f>
        <v>Unnamed ProjectCustomer.NumberInNumber InEntity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30</v>
      </c>
      <c r="K52" cm="1">
        <f t="array" ref="K52">IFERROR(AVERAGE(IF((OutputTable[GroupByKey]=OutputTable[[#This Row],[GroupByKey]]),(OutputTable[GroupByKey]=OutputTable[[#This Row],[GroupByKey]])*OutputTable[RecordedValue])),0)</f>
        <v>89.733333333333334</v>
      </c>
      <c r="L52" cm="1">
        <f t="array" ref="L52">IFERROR(_xlfn.STDEV.S(IF((OutputTable[GroupByKey]=OutputTable[[#This Row],[GroupByKey]]),(OutputTable[GroupByKey]=OutputTable[[#This Row],[GroupByKey]])*OutputTable[RecordedValue])),0)</f>
        <v>8.0212361818523625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52" cm="1">
        <f t="array" ref="O52">MIN(IF((OutputTable[GroupByKey]=OutputTable[[#This Row],[GroupByKey]]),(OutputTable[GroupByKey]=OutputTable[[#This Row],[GroupByKey]])*OutputTable[RecordedValue]))</f>
        <v>71</v>
      </c>
      <c r="P52" cm="1">
        <f t="array" ref="P52">MAX(IF((OutputTable[GroupByKey]=OutputTable[[#This Row],[GroupByKey]]),(OutputTable[GroupByKey]=OutputTable[[#This Row],[GroupByKey]])*OutputTable[RecordedValue]))</f>
        <v>103</v>
      </c>
    </row>
    <row r="53" spans="1:16" x14ac:dyDescent="0.3">
      <c r="A53" t="s">
        <v>66</v>
      </c>
      <c r="B53" t="s">
        <v>68</v>
      </c>
      <c r="C53">
        <v>11</v>
      </c>
      <c r="D53" t="s">
        <v>93</v>
      </c>
      <c r="E53" t="s">
        <v>94</v>
      </c>
      <c r="F53" t="s">
        <v>71</v>
      </c>
      <c r="G53">
        <v>94</v>
      </c>
      <c r="H53">
        <v>0</v>
      </c>
      <c r="I53" t="str">
        <f>OutputTable[[#This Row],[ProjectName]]&amp;OutputTable[[#This Row],[Name]]&amp;OutputTable[[#This Row],[Type]]&amp;OutputTable[[#This Row],[Source]]</f>
        <v>Unnamed ProjectCustomer.NumberOutNumber OutEntity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30</v>
      </c>
      <c r="K53" cm="1">
        <f t="array" ref="K53">IFERROR(AVERAGE(IF((OutputTable[GroupByKey]=OutputTable[[#This Row],[GroupByKey]]),(OutputTable[GroupByKey]=OutputTable[[#This Row],[GroupByKey]])*OutputTable[RecordedValue])),0)</f>
        <v>89.166666666666671</v>
      </c>
      <c r="L53" cm="1">
        <f t="array" ref="L53">IFERROR(_xlfn.STDEV.S(IF((OutputTable[GroupByKey]=OutputTable[[#This Row],[GroupByKey]]),(OutputTable[GroupByKey]=OutputTable[[#This Row],[GroupByKey]])*OutputTable[RecordedValue])),0)</f>
        <v>7.9658033485961566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53" cm="1">
        <f t="array" ref="O53">MIN(IF((OutputTable[GroupByKey]=OutputTable[[#This Row],[GroupByKey]]),(OutputTable[GroupByKey]=OutputTable[[#This Row],[GroupByKey]])*OutputTable[RecordedValue]))</f>
        <v>70</v>
      </c>
      <c r="P53" cm="1">
        <f t="array" ref="P53">MAX(IF((OutputTable[GroupByKey]=OutputTable[[#This Row],[GroupByKey]]),(OutputTable[GroupByKey]=OutputTable[[#This Row],[GroupByKey]])*OutputTable[RecordedValue]))</f>
        <v>103</v>
      </c>
    </row>
    <row r="54" spans="1:16" x14ac:dyDescent="0.3">
      <c r="A54" t="s">
        <v>66</v>
      </c>
      <c r="B54" t="s">
        <v>68</v>
      </c>
      <c r="C54">
        <v>11</v>
      </c>
      <c r="D54" t="s">
        <v>95</v>
      </c>
      <c r="E54" t="s">
        <v>96</v>
      </c>
      <c r="F54" t="s">
        <v>83</v>
      </c>
      <c r="G54">
        <v>95</v>
      </c>
      <c r="H54">
        <v>0</v>
      </c>
      <c r="I5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30</v>
      </c>
      <c r="K54" cm="1">
        <f t="array" ref="K54">IFERROR(AVERAGE(IF((OutputTable[GroupByKey]=OutputTable[[#This Row],[GroupByKey]]),(OutputTable[GroupByKey]=OutputTable[[#This Row],[GroupByKey]])*OutputTable[RecordedValue])),0)</f>
        <v>89.733333333333334</v>
      </c>
      <c r="L54" cm="1">
        <f t="array" ref="L54">IFERROR(_xlfn.STDEV.S(IF((OutputTable[GroupByKey]=OutputTable[[#This Row],[GroupByKey]]),(OutputTable[GroupByKey]=OutputTable[[#This Row],[GroupByKey]])*OutputTable[RecordedValue])),0)</f>
        <v>8.0212361818523625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54" cm="1">
        <f t="array" ref="O54">MIN(IF((OutputTable[GroupByKey]=OutputTable[[#This Row],[GroupByKey]]),(OutputTable[GroupByKey]=OutputTable[[#This Row],[GroupByKey]])*OutputTable[RecordedValue]))</f>
        <v>71</v>
      </c>
      <c r="P54" cm="1">
        <f t="array" ref="P54">MAX(IF((OutputTable[GroupByKey]=OutputTable[[#This Row],[GroupByKey]]),(OutputTable[GroupByKey]=OutputTable[[#This Row],[GroupByKey]])*OutputTable[RecordedValue]))</f>
        <v>103</v>
      </c>
    </row>
    <row r="55" spans="1:16" x14ac:dyDescent="0.3">
      <c r="A55" t="s">
        <v>66</v>
      </c>
      <c r="B55" t="s">
        <v>68</v>
      </c>
      <c r="C55">
        <v>11</v>
      </c>
      <c r="D55" t="s">
        <v>97</v>
      </c>
      <c r="E55" t="s">
        <v>98</v>
      </c>
      <c r="F55" t="s">
        <v>83</v>
      </c>
      <c r="G55">
        <v>0.32920760688839401</v>
      </c>
      <c r="H55">
        <v>0</v>
      </c>
      <c r="I5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30</v>
      </c>
      <c r="K55" cm="1">
        <f t="array" ref="K55">IFERROR(AVERAGE(IF((OutputTable[GroupByKey]=OutputTable[[#This Row],[GroupByKey]]),(OutputTable[GroupByKey]=OutputTable[[#This Row],[GroupByKey]])*OutputTable[RecordedValue])),0)</f>
        <v>0.34420349255945865</v>
      </c>
      <c r="L55" cm="1">
        <f t="array" ref="L55">IFERROR(_xlfn.STDEV.S(IF((OutputTable[GroupByKey]=OutputTable[[#This Row],[GroupByKey]]),(OutputTable[GroupByKey]=OutputTable[[#This Row],[GroupByKey]])*OutputTable[RecordedValue])),0)</f>
        <v>4.5304829879571427E-2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55" cm="1">
        <f t="array" ref="O55">MIN(IF((OutputTable[GroupByKey]=OutputTable[[#This Row],[GroupByKey]]),(OutputTable[GroupByKey]=OutputTable[[#This Row],[GroupByKey]])*OutputTable[RecordedValue]))</f>
        <v>0.24637585883753399</v>
      </c>
      <c r="P55" cm="1">
        <f t="array" ref="P55">MAX(IF((OutputTable[GroupByKey]=OutputTable[[#This Row],[GroupByKey]]),(OutputTable[GroupByKey]=OutputTable[[#This Row],[GroupByKey]])*OutputTable[RecordedValue]))</f>
        <v>0.43753875749565602</v>
      </c>
    </row>
    <row r="56" spans="1:16" x14ac:dyDescent="0.3">
      <c r="A56" t="s">
        <v>66</v>
      </c>
      <c r="B56" t="s">
        <v>68</v>
      </c>
      <c r="C56">
        <v>11</v>
      </c>
      <c r="D56" t="s">
        <v>99</v>
      </c>
      <c r="E56" t="s">
        <v>94</v>
      </c>
      <c r="F56" t="s">
        <v>100</v>
      </c>
      <c r="G56">
        <v>94</v>
      </c>
      <c r="H56">
        <v>0</v>
      </c>
      <c r="I56" t="str">
        <f>OutputTable[[#This Row],[ProjectName]]&amp;OutputTable[[#This Row],[Name]]&amp;OutputTable[[#This Row],[Type]]&amp;OutputTable[[#This Row],[Source]]</f>
        <v>Unnamed ProjectSystem.NumberOutNumber OutSystem</v>
      </c>
      <c r="J56" cm="1">
        <f t="array" ref="J56">MAX(IF((ProjectInfoTable[ProjectName]=OutputTable[[#This Row],[ProjectName]]),(ProjectInfoTable[ProjectName]=OutputTable[[#This Row],[ProjectName]])*ProjectInfoTable[NumberOfReplications]))</f>
        <v>30</v>
      </c>
      <c r="K56" cm="1">
        <f t="array" ref="K56">IFERROR(AVERAGE(IF((OutputTable[GroupByKey]=OutputTable[[#This Row],[GroupByKey]]),(OutputTable[GroupByKey]=OutputTable[[#This Row],[GroupByKey]])*OutputTable[RecordedValue])),0)</f>
        <v>89.166666666666671</v>
      </c>
      <c r="L56" cm="1">
        <f t="array" ref="L56">IFERROR(_xlfn.STDEV.S(IF((OutputTable[GroupByKey]=OutputTable[[#This Row],[GroupByKey]]),(OutputTable[GroupByKey]=OutputTable[[#This Row],[GroupByKey]])*OutputTable[RecordedValue])),0)</f>
        <v>7.9658033485961566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56" cm="1">
        <f t="array" ref="O56">MIN(IF((OutputTable[GroupByKey]=OutputTable[[#This Row],[GroupByKey]]),(OutputTable[GroupByKey]=OutputTable[[#This Row],[GroupByKey]])*OutputTable[RecordedValue]))</f>
        <v>70</v>
      </c>
      <c r="P56" cm="1">
        <f t="array" ref="P56">MAX(IF((OutputTable[GroupByKey]=OutputTable[[#This Row],[GroupByKey]]),(OutputTable[GroupByKey]=OutputTable[[#This Row],[GroupByKey]])*OutputTable[RecordedValue]))</f>
        <v>103</v>
      </c>
    </row>
    <row r="57" spans="1:16" x14ac:dyDescent="0.3">
      <c r="A57" t="s">
        <v>66</v>
      </c>
      <c r="B57" t="s">
        <v>68</v>
      </c>
      <c r="C57">
        <v>12</v>
      </c>
      <c r="D57" t="s">
        <v>91</v>
      </c>
      <c r="E57" t="s">
        <v>92</v>
      </c>
      <c r="F57" t="s">
        <v>71</v>
      </c>
      <c r="G57">
        <v>84</v>
      </c>
      <c r="H57">
        <v>0</v>
      </c>
      <c r="I57" t="str">
        <f>OutputTable[[#This Row],[ProjectName]]&amp;OutputTable[[#This Row],[Name]]&amp;OutputTable[[#This Row],[Type]]&amp;OutputTable[[#This Row],[Source]]</f>
        <v>Unnamed ProjectCustomer.NumberInNumber InEntity</v>
      </c>
      <c r="J57" cm="1">
        <f t="array" ref="J57">MAX(IF((ProjectInfoTable[ProjectName]=OutputTable[[#This Row],[ProjectName]]),(ProjectInfoTable[ProjectName]=OutputTable[[#This Row],[ProjectName]])*ProjectInfoTable[NumberOfReplications]))</f>
        <v>30</v>
      </c>
      <c r="K57" cm="1">
        <f t="array" ref="K57">IFERROR(AVERAGE(IF((OutputTable[GroupByKey]=OutputTable[[#This Row],[GroupByKey]]),(OutputTable[GroupByKey]=OutputTable[[#This Row],[GroupByKey]])*OutputTable[RecordedValue])),0)</f>
        <v>89.733333333333334</v>
      </c>
      <c r="L57" cm="1">
        <f t="array" ref="L57">IFERROR(_xlfn.STDEV.S(IF((OutputTable[GroupByKey]=OutputTable[[#This Row],[GroupByKey]]),(OutputTable[GroupByKey]=OutputTable[[#This Row],[GroupByKey]])*OutputTable[RecordedValue])),0)</f>
        <v>8.0212361818523625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57" cm="1">
        <f t="array" ref="O57">MIN(IF((OutputTable[GroupByKey]=OutputTable[[#This Row],[GroupByKey]]),(OutputTable[GroupByKey]=OutputTable[[#This Row],[GroupByKey]])*OutputTable[RecordedValue]))</f>
        <v>71</v>
      </c>
      <c r="P57" cm="1">
        <f t="array" ref="P57">MAX(IF((OutputTable[GroupByKey]=OutputTable[[#This Row],[GroupByKey]]),(OutputTable[GroupByKey]=OutputTable[[#This Row],[GroupByKey]])*OutputTable[RecordedValue]))</f>
        <v>103</v>
      </c>
    </row>
    <row r="58" spans="1:16" x14ac:dyDescent="0.3">
      <c r="A58" t="s">
        <v>66</v>
      </c>
      <c r="B58" t="s">
        <v>68</v>
      </c>
      <c r="C58">
        <v>12</v>
      </c>
      <c r="D58" t="s">
        <v>93</v>
      </c>
      <c r="E58" t="s">
        <v>94</v>
      </c>
      <c r="F58" t="s">
        <v>71</v>
      </c>
      <c r="G58">
        <v>84</v>
      </c>
      <c r="H58">
        <v>0</v>
      </c>
      <c r="I58" t="str">
        <f>OutputTable[[#This Row],[ProjectName]]&amp;OutputTable[[#This Row],[Name]]&amp;OutputTable[[#This Row],[Type]]&amp;OutputTable[[#This Row],[Source]]</f>
        <v>Unnamed ProjectCustomer.NumberOutNumber OutEntity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30</v>
      </c>
      <c r="K58" cm="1">
        <f t="array" ref="K58">IFERROR(AVERAGE(IF((OutputTable[GroupByKey]=OutputTable[[#This Row],[GroupByKey]]),(OutputTable[GroupByKey]=OutputTable[[#This Row],[GroupByKey]])*OutputTable[RecordedValue])),0)</f>
        <v>89.166666666666671</v>
      </c>
      <c r="L58" cm="1">
        <f t="array" ref="L58">IFERROR(_xlfn.STDEV.S(IF((OutputTable[GroupByKey]=OutputTable[[#This Row],[GroupByKey]]),(OutputTable[GroupByKey]=OutputTable[[#This Row],[GroupByKey]])*OutputTable[RecordedValue])),0)</f>
        <v>7.9658033485961566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58" cm="1">
        <f t="array" ref="O58">MIN(IF((OutputTable[GroupByKey]=OutputTable[[#This Row],[GroupByKey]]),(OutputTable[GroupByKey]=OutputTable[[#This Row],[GroupByKey]])*OutputTable[RecordedValue]))</f>
        <v>70</v>
      </c>
      <c r="P58" cm="1">
        <f t="array" ref="P58">MAX(IF((OutputTable[GroupByKey]=OutputTable[[#This Row],[GroupByKey]]),(OutputTable[GroupByKey]=OutputTable[[#This Row],[GroupByKey]])*OutputTable[RecordedValue]))</f>
        <v>103</v>
      </c>
    </row>
    <row r="59" spans="1:16" x14ac:dyDescent="0.3">
      <c r="A59" t="s">
        <v>66</v>
      </c>
      <c r="B59" t="s">
        <v>68</v>
      </c>
      <c r="C59">
        <v>12</v>
      </c>
      <c r="D59" t="s">
        <v>95</v>
      </c>
      <c r="E59" t="s">
        <v>96</v>
      </c>
      <c r="F59" t="s">
        <v>83</v>
      </c>
      <c r="G59">
        <v>84</v>
      </c>
      <c r="H59">
        <v>0</v>
      </c>
      <c r="I5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30</v>
      </c>
      <c r="K59" cm="1">
        <f t="array" ref="K59">IFERROR(AVERAGE(IF((OutputTable[GroupByKey]=OutputTable[[#This Row],[GroupByKey]]),(OutputTable[GroupByKey]=OutputTable[[#This Row],[GroupByKey]])*OutputTable[RecordedValue])),0)</f>
        <v>89.733333333333334</v>
      </c>
      <c r="L59" cm="1">
        <f t="array" ref="L59">IFERROR(_xlfn.STDEV.S(IF((OutputTable[GroupByKey]=OutputTable[[#This Row],[GroupByKey]]),(OutputTable[GroupByKey]=OutputTable[[#This Row],[GroupByKey]])*OutputTable[RecordedValue])),0)</f>
        <v>8.0212361818523625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59" cm="1">
        <f t="array" ref="O59">MIN(IF((OutputTable[GroupByKey]=OutputTable[[#This Row],[GroupByKey]]),(OutputTable[GroupByKey]=OutputTable[[#This Row],[GroupByKey]])*OutputTable[RecordedValue]))</f>
        <v>71</v>
      </c>
      <c r="P59" cm="1">
        <f t="array" ref="P59">MAX(IF((OutputTable[GroupByKey]=OutputTable[[#This Row],[GroupByKey]]),(OutputTable[GroupByKey]=OutputTable[[#This Row],[GroupByKey]])*OutputTable[RecordedValue]))</f>
        <v>103</v>
      </c>
    </row>
    <row r="60" spans="1:16" x14ac:dyDescent="0.3">
      <c r="A60" t="s">
        <v>66</v>
      </c>
      <c r="B60" t="s">
        <v>68</v>
      </c>
      <c r="C60">
        <v>12</v>
      </c>
      <c r="D60" t="s">
        <v>97</v>
      </c>
      <c r="E60" t="s">
        <v>98</v>
      </c>
      <c r="F60" t="s">
        <v>83</v>
      </c>
      <c r="G60">
        <v>0.31648513473560702</v>
      </c>
      <c r="H60">
        <v>0</v>
      </c>
      <c r="I6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30</v>
      </c>
      <c r="K60" cm="1">
        <f t="array" ref="K60">IFERROR(AVERAGE(IF((OutputTable[GroupByKey]=OutputTable[[#This Row],[GroupByKey]]),(OutputTable[GroupByKey]=OutputTable[[#This Row],[GroupByKey]])*OutputTable[RecordedValue])),0)</f>
        <v>0.34420349255945865</v>
      </c>
      <c r="L60" cm="1">
        <f t="array" ref="L60">IFERROR(_xlfn.STDEV.S(IF((OutputTable[GroupByKey]=OutputTable[[#This Row],[GroupByKey]]),(OutputTable[GroupByKey]=OutputTable[[#This Row],[GroupByKey]])*OutputTable[RecordedValue])),0)</f>
        <v>4.5304829879571427E-2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60" cm="1">
        <f t="array" ref="O60">MIN(IF((OutputTable[GroupByKey]=OutputTable[[#This Row],[GroupByKey]]),(OutputTable[GroupByKey]=OutputTable[[#This Row],[GroupByKey]])*OutputTable[RecordedValue]))</f>
        <v>0.24637585883753399</v>
      </c>
      <c r="P60" cm="1">
        <f t="array" ref="P60">MAX(IF((OutputTable[GroupByKey]=OutputTable[[#This Row],[GroupByKey]]),(OutputTable[GroupByKey]=OutputTable[[#This Row],[GroupByKey]])*OutputTable[RecordedValue]))</f>
        <v>0.43753875749565602</v>
      </c>
    </row>
    <row r="61" spans="1:16" x14ac:dyDescent="0.3">
      <c r="A61" t="s">
        <v>66</v>
      </c>
      <c r="B61" t="s">
        <v>68</v>
      </c>
      <c r="C61">
        <v>12</v>
      </c>
      <c r="D61" t="s">
        <v>99</v>
      </c>
      <c r="E61" t="s">
        <v>94</v>
      </c>
      <c r="F61" t="s">
        <v>100</v>
      </c>
      <c r="G61">
        <v>84</v>
      </c>
      <c r="H61">
        <v>0</v>
      </c>
      <c r="I61" t="str">
        <f>OutputTable[[#This Row],[ProjectName]]&amp;OutputTable[[#This Row],[Name]]&amp;OutputTable[[#This Row],[Type]]&amp;OutputTable[[#This Row],[Source]]</f>
        <v>Unnamed ProjectSystem.NumberOutNumber OutSystem</v>
      </c>
      <c r="J61" cm="1">
        <f t="array" ref="J61">MAX(IF((ProjectInfoTable[ProjectName]=OutputTable[[#This Row],[ProjectName]]),(ProjectInfoTable[ProjectName]=OutputTable[[#This Row],[ProjectName]])*ProjectInfoTable[NumberOfReplications]))</f>
        <v>30</v>
      </c>
      <c r="K61" cm="1">
        <f t="array" ref="K61">IFERROR(AVERAGE(IF((OutputTable[GroupByKey]=OutputTable[[#This Row],[GroupByKey]]),(OutputTable[GroupByKey]=OutputTable[[#This Row],[GroupByKey]])*OutputTable[RecordedValue])),0)</f>
        <v>89.166666666666671</v>
      </c>
      <c r="L61" cm="1">
        <f t="array" ref="L61">IFERROR(_xlfn.STDEV.S(IF((OutputTable[GroupByKey]=OutputTable[[#This Row],[GroupByKey]]),(OutputTable[GroupByKey]=OutputTable[[#This Row],[GroupByKey]])*OutputTable[RecordedValue])),0)</f>
        <v>7.9658033485961566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61" cm="1">
        <f t="array" ref="O61">MIN(IF((OutputTable[GroupByKey]=OutputTable[[#This Row],[GroupByKey]]),(OutputTable[GroupByKey]=OutputTable[[#This Row],[GroupByKey]])*OutputTable[RecordedValue]))</f>
        <v>70</v>
      </c>
      <c r="P61" cm="1">
        <f t="array" ref="P61">MAX(IF((OutputTable[GroupByKey]=OutputTable[[#This Row],[GroupByKey]]),(OutputTable[GroupByKey]=OutputTable[[#This Row],[GroupByKey]])*OutputTable[RecordedValue]))</f>
        <v>103</v>
      </c>
    </row>
    <row r="62" spans="1:16" x14ac:dyDescent="0.3">
      <c r="A62" t="s">
        <v>66</v>
      </c>
      <c r="B62" t="s">
        <v>68</v>
      </c>
      <c r="C62">
        <v>13</v>
      </c>
      <c r="D62" t="s">
        <v>91</v>
      </c>
      <c r="E62" t="s">
        <v>92</v>
      </c>
      <c r="F62" t="s">
        <v>71</v>
      </c>
      <c r="G62">
        <v>92</v>
      </c>
      <c r="H62">
        <v>0</v>
      </c>
      <c r="I62" t="str">
        <f>OutputTable[[#This Row],[ProjectName]]&amp;OutputTable[[#This Row],[Name]]&amp;OutputTable[[#This Row],[Type]]&amp;OutputTable[[#This Row],[Source]]</f>
        <v>Unnamed ProjectCustomer.NumberInNumber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30</v>
      </c>
      <c r="K62" cm="1">
        <f t="array" ref="K62">IFERROR(AVERAGE(IF((OutputTable[GroupByKey]=OutputTable[[#This Row],[GroupByKey]]),(OutputTable[GroupByKey]=OutputTable[[#This Row],[GroupByKey]])*OutputTable[RecordedValue])),0)</f>
        <v>89.733333333333334</v>
      </c>
      <c r="L62" cm="1">
        <f t="array" ref="L62">IFERROR(_xlfn.STDEV.S(IF((OutputTable[GroupByKey]=OutputTable[[#This Row],[GroupByKey]]),(OutputTable[GroupByKey]=OutputTable[[#This Row],[GroupByKey]])*OutputTable[RecordedValue])),0)</f>
        <v>8.0212361818523625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62" cm="1">
        <f t="array" ref="O62">MIN(IF((OutputTable[GroupByKey]=OutputTable[[#This Row],[GroupByKey]]),(OutputTable[GroupByKey]=OutputTable[[#This Row],[GroupByKey]])*OutputTable[RecordedValue]))</f>
        <v>71</v>
      </c>
      <c r="P62" cm="1">
        <f t="array" ref="P62">MAX(IF((OutputTable[GroupByKey]=OutputTable[[#This Row],[GroupByKey]]),(OutputTable[GroupByKey]=OutputTable[[#This Row],[GroupByKey]])*OutputTable[RecordedValue]))</f>
        <v>103</v>
      </c>
    </row>
    <row r="63" spans="1:16" x14ac:dyDescent="0.3">
      <c r="A63" t="s">
        <v>66</v>
      </c>
      <c r="B63" t="s">
        <v>68</v>
      </c>
      <c r="C63">
        <v>13</v>
      </c>
      <c r="D63" t="s">
        <v>93</v>
      </c>
      <c r="E63" t="s">
        <v>94</v>
      </c>
      <c r="F63" t="s">
        <v>71</v>
      </c>
      <c r="G63">
        <v>92</v>
      </c>
      <c r="H63">
        <v>0</v>
      </c>
      <c r="I63" t="str">
        <f>OutputTable[[#This Row],[ProjectName]]&amp;OutputTable[[#This Row],[Name]]&amp;OutputTable[[#This Row],[Type]]&amp;OutputTable[[#This Row],[Source]]</f>
        <v>Unnamed ProjectCustomer.NumberOutNumber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30</v>
      </c>
      <c r="K63" cm="1">
        <f t="array" ref="K63">IFERROR(AVERAGE(IF((OutputTable[GroupByKey]=OutputTable[[#This Row],[GroupByKey]]),(OutputTable[GroupByKey]=OutputTable[[#This Row],[GroupByKey]])*OutputTable[RecordedValue])),0)</f>
        <v>89.166666666666671</v>
      </c>
      <c r="L63" cm="1">
        <f t="array" ref="L63">IFERROR(_xlfn.STDEV.S(IF((OutputTable[GroupByKey]=OutputTable[[#This Row],[GroupByKey]]),(OutputTable[GroupByKey]=OutputTable[[#This Row],[GroupByKey]])*OutputTable[RecordedValue])),0)</f>
        <v>7.9658033485961566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63" cm="1">
        <f t="array" ref="O63">MIN(IF((OutputTable[GroupByKey]=OutputTable[[#This Row],[GroupByKey]]),(OutputTable[GroupByKey]=OutputTable[[#This Row],[GroupByKey]])*OutputTable[RecordedValue]))</f>
        <v>70</v>
      </c>
      <c r="P63" cm="1">
        <f t="array" ref="P63">MAX(IF((OutputTable[GroupByKey]=OutputTable[[#This Row],[GroupByKey]]),(OutputTable[GroupByKey]=OutputTable[[#This Row],[GroupByKey]])*OutputTable[RecordedValue]))</f>
        <v>103</v>
      </c>
    </row>
    <row r="64" spans="1:16" x14ac:dyDescent="0.3">
      <c r="A64" t="s">
        <v>66</v>
      </c>
      <c r="B64" t="s">
        <v>68</v>
      </c>
      <c r="C64">
        <v>13</v>
      </c>
      <c r="D64" t="s">
        <v>95</v>
      </c>
      <c r="E64" t="s">
        <v>96</v>
      </c>
      <c r="F64" t="s">
        <v>83</v>
      </c>
      <c r="G64">
        <v>92</v>
      </c>
      <c r="H64">
        <v>0</v>
      </c>
      <c r="I6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30</v>
      </c>
      <c r="K64" cm="1">
        <f t="array" ref="K64">IFERROR(AVERAGE(IF((OutputTable[GroupByKey]=OutputTable[[#This Row],[GroupByKey]]),(OutputTable[GroupByKey]=OutputTable[[#This Row],[GroupByKey]])*OutputTable[RecordedValue])),0)</f>
        <v>89.733333333333334</v>
      </c>
      <c r="L64" cm="1">
        <f t="array" ref="L64">IFERROR(_xlfn.STDEV.S(IF((OutputTable[GroupByKey]=OutputTable[[#This Row],[GroupByKey]]),(OutputTable[GroupByKey]=OutputTable[[#This Row],[GroupByKey]])*OutputTable[RecordedValue])),0)</f>
        <v>8.0212361818523625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64" cm="1">
        <f t="array" ref="O64">MIN(IF((OutputTable[GroupByKey]=OutputTable[[#This Row],[GroupByKey]]),(OutputTable[GroupByKey]=OutputTable[[#This Row],[GroupByKey]])*OutputTable[RecordedValue]))</f>
        <v>71</v>
      </c>
      <c r="P64" cm="1">
        <f t="array" ref="P64">MAX(IF((OutputTable[GroupByKey]=OutputTable[[#This Row],[GroupByKey]]),(OutputTable[GroupByKey]=OutputTable[[#This Row],[GroupByKey]])*OutputTable[RecordedValue]))</f>
        <v>103</v>
      </c>
    </row>
    <row r="65" spans="1:16" x14ac:dyDescent="0.3">
      <c r="A65" t="s">
        <v>66</v>
      </c>
      <c r="B65" t="s">
        <v>68</v>
      </c>
      <c r="C65">
        <v>13</v>
      </c>
      <c r="D65" t="s">
        <v>97</v>
      </c>
      <c r="E65" t="s">
        <v>98</v>
      </c>
      <c r="F65" t="s">
        <v>83</v>
      </c>
      <c r="G65">
        <v>0.36324191265556199</v>
      </c>
      <c r="H65">
        <v>0</v>
      </c>
      <c r="I6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30</v>
      </c>
      <c r="K65" cm="1">
        <f t="array" ref="K65">IFERROR(AVERAGE(IF((OutputTable[GroupByKey]=OutputTable[[#This Row],[GroupByKey]]),(OutputTable[GroupByKey]=OutputTable[[#This Row],[GroupByKey]])*OutputTable[RecordedValue])),0)</f>
        <v>0.34420349255945865</v>
      </c>
      <c r="L65" cm="1">
        <f t="array" ref="L65">IFERROR(_xlfn.STDEV.S(IF((OutputTable[GroupByKey]=OutputTable[[#This Row],[GroupByKey]]),(OutputTable[GroupByKey]=OutputTable[[#This Row],[GroupByKey]])*OutputTable[RecordedValue])),0)</f>
        <v>4.5304829879571427E-2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65" cm="1">
        <f t="array" ref="O65">MIN(IF((OutputTable[GroupByKey]=OutputTable[[#This Row],[GroupByKey]]),(OutputTable[GroupByKey]=OutputTable[[#This Row],[GroupByKey]])*OutputTable[RecordedValue]))</f>
        <v>0.24637585883753399</v>
      </c>
      <c r="P65" cm="1">
        <f t="array" ref="P65">MAX(IF((OutputTable[GroupByKey]=OutputTable[[#This Row],[GroupByKey]]),(OutputTable[GroupByKey]=OutputTable[[#This Row],[GroupByKey]])*OutputTable[RecordedValue]))</f>
        <v>0.43753875749565602</v>
      </c>
    </row>
    <row r="66" spans="1:16" x14ac:dyDescent="0.3">
      <c r="A66" t="s">
        <v>66</v>
      </c>
      <c r="B66" t="s">
        <v>68</v>
      </c>
      <c r="C66">
        <v>13</v>
      </c>
      <c r="D66" t="s">
        <v>99</v>
      </c>
      <c r="E66" t="s">
        <v>94</v>
      </c>
      <c r="F66" t="s">
        <v>100</v>
      </c>
      <c r="G66">
        <v>92</v>
      </c>
      <c r="H66">
        <v>0</v>
      </c>
      <c r="I66" t="str">
        <f>OutputTable[[#This Row],[ProjectName]]&amp;OutputTable[[#This Row],[Name]]&amp;OutputTable[[#This Row],[Type]]&amp;OutputTable[[#This Row],[Source]]</f>
        <v>Unnamed ProjectSystem.NumberOutNumber OutSystem</v>
      </c>
      <c r="J66" cm="1">
        <f t="array" ref="J66">MAX(IF((ProjectInfoTable[ProjectName]=OutputTable[[#This Row],[ProjectName]]),(ProjectInfoTable[ProjectName]=OutputTable[[#This Row],[ProjectName]])*ProjectInfoTable[NumberOfReplications]))</f>
        <v>30</v>
      </c>
      <c r="K66" cm="1">
        <f t="array" ref="K66">IFERROR(AVERAGE(IF((OutputTable[GroupByKey]=OutputTable[[#This Row],[GroupByKey]]),(OutputTable[GroupByKey]=OutputTable[[#This Row],[GroupByKey]])*OutputTable[RecordedValue])),0)</f>
        <v>89.166666666666671</v>
      </c>
      <c r="L66" cm="1">
        <f t="array" ref="L66">IFERROR(_xlfn.STDEV.S(IF((OutputTable[GroupByKey]=OutputTable[[#This Row],[GroupByKey]]),(OutputTable[GroupByKey]=OutputTable[[#This Row],[GroupByKey]])*OutputTable[RecordedValue])),0)</f>
        <v>7.9658033485961566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66" cm="1">
        <f t="array" ref="O66">MIN(IF((OutputTable[GroupByKey]=OutputTable[[#This Row],[GroupByKey]]),(OutputTable[GroupByKey]=OutputTable[[#This Row],[GroupByKey]])*OutputTable[RecordedValue]))</f>
        <v>70</v>
      </c>
      <c r="P66" cm="1">
        <f t="array" ref="P66">MAX(IF((OutputTable[GroupByKey]=OutputTable[[#This Row],[GroupByKey]]),(OutputTable[GroupByKey]=OutputTable[[#This Row],[GroupByKey]])*OutputTable[RecordedValue]))</f>
        <v>103</v>
      </c>
    </row>
    <row r="67" spans="1:16" x14ac:dyDescent="0.3">
      <c r="A67" t="s">
        <v>66</v>
      </c>
      <c r="B67" t="s">
        <v>68</v>
      </c>
      <c r="C67">
        <v>14</v>
      </c>
      <c r="D67" t="s">
        <v>91</v>
      </c>
      <c r="E67" t="s">
        <v>92</v>
      </c>
      <c r="F67" t="s">
        <v>71</v>
      </c>
      <c r="G67">
        <v>94</v>
      </c>
      <c r="H67">
        <v>0</v>
      </c>
      <c r="I67" t="str">
        <f>OutputTable[[#This Row],[ProjectName]]&amp;OutputTable[[#This Row],[Name]]&amp;OutputTable[[#This Row],[Type]]&amp;OutputTable[[#This Row],[Source]]</f>
        <v>Unnamed ProjectCustomer.NumberInNumber InEntity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30</v>
      </c>
      <c r="K67" cm="1">
        <f t="array" ref="K67">IFERROR(AVERAGE(IF((OutputTable[GroupByKey]=OutputTable[[#This Row],[GroupByKey]]),(OutputTable[GroupByKey]=OutputTable[[#This Row],[GroupByKey]])*OutputTable[RecordedValue])),0)</f>
        <v>89.733333333333334</v>
      </c>
      <c r="L67" cm="1">
        <f t="array" ref="L67">IFERROR(_xlfn.STDEV.S(IF((OutputTable[GroupByKey]=OutputTable[[#This Row],[GroupByKey]]),(OutputTable[GroupByKey]=OutputTable[[#This Row],[GroupByKey]])*OutputTable[RecordedValue])),0)</f>
        <v>8.0212361818523625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67" cm="1">
        <f t="array" ref="O67">MIN(IF((OutputTable[GroupByKey]=OutputTable[[#This Row],[GroupByKey]]),(OutputTable[GroupByKey]=OutputTable[[#This Row],[GroupByKey]])*OutputTable[RecordedValue]))</f>
        <v>71</v>
      </c>
      <c r="P67" cm="1">
        <f t="array" ref="P67">MAX(IF((OutputTable[GroupByKey]=OutputTable[[#This Row],[GroupByKey]]),(OutputTable[GroupByKey]=OutputTable[[#This Row],[GroupByKey]])*OutputTable[RecordedValue]))</f>
        <v>103</v>
      </c>
    </row>
    <row r="68" spans="1:16" x14ac:dyDescent="0.3">
      <c r="A68" t="s">
        <v>66</v>
      </c>
      <c r="B68" t="s">
        <v>68</v>
      </c>
      <c r="C68">
        <v>14</v>
      </c>
      <c r="D68" t="s">
        <v>93</v>
      </c>
      <c r="E68" t="s">
        <v>94</v>
      </c>
      <c r="F68" t="s">
        <v>71</v>
      </c>
      <c r="G68">
        <v>94</v>
      </c>
      <c r="H68">
        <v>0</v>
      </c>
      <c r="I68" t="str">
        <f>OutputTable[[#This Row],[ProjectName]]&amp;OutputTable[[#This Row],[Name]]&amp;OutputTable[[#This Row],[Type]]&amp;OutputTable[[#This Row],[Source]]</f>
        <v>Unnamed ProjectCustomer.NumberOutNumber OutEntity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30</v>
      </c>
      <c r="K68" cm="1">
        <f t="array" ref="K68">IFERROR(AVERAGE(IF((OutputTable[GroupByKey]=OutputTable[[#This Row],[GroupByKey]]),(OutputTable[GroupByKey]=OutputTable[[#This Row],[GroupByKey]])*OutputTable[RecordedValue])),0)</f>
        <v>89.166666666666671</v>
      </c>
      <c r="L68" cm="1">
        <f t="array" ref="L68">IFERROR(_xlfn.STDEV.S(IF((OutputTable[GroupByKey]=OutputTable[[#This Row],[GroupByKey]]),(OutputTable[GroupByKey]=OutputTable[[#This Row],[GroupByKey]])*OutputTable[RecordedValue])),0)</f>
        <v>7.9658033485961566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68" cm="1">
        <f t="array" ref="O68">MIN(IF((OutputTable[GroupByKey]=OutputTable[[#This Row],[GroupByKey]]),(OutputTable[GroupByKey]=OutputTable[[#This Row],[GroupByKey]])*OutputTable[RecordedValue]))</f>
        <v>70</v>
      </c>
      <c r="P68" cm="1">
        <f t="array" ref="P68">MAX(IF((OutputTable[GroupByKey]=OutputTable[[#This Row],[GroupByKey]]),(OutputTable[GroupByKey]=OutputTable[[#This Row],[GroupByKey]])*OutputTable[RecordedValue]))</f>
        <v>103</v>
      </c>
    </row>
    <row r="69" spans="1:16" x14ac:dyDescent="0.3">
      <c r="A69" t="s">
        <v>66</v>
      </c>
      <c r="B69" t="s">
        <v>68</v>
      </c>
      <c r="C69">
        <v>14</v>
      </c>
      <c r="D69" t="s">
        <v>95</v>
      </c>
      <c r="E69" t="s">
        <v>96</v>
      </c>
      <c r="F69" t="s">
        <v>83</v>
      </c>
      <c r="G69">
        <v>94</v>
      </c>
      <c r="H69">
        <v>0</v>
      </c>
      <c r="I6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30</v>
      </c>
      <c r="K69" cm="1">
        <f t="array" ref="K69">IFERROR(AVERAGE(IF((OutputTable[GroupByKey]=OutputTable[[#This Row],[GroupByKey]]),(OutputTable[GroupByKey]=OutputTable[[#This Row],[GroupByKey]])*OutputTable[RecordedValue])),0)</f>
        <v>89.733333333333334</v>
      </c>
      <c r="L69" cm="1">
        <f t="array" ref="L69">IFERROR(_xlfn.STDEV.S(IF((OutputTable[GroupByKey]=OutputTable[[#This Row],[GroupByKey]]),(OutputTable[GroupByKey]=OutputTable[[#This Row],[GroupByKey]])*OutputTable[RecordedValue])),0)</f>
        <v>8.0212361818523625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69" cm="1">
        <f t="array" ref="O69">MIN(IF((OutputTable[GroupByKey]=OutputTable[[#This Row],[GroupByKey]]),(OutputTable[GroupByKey]=OutputTable[[#This Row],[GroupByKey]])*OutputTable[RecordedValue]))</f>
        <v>71</v>
      </c>
      <c r="P69" cm="1">
        <f t="array" ref="P69">MAX(IF((OutputTable[GroupByKey]=OutputTable[[#This Row],[GroupByKey]]),(OutputTable[GroupByKey]=OutputTable[[#This Row],[GroupByKey]])*OutputTable[RecordedValue]))</f>
        <v>103</v>
      </c>
    </row>
    <row r="70" spans="1:16" x14ac:dyDescent="0.3">
      <c r="A70" t="s">
        <v>66</v>
      </c>
      <c r="B70" t="s">
        <v>68</v>
      </c>
      <c r="C70">
        <v>14</v>
      </c>
      <c r="D70" t="s">
        <v>97</v>
      </c>
      <c r="E70" t="s">
        <v>98</v>
      </c>
      <c r="F70" t="s">
        <v>83</v>
      </c>
      <c r="G70">
        <v>0.34109498428740198</v>
      </c>
      <c r="H70">
        <v>0</v>
      </c>
      <c r="I7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30</v>
      </c>
      <c r="K70" cm="1">
        <f t="array" ref="K70">IFERROR(AVERAGE(IF((OutputTable[GroupByKey]=OutputTable[[#This Row],[GroupByKey]]),(OutputTable[GroupByKey]=OutputTable[[#This Row],[GroupByKey]])*OutputTable[RecordedValue])),0)</f>
        <v>0.34420349255945865</v>
      </c>
      <c r="L70" cm="1">
        <f t="array" ref="L70">IFERROR(_xlfn.STDEV.S(IF((OutputTable[GroupByKey]=OutputTable[[#This Row],[GroupByKey]]),(OutputTable[GroupByKey]=OutputTable[[#This Row],[GroupByKey]])*OutputTable[RecordedValue])),0)</f>
        <v>4.5304829879571427E-2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70" cm="1">
        <f t="array" ref="O70">MIN(IF((OutputTable[GroupByKey]=OutputTable[[#This Row],[GroupByKey]]),(OutputTable[GroupByKey]=OutputTable[[#This Row],[GroupByKey]])*OutputTable[RecordedValue]))</f>
        <v>0.24637585883753399</v>
      </c>
      <c r="P70" cm="1">
        <f t="array" ref="P70">MAX(IF((OutputTable[GroupByKey]=OutputTable[[#This Row],[GroupByKey]]),(OutputTable[GroupByKey]=OutputTable[[#This Row],[GroupByKey]])*OutputTable[RecordedValue]))</f>
        <v>0.43753875749565602</v>
      </c>
    </row>
    <row r="71" spans="1:16" x14ac:dyDescent="0.3">
      <c r="A71" t="s">
        <v>66</v>
      </c>
      <c r="B71" t="s">
        <v>68</v>
      </c>
      <c r="C71">
        <v>14</v>
      </c>
      <c r="D71" t="s">
        <v>99</v>
      </c>
      <c r="E71" t="s">
        <v>94</v>
      </c>
      <c r="F71" t="s">
        <v>100</v>
      </c>
      <c r="G71">
        <v>94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30</v>
      </c>
      <c r="K71" cm="1">
        <f t="array" ref="K71">IFERROR(AVERAGE(IF((OutputTable[GroupByKey]=OutputTable[[#This Row],[GroupByKey]]),(OutputTable[GroupByKey]=OutputTable[[#This Row],[GroupByKey]])*OutputTable[RecordedValue])),0)</f>
        <v>89.166666666666671</v>
      </c>
      <c r="L71" cm="1">
        <f t="array" ref="L71">IFERROR(_xlfn.STDEV.S(IF((OutputTable[GroupByKey]=OutputTable[[#This Row],[GroupByKey]]),(OutputTable[GroupByKey]=OutputTable[[#This Row],[GroupByKey]])*OutputTable[RecordedValue])),0)</f>
        <v>7.9658033485961566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71" cm="1">
        <f t="array" ref="O71">MIN(IF((OutputTable[GroupByKey]=OutputTable[[#This Row],[GroupByKey]]),(OutputTable[GroupByKey]=OutputTable[[#This Row],[GroupByKey]])*OutputTable[RecordedValue]))</f>
        <v>70</v>
      </c>
      <c r="P71" cm="1">
        <f t="array" ref="P71">MAX(IF((OutputTable[GroupByKey]=OutputTable[[#This Row],[GroupByKey]]),(OutputTable[GroupByKey]=OutputTable[[#This Row],[GroupByKey]])*OutputTable[RecordedValue]))</f>
        <v>103</v>
      </c>
    </row>
    <row r="72" spans="1:16" x14ac:dyDescent="0.3">
      <c r="A72" t="s">
        <v>66</v>
      </c>
      <c r="B72" t="s">
        <v>68</v>
      </c>
      <c r="C72">
        <v>15</v>
      </c>
      <c r="D72" t="s">
        <v>91</v>
      </c>
      <c r="E72" t="s">
        <v>92</v>
      </c>
      <c r="F72" t="s">
        <v>71</v>
      </c>
      <c r="G72">
        <v>86</v>
      </c>
      <c r="H72">
        <v>0</v>
      </c>
      <c r="I72" t="str">
        <f>OutputTable[[#This Row],[ProjectName]]&amp;OutputTable[[#This Row],[Name]]&amp;OutputTable[[#This Row],[Type]]&amp;OutputTable[[#This Row],[Source]]</f>
        <v>Unnamed ProjectCustomer.NumberInNumber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30</v>
      </c>
      <c r="K72" cm="1">
        <f t="array" ref="K72">IFERROR(AVERAGE(IF((OutputTable[GroupByKey]=OutputTable[[#This Row],[GroupByKey]]),(OutputTable[GroupByKey]=OutputTable[[#This Row],[GroupByKey]])*OutputTable[RecordedValue])),0)</f>
        <v>89.733333333333334</v>
      </c>
      <c r="L72" cm="1">
        <f t="array" ref="L72">IFERROR(_xlfn.STDEV.S(IF((OutputTable[GroupByKey]=OutputTable[[#This Row],[GroupByKey]]),(OutputTable[GroupByKey]=OutputTable[[#This Row],[GroupByKey]])*OutputTable[RecordedValue])),0)</f>
        <v>8.0212361818523625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72" cm="1">
        <f t="array" ref="O72">MIN(IF((OutputTable[GroupByKey]=OutputTable[[#This Row],[GroupByKey]]),(OutputTable[GroupByKey]=OutputTable[[#This Row],[GroupByKey]])*OutputTable[RecordedValue]))</f>
        <v>71</v>
      </c>
      <c r="P72" cm="1">
        <f t="array" ref="P72">MAX(IF((OutputTable[GroupByKey]=OutputTable[[#This Row],[GroupByKey]]),(OutputTable[GroupByKey]=OutputTable[[#This Row],[GroupByKey]])*OutputTable[RecordedValue]))</f>
        <v>103</v>
      </c>
    </row>
    <row r="73" spans="1:16" x14ac:dyDescent="0.3">
      <c r="A73" t="s">
        <v>66</v>
      </c>
      <c r="B73" t="s">
        <v>68</v>
      </c>
      <c r="C73">
        <v>15</v>
      </c>
      <c r="D73" t="s">
        <v>93</v>
      </c>
      <c r="E73" t="s">
        <v>94</v>
      </c>
      <c r="F73" t="s">
        <v>71</v>
      </c>
      <c r="G73">
        <v>86</v>
      </c>
      <c r="H73">
        <v>0</v>
      </c>
      <c r="I73" t="str">
        <f>OutputTable[[#This Row],[ProjectName]]&amp;OutputTable[[#This Row],[Name]]&amp;OutputTable[[#This Row],[Type]]&amp;OutputTable[[#This Row],[Source]]</f>
        <v>Unnamed ProjectCustomer.NumberOutNumber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30</v>
      </c>
      <c r="K73" cm="1">
        <f t="array" ref="K73">IFERROR(AVERAGE(IF((OutputTable[GroupByKey]=OutputTable[[#This Row],[GroupByKey]]),(OutputTable[GroupByKey]=OutputTable[[#This Row],[GroupByKey]])*OutputTable[RecordedValue])),0)</f>
        <v>89.166666666666671</v>
      </c>
      <c r="L73" cm="1">
        <f t="array" ref="L73">IFERROR(_xlfn.STDEV.S(IF((OutputTable[GroupByKey]=OutputTable[[#This Row],[GroupByKey]]),(OutputTable[GroupByKey]=OutputTable[[#This Row],[GroupByKey]])*OutputTable[RecordedValue])),0)</f>
        <v>7.9658033485961566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73" cm="1">
        <f t="array" ref="O73">MIN(IF((OutputTable[GroupByKey]=OutputTable[[#This Row],[GroupByKey]]),(OutputTable[GroupByKey]=OutputTable[[#This Row],[GroupByKey]])*OutputTable[RecordedValue]))</f>
        <v>70</v>
      </c>
      <c r="P73" cm="1">
        <f t="array" ref="P73">MAX(IF((OutputTable[GroupByKey]=OutputTable[[#This Row],[GroupByKey]]),(OutputTable[GroupByKey]=OutputTable[[#This Row],[GroupByKey]])*OutputTable[RecordedValue]))</f>
        <v>103</v>
      </c>
    </row>
    <row r="74" spans="1:16" x14ac:dyDescent="0.3">
      <c r="A74" t="s">
        <v>66</v>
      </c>
      <c r="B74" t="s">
        <v>68</v>
      </c>
      <c r="C74">
        <v>15</v>
      </c>
      <c r="D74" t="s">
        <v>95</v>
      </c>
      <c r="E74" t="s">
        <v>96</v>
      </c>
      <c r="F74" t="s">
        <v>83</v>
      </c>
      <c r="G74">
        <v>86</v>
      </c>
      <c r="H74">
        <v>0</v>
      </c>
      <c r="I7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30</v>
      </c>
      <c r="K74" cm="1">
        <f t="array" ref="K74">IFERROR(AVERAGE(IF((OutputTable[GroupByKey]=OutputTable[[#This Row],[GroupByKey]]),(OutputTable[GroupByKey]=OutputTable[[#This Row],[GroupByKey]])*OutputTable[RecordedValue])),0)</f>
        <v>89.733333333333334</v>
      </c>
      <c r="L74" cm="1">
        <f t="array" ref="L74">IFERROR(_xlfn.STDEV.S(IF((OutputTable[GroupByKey]=OutputTable[[#This Row],[GroupByKey]]),(OutputTable[GroupByKey]=OutputTable[[#This Row],[GroupByKey]])*OutputTable[RecordedValue])),0)</f>
        <v>8.0212361818523625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74" cm="1">
        <f t="array" ref="O74">MIN(IF((OutputTable[GroupByKey]=OutputTable[[#This Row],[GroupByKey]]),(OutputTable[GroupByKey]=OutputTable[[#This Row],[GroupByKey]])*OutputTable[RecordedValue]))</f>
        <v>71</v>
      </c>
      <c r="P74" cm="1">
        <f t="array" ref="P74">MAX(IF((OutputTable[GroupByKey]=OutputTable[[#This Row],[GroupByKey]]),(OutputTable[GroupByKey]=OutputTable[[#This Row],[GroupByKey]])*OutputTable[RecordedValue]))</f>
        <v>103</v>
      </c>
    </row>
    <row r="75" spans="1:16" x14ac:dyDescent="0.3">
      <c r="A75" t="s">
        <v>66</v>
      </c>
      <c r="B75" t="s">
        <v>68</v>
      </c>
      <c r="C75">
        <v>15</v>
      </c>
      <c r="D75" t="s">
        <v>97</v>
      </c>
      <c r="E75" t="s">
        <v>98</v>
      </c>
      <c r="F75" t="s">
        <v>83</v>
      </c>
      <c r="G75">
        <v>0.33032968943257102</v>
      </c>
      <c r="H75">
        <v>0</v>
      </c>
      <c r="I7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30</v>
      </c>
      <c r="K75" cm="1">
        <f t="array" ref="K75">IFERROR(AVERAGE(IF((OutputTable[GroupByKey]=OutputTable[[#This Row],[GroupByKey]]),(OutputTable[GroupByKey]=OutputTable[[#This Row],[GroupByKey]])*OutputTable[RecordedValue])),0)</f>
        <v>0.34420349255945865</v>
      </c>
      <c r="L75" cm="1">
        <f t="array" ref="L75">IFERROR(_xlfn.STDEV.S(IF((OutputTable[GroupByKey]=OutputTable[[#This Row],[GroupByKey]]),(OutputTable[GroupByKey]=OutputTable[[#This Row],[GroupByKey]])*OutputTable[RecordedValue])),0)</f>
        <v>4.5304829879571427E-2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75" cm="1">
        <f t="array" ref="O75">MIN(IF((OutputTable[GroupByKey]=OutputTable[[#This Row],[GroupByKey]]),(OutputTable[GroupByKey]=OutputTable[[#This Row],[GroupByKey]])*OutputTable[RecordedValue]))</f>
        <v>0.24637585883753399</v>
      </c>
      <c r="P75" cm="1">
        <f t="array" ref="P75">MAX(IF((OutputTable[GroupByKey]=OutputTable[[#This Row],[GroupByKey]]),(OutputTable[GroupByKey]=OutputTable[[#This Row],[GroupByKey]])*OutputTable[RecordedValue]))</f>
        <v>0.43753875749565602</v>
      </c>
    </row>
    <row r="76" spans="1:16" x14ac:dyDescent="0.3">
      <c r="A76" t="s">
        <v>66</v>
      </c>
      <c r="B76" t="s">
        <v>68</v>
      </c>
      <c r="C76">
        <v>15</v>
      </c>
      <c r="D76" t="s">
        <v>99</v>
      </c>
      <c r="E76" t="s">
        <v>94</v>
      </c>
      <c r="F76" t="s">
        <v>100</v>
      </c>
      <c r="G76">
        <v>86</v>
      </c>
      <c r="H76">
        <v>0</v>
      </c>
      <c r="I76" t="str">
        <f>OutputTable[[#This Row],[ProjectName]]&amp;OutputTable[[#This Row],[Name]]&amp;OutputTable[[#This Row],[Type]]&amp;OutputTable[[#This Row],[Source]]</f>
        <v>Unnamed ProjectSystem.NumberOutNumber OutSystem</v>
      </c>
      <c r="J76" cm="1">
        <f t="array" ref="J76">MAX(IF((ProjectInfoTable[ProjectName]=OutputTable[[#This Row],[ProjectName]]),(ProjectInfoTable[ProjectName]=OutputTable[[#This Row],[ProjectName]])*ProjectInfoTable[NumberOfReplications]))</f>
        <v>30</v>
      </c>
      <c r="K76" cm="1">
        <f t="array" ref="K76">IFERROR(AVERAGE(IF((OutputTable[GroupByKey]=OutputTable[[#This Row],[GroupByKey]]),(OutputTable[GroupByKey]=OutputTable[[#This Row],[GroupByKey]])*OutputTable[RecordedValue])),0)</f>
        <v>89.166666666666671</v>
      </c>
      <c r="L76" cm="1">
        <f t="array" ref="L76">IFERROR(_xlfn.STDEV.S(IF((OutputTable[GroupByKey]=OutputTable[[#This Row],[GroupByKey]]),(OutputTable[GroupByKey]=OutputTable[[#This Row],[GroupByKey]])*OutputTable[RecordedValue])),0)</f>
        <v>7.9658033485961566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76" cm="1">
        <f t="array" ref="O76">MIN(IF((OutputTable[GroupByKey]=OutputTable[[#This Row],[GroupByKey]]),(OutputTable[GroupByKey]=OutputTable[[#This Row],[GroupByKey]])*OutputTable[RecordedValue]))</f>
        <v>70</v>
      </c>
      <c r="P76" cm="1">
        <f t="array" ref="P76">MAX(IF((OutputTable[GroupByKey]=OutputTable[[#This Row],[GroupByKey]]),(OutputTable[GroupByKey]=OutputTable[[#This Row],[GroupByKey]])*OutputTable[RecordedValue]))</f>
        <v>103</v>
      </c>
    </row>
    <row r="77" spans="1:16" x14ac:dyDescent="0.3">
      <c r="A77" t="s">
        <v>66</v>
      </c>
      <c r="B77" t="s">
        <v>68</v>
      </c>
      <c r="C77">
        <v>16</v>
      </c>
      <c r="D77" t="s">
        <v>91</v>
      </c>
      <c r="E77" t="s">
        <v>92</v>
      </c>
      <c r="F77" t="s">
        <v>71</v>
      </c>
      <c r="G77">
        <v>93</v>
      </c>
      <c r="H77">
        <v>0</v>
      </c>
      <c r="I77" t="str">
        <f>OutputTable[[#This Row],[ProjectName]]&amp;OutputTable[[#This Row],[Name]]&amp;OutputTable[[#This Row],[Type]]&amp;OutputTable[[#This Row],[Source]]</f>
        <v>Unnamed ProjectCustomer.NumberInNumber InEntity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30</v>
      </c>
      <c r="K77" cm="1">
        <f t="array" ref="K77">IFERROR(AVERAGE(IF((OutputTable[GroupByKey]=OutputTable[[#This Row],[GroupByKey]]),(OutputTable[GroupByKey]=OutputTable[[#This Row],[GroupByKey]])*OutputTable[RecordedValue])),0)</f>
        <v>89.733333333333334</v>
      </c>
      <c r="L77" cm="1">
        <f t="array" ref="L77">IFERROR(_xlfn.STDEV.S(IF((OutputTable[GroupByKey]=OutputTable[[#This Row],[GroupByKey]]),(OutputTable[GroupByKey]=OutputTable[[#This Row],[GroupByKey]])*OutputTable[RecordedValue])),0)</f>
        <v>8.0212361818523625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77" cm="1">
        <f t="array" ref="O77">MIN(IF((OutputTable[GroupByKey]=OutputTable[[#This Row],[GroupByKey]]),(OutputTable[GroupByKey]=OutputTable[[#This Row],[GroupByKey]])*OutputTable[RecordedValue]))</f>
        <v>71</v>
      </c>
      <c r="P77" cm="1">
        <f t="array" ref="P77">MAX(IF((OutputTable[GroupByKey]=OutputTable[[#This Row],[GroupByKey]]),(OutputTable[GroupByKey]=OutputTable[[#This Row],[GroupByKey]])*OutputTable[RecordedValue]))</f>
        <v>103</v>
      </c>
    </row>
    <row r="78" spans="1:16" x14ac:dyDescent="0.3">
      <c r="A78" t="s">
        <v>66</v>
      </c>
      <c r="B78" t="s">
        <v>68</v>
      </c>
      <c r="C78">
        <v>16</v>
      </c>
      <c r="D78" t="s">
        <v>93</v>
      </c>
      <c r="E78" t="s">
        <v>94</v>
      </c>
      <c r="F78" t="s">
        <v>71</v>
      </c>
      <c r="G78">
        <v>92</v>
      </c>
      <c r="H78">
        <v>0</v>
      </c>
      <c r="I78" t="str">
        <f>OutputTable[[#This Row],[ProjectName]]&amp;OutputTable[[#This Row],[Name]]&amp;OutputTable[[#This Row],[Type]]&amp;OutputTable[[#This Row],[Source]]</f>
        <v>Unnamed ProjectCustomer.NumberOutNumber OutEntity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30</v>
      </c>
      <c r="K78" cm="1">
        <f t="array" ref="K78">IFERROR(AVERAGE(IF((OutputTable[GroupByKey]=OutputTable[[#This Row],[GroupByKey]]),(OutputTable[GroupByKey]=OutputTable[[#This Row],[GroupByKey]])*OutputTable[RecordedValue])),0)</f>
        <v>89.166666666666671</v>
      </c>
      <c r="L78" cm="1">
        <f t="array" ref="L78">IFERROR(_xlfn.STDEV.S(IF((OutputTable[GroupByKey]=OutputTable[[#This Row],[GroupByKey]]),(OutputTable[GroupByKey]=OutputTable[[#This Row],[GroupByKey]])*OutputTable[RecordedValue])),0)</f>
        <v>7.9658033485961566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78" cm="1">
        <f t="array" ref="O78">MIN(IF((OutputTable[GroupByKey]=OutputTable[[#This Row],[GroupByKey]]),(OutputTable[GroupByKey]=OutputTable[[#This Row],[GroupByKey]])*OutputTable[RecordedValue]))</f>
        <v>70</v>
      </c>
      <c r="P78" cm="1">
        <f t="array" ref="P78">MAX(IF((OutputTable[GroupByKey]=OutputTable[[#This Row],[GroupByKey]]),(OutputTable[GroupByKey]=OutputTable[[#This Row],[GroupByKey]])*OutputTable[RecordedValue]))</f>
        <v>103</v>
      </c>
    </row>
    <row r="79" spans="1:16" x14ac:dyDescent="0.3">
      <c r="A79" t="s">
        <v>66</v>
      </c>
      <c r="B79" t="s">
        <v>68</v>
      </c>
      <c r="C79">
        <v>16</v>
      </c>
      <c r="D79" t="s">
        <v>95</v>
      </c>
      <c r="E79" t="s">
        <v>96</v>
      </c>
      <c r="F79" t="s">
        <v>83</v>
      </c>
      <c r="G79">
        <v>93</v>
      </c>
      <c r="H79">
        <v>0</v>
      </c>
      <c r="I7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30</v>
      </c>
      <c r="K79" cm="1">
        <f t="array" ref="K79">IFERROR(AVERAGE(IF((OutputTable[GroupByKey]=OutputTable[[#This Row],[GroupByKey]]),(OutputTable[GroupByKey]=OutputTable[[#This Row],[GroupByKey]])*OutputTable[RecordedValue])),0)</f>
        <v>89.733333333333334</v>
      </c>
      <c r="L79" cm="1">
        <f t="array" ref="L79">IFERROR(_xlfn.STDEV.S(IF((OutputTable[GroupByKey]=OutputTable[[#This Row],[GroupByKey]]),(OutputTable[GroupByKey]=OutputTable[[#This Row],[GroupByKey]])*OutputTable[RecordedValue])),0)</f>
        <v>8.0212361818523625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79" cm="1">
        <f t="array" ref="O79">MIN(IF((OutputTable[GroupByKey]=OutputTable[[#This Row],[GroupByKey]]),(OutputTable[GroupByKey]=OutputTable[[#This Row],[GroupByKey]])*OutputTable[RecordedValue]))</f>
        <v>71</v>
      </c>
      <c r="P79" cm="1">
        <f t="array" ref="P79">MAX(IF((OutputTable[GroupByKey]=OutputTable[[#This Row],[GroupByKey]]),(OutputTable[GroupByKey]=OutputTable[[#This Row],[GroupByKey]])*OutputTable[RecordedValue]))</f>
        <v>103</v>
      </c>
    </row>
    <row r="80" spans="1:16" x14ac:dyDescent="0.3">
      <c r="A80" t="s">
        <v>66</v>
      </c>
      <c r="B80" t="s">
        <v>68</v>
      </c>
      <c r="C80">
        <v>16</v>
      </c>
      <c r="D80" t="s">
        <v>97</v>
      </c>
      <c r="E80" t="s">
        <v>98</v>
      </c>
      <c r="F80" t="s">
        <v>83</v>
      </c>
      <c r="G80">
        <v>0.43753875749565602</v>
      </c>
      <c r="H80">
        <v>0</v>
      </c>
      <c r="I8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30</v>
      </c>
      <c r="K80" cm="1">
        <f t="array" ref="K80">IFERROR(AVERAGE(IF((OutputTable[GroupByKey]=OutputTable[[#This Row],[GroupByKey]]),(OutputTable[GroupByKey]=OutputTable[[#This Row],[GroupByKey]])*OutputTable[RecordedValue])),0)</f>
        <v>0.34420349255945865</v>
      </c>
      <c r="L80" cm="1">
        <f t="array" ref="L80">IFERROR(_xlfn.STDEV.S(IF((OutputTable[GroupByKey]=OutputTable[[#This Row],[GroupByKey]]),(OutputTable[GroupByKey]=OutputTable[[#This Row],[GroupByKey]])*OutputTable[RecordedValue])),0)</f>
        <v>4.5304829879571427E-2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80" cm="1">
        <f t="array" ref="O80">MIN(IF((OutputTable[GroupByKey]=OutputTable[[#This Row],[GroupByKey]]),(OutputTable[GroupByKey]=OutputTable[[#This Row],[GroupByKey]])*OutputTable[RecordedValue]))</f>
        <v>0.24637585883753399</v>
      </c>
      <c r="P80" cm="1">
        <f t="array" ref="P80">MAX(IF((OutputTable[GroupByKey]=OutputTable[[#This Row],[GroupByKey]]),(OutputTable[GroupByKey]=OutputTable[[#This Row],[GroupByKey]])*OutputTable[RecordedValue]))</f>
        <v>0.43753875749565602</v>
      </c>
    </row>
    <row r="81" spans="1:16" x14ac:dyDescent="0.3">
      <c r="A81" t="s">
        <v>66</v>
      </c>
      <c r="B81" t="s">
        <v>68</v>
      </c>
      <c r="C81">
        <v>16</v>
      </c>
      <c r="D81" t="s">
        <v>99</v>
      </c>
      <c r="E81" t="s">
        <v>94</v>
      </c>
      <c r="F81" t="s">
        <v>100</v>
      </c>
      <c r="G81">
        <v>92</v>
      </c>
      <c r="H81">
        <v>0</v>
      </c>
      <c r="I81" t="str">
        <f>OutputTable[[#This Row],[ProjectName]]&amp;OutputTable[[#This Row],[Name]]&amp;OutputTable[[#This Row],[Type]]&amp;OutputTable[[#This Row],[Source]]</f>
        <v>Unnamed ProjectSystem.NumberOutNumber OutSystem</v>
      </c>
      <c r="J81" cm="1">
        <f t="array" ref="J81">MAX(IF((ProjectInfoTable[ProjectName]=OutputTable[[#This Row],[ProjectName]]),(ProjectInfoTable[ProjectName]=OutputTable[[#This Row],[ProjectName]])*ProjectInfoTable[NumberOfReplications]))</f>
        <v>30</v>
      </c>
      <c r="K81" cm="1">
        <f t="array" ref="K81">IFERROR(AVERAGE(IF((OutputTable[GroupByKey]=OutputTable[[#This Row],[GroupByKey]]),(OutputTable[GroupByKey]=OutputTable[[#This Row],[GroupByKey]])*OutputTable[RecordedValue])),0)</f>
        <v>89.166666666666671</v>
      </c>
      <c r="L81" cm="1">
        <f t="array" ref="L81">IFERROR(_xlfn.STDEV.S(IF((OutputTable[GroupByKey]=OutputTable[[#This Row],[GroupByKey]]),(OutputTable[GroupByKey]=OutputTable[[#This Row],[GroupByKey]])*OutputTable[RecordedValue])),0)</f>
        <v>7.9658033485961566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81" cm="1">
        <f t="array" ref="O81">MIN(IF((OutputTable[GroupByKey]=OutputTable[[#This Row],[GroupByKey]]),(OutputTable[GroupByKey]=OutputTable[[#This Row],[GroupByKey]])*OutputTable[RecordedValue]))</f>
        <v>70</v>
      </c>
      <c r="P81" cm="1">
        <f t="array" ref="P81">MAX(IF((OutputTable[GroupByKey]=OutputTable[[#This Row],[GroupByKey]]),(OutputTable[GroupByKey]=OutputTable[[#This Row],[GroupByKey]])*OutputTable[RecordedValue]))</f>
        <v>103</v>
      </c>
    </row>
    <row r="82" spans="1:16" x14ac:dyDescent="0.3">
      <c r="A82" t="s">
        <v>66</v>
      </c>
      <c r="B82" t="s">
        <v>68</v>
      </c>
      <c r="C82">
        <v>17</v>
      </c>
      <c r="D82" t="s">
        <v>91</v>
      </c>
      <c r="E82" t="s">
        <v>92</v>
      </c>
      <c r="F82" t="s">
        <v>71</v>
      </c>
      <c r="G82">
        <v>71</v>
      </c>
      <c r="H82">
        <v>0</v>
      </c>
      <c r="I82" t="str">
        <f>OutputTable[[#This Row],[ProjectName]]&amp;OutputTable[[#This Row],[Name]]&amp;OutputTable[[#This Row],[Type]]&amp;OutputTable[[#This Row],[Source]]</f>
        <v>Unnamed ProjectCustomer.NumberInNumber InEntity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30</v>
      </c>
      <c r="K82" cm="1">
        <f t="array" ref="K82">IFERROR(AVERAGE(IF((OutputTable[GroupByKey]=OutputTable[[#This Row],[GroupByKey]]),(OutputTable[GroupByKey]=OutputTable[[#This Row],[GroupByKey]])*OutputTable[RecordedValue])),0)</f>
        <v>89.733333333333334</v>
      </c>
      <c r="L82" cm="1">
        <f t="array" ref="L82">IFERROR(_xlfn.STDEV.S(IF((OutputTable[GroupByKey]=OutputTable[[#This Row],[GroupByKey]]),(OutputTable[GroupByKey]=OutputTable[[#This Row],[GroupByKey]])*OutputTable[RecordedValue])),0)</f>
        <v>8.0212361818523625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82" cm="1">
        <f t="array" ref="O82">MIN(IF((OutputTable[GroupByKey]=OutputTable[[#This Row],[GroupByKey]]),(OutputTable[GroupByKey]=OutputTable[[#This Row],[GroupByKey]])*OutputTable[RecordedValue]))</f>
        <v>71</v>
      </c>
      <c r="P82" cm="1">
        <f t="array" ref="P82">MAX(IF((OutputTable[GroupByKey]=OutputTable[[#This Row],[GroupByKey]]),(OutputTable[GroupByKey]=OutputTable[[#This Row],[GroupByKey]])*OutputTable[RecordedValue]))</f>
        <v>103</v>
      </c>
    </row>
    <row r="83" spans="1:16" x14ac:dyDescent="0.3">
      <c r="A83" t="s">
        <v>66</v>
      </c>
      <c r="B83" t="s">
        <v>68</v>
      </c>
      <c r="C83">
        <v>17</v>
      </c>
      <c r="D83" t="s">
        <v>93</v>
      </c>
      <c r="E83" t="s">
        <v>94</v>
      </c>
      <c r="F83" t="s">
        <v>71</v>
      </c>
      <c r="G83">
        <v>70</v>
      </c>
      <c r="H83">
        <v>0</v>
      </c>
      <c r="I83" t="str">
        <f>OutputTable[[#This Row],[ProjectName]]&amp;OutputTable[[#This Row],[Name]]&amp;OutputTable[[#This Row],[Type]]&amp;OutputTable[[#This Row],[Source]]</f>
        <v>Unnamed ProjectCustomer.NumberOutNumber OutEntity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30</v>
      </c>
      <c r="K83" cm="1">
        <f t="array" ref="K83">IFERROR(AVERAGE(IF((OutputTable[GroupByKey]=OutputTable[[#This Row],[GroupByKey]]),(OutputTable[GroupByKey]=OutputTable[[#This Row],[GroupByKey]])*OutputTable[RecordedValue])),0)</f>
        <v>89.166666666666671</v>
      </c>
      <c r="L83" cm="1">
        <f t="array" ref="L83">IFERROR(_xlfn.STDEV.S(IF((OutputTable[GroupByKey]=OutputTable[[#This Row],[GroupByKey]]),(OutputTable[GroupByKey]=OutputTable[[#This Row],[GroupByKey]])*OutputTable[RecordedValue])),0)</f>
        <v>7.9658033485961566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83" cm="1">
        <f t="array" ref="O83">MIN(IF((OutputTable[GroupByKey]=OutputTable[[#This Row],[GroupByKey]]),(OutputTable[GroupByKey]=OutputTable[[#This Row],[GroupByKey]])*OutputTable[RecordedValue]))</f>
        <v>70</v>
      </c>
      <c r="P83" cm="1">
        <f t="array" ref="P83">MAX(IF((OutputTable[GroupByKey]=OutputTable[[#This Row],[GroupByKey]]),(OutputTable[GroupByKey]=OutputTable[[#This Row],[GroupByKey]])*OutputTable[RecordedValue]))</f>
        <v>103</v>
      </c>
    </row>
    <row r="84" spans="1:16" x14ac:dyDescent="0.3">
      <c r="A84" t="s">
        <v>66</v>
      </c>
      <c r="B84" t="s">
        <v>68</v>
      </c>
      <c r="C84">
        <v>17</v>
      </c>
      <c r="D84" t="s">
        <v>95</v>
      </c>
      <c r="E84" t="s">
        <v>96</v>
      </c>
      <c r="F84" t="s">
        <v>83</v>
      </c>
      <c r="G84">
        <v>71</v>
      </c>
      <c r="H84">
        <v>0</v>
      </c>
      <c r="I8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30</v>
      </c>
      <c r="K84" cm="1">
        <f t="array" ref="K84">IFERROR(AVERAGE(IF((OutputTable[GroupByKey]=OutputTable[[#This Row],[GroupByKey]]),(OutputTable[GroupByKey]=OutputTable[[#This Row],[GroupByKey]])*OutputTable[RecordedValue])),0)</f>
        <v>89.733333333333334</v>
      </c>
      <c r="L84" cm="1">
        <f t="array" ref="L84">IFERROR(_xlfn.STDEV.S(IF((OutputTable[GroupByKey]=OutputTable[[#This Row],[GroupByKey]]),(OutputTable[GroupByKey]=OutputTable[[#This Row],[GroupByKey]])*OutputTable[RecordedValue])),0)</f>
        <v>8.0212361818523625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84" cm="1">
        <f t="array" ref="O84">MIN(IF((OutputTable[GroupByKey]=OutputTable[[#This Row],[GroupByKey]]),(OutputTable[GroupByKey]=OutputTable[[#This Row],[GroupByKey]])*OutputTable[RecordedValue]))</f>
        <v>71</v>
      </c>
      <c r="P84" cm="1">
        <f t="array" ref="P84">MAX(IF((OutputTable[GroupByKey]=OutputTable[[#This Row],[GroupByKey]]),(OutputTable[GroupByKey]=OutputTable[[#This Row],[GroupByKey]])*OutputTable[RecordedValue]))</f>
        <v>103</v>
      </c>
    </row>
    <row r="85" spans="1:16" x14ac:dyDescent="0.3">
      <c r="A85" t="s">
        <v>66</v>
      </c>
      <c r="B85" t="s">
        <v>68</v>
      </c>
      <c r="C85">
        <v>17</v>
      </c>
      <c r="D85" t="s">
        <v>97</v>
      </c>
      <c r="E85" t="s">
        <v>98</v>
      </c>
      <c r="F85" t="s">
        <v>83</v>
      </c>
      <c r="G85">
        <v>0.260547287284498</v>
      </c>
      <c r="H85">
        <v>0</v>
      </c>
      <c r="I8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30</v>
      </c>
      <c r="K85" cm="1">
        <f t="array" ref="K85">IFERROR(AVERAGE(IF((OutputTable[GroupByKey]=OutputTable[[#This Row],[GroupByKey]]),(OutputTable[GroupByKey]=OutputTable[[#This Row],[GroupByKey]])*OutputTable[RecordedValue])),0)</f>
        <v>0.34420349255945865</v>
      </c>
      <c r="L85" cm="1">
        <f t="array" ref="L85">IFERROR(_xlfn.STDEV.S(IF((OutputTable[GroupByKey]=OutputTable[[#This Row],[GroupByKey]]),(OutputTable[GroupByKey]=OutputTable[[#This Row],[GroupByKey]])*OutputTable[RecordedValue])),0)</f>
        <v>4.5304829879571427E-2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85" cm="1">
        <f t="array" ref="O85">MIN(IF((OutputTable[GroupByKey]=OutputTable[[#This Row],[GroupByKey]]),(OutputTable[GroupByKey]=OutputTable[[#This Row],[GroupByKey]])*OutputTable[RecordedValue]))</f>
        <v>0.24637585883753399</v>
      </c>
      <c r="P85" cm="1">
        <f t="array" ref="P85">MAX(IF((OutputTable[GroupByKey]=OutputTable[[#This Row],[GroupByKey]]),(OutputTable[GroupByKey]=OutputTable[[#This Row],[GroupByKey]])*OutputTable[RecordedValue]))</f>
        <v>0.43753875749565602</v>
      </c>
    </row>
    <row r="86" spans="1:16" x14ac:dyDescent="0.3">
      <c r="A86" t="s">
        <v>66</v>
      </c>
      <c r="B86" t="s">
        <v>68</v>
      </c>
      <c r="C86">
        <v>17</v>
      </c>
      <c r="D86" t="s">
        <v>99</v>
      </c>
      <c r="E86" t="s">
        <v>94</v>
      </c>
      <c r="F86" t="s">
        <v>100</v>
      </c>
      <c r="G86">
        <v>70</v>
      </c>
      <c r="H86">
        <v>0</v>
      </c>
      <c r="I86" t="str">
        <f>OutputTable[[#This Row],[ProjectName]]&amp;OutputTable[[#This Row],[Name]]&amp;OutputTable[[#This Row],[Type]]&amp;OutputTable[[#This Row],[Source]]</f>
        <v>Unnamed ProjectSystem.NumberOutNumber OutSystem</v>
      </c>
      <c r="J86" cm="1">
        <f t="array" ref="J86">MAX(IF((ProjectInfoTable[ProjectName]=OutputTable[[#This Row],[ProjectName]]),(ProjectInfoTable[ProjectName]=OutputTable[[#This Row],[ProjectName]])*ProjectInfoTable[NumberOfReplications]))</f>
        <v>30</v>
      </c>
      <c r="K86" cm="1">
        <f t="array" ref="K86">IFERROR(AVERAGE(IF((OutputTable[GroupByKey]=OutputTable[[#This Row],[GroupByKey]]),(OutputTable[GroupByKey]=OutputTable[[#This Row],[GroupByKey]])*OutputTable[RecordedValue])),0)</f>
        <v>89.166666666666671</v>
      </c>
      <c r="L86" cm="1">
        <f t="array" ref="L86">IFERROR(_xlfn.STDEV.S(IF((OutputTable[GroupByKey]=OutputTable[[#This Row],[GroupByKey]]),(OutputTable[GroupByKey]=OutputTable[[#This Row],[GroupByKey]])*OutputTable[RecordedValue])),0)</f>
        <v>7.9658033485961566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86" cm="1">
        <f t="array" ref="O86">MIN(IF((OutputTable[GroupByKey]=OutputTable[[#This Row],[GroupByKey]]),(OutputTable[GroupByKey]=OutputTable[[#This Row],[GroupByKey]])*OutputTable[RecordedValue]))</f>
        <v>70</v>
      </c>
      <c r="P86" cm="1">
        <f t="array" ref="P86">MAX(IF((OutputTable[GroupByKey]=OutputTable[[#This Row],[GroupByKey]]),(OutputTable[GroupByKey]=OutputTable[[#This Row],[GroupByKey]])*OutputTable[RecordedValue]))</f>
        <v>103</v>
      </c>
    </row>
    <row r="87" spans="1:16" x14ac:dyDescent="0.3">
      <c r="A87" t="s">
        <v>66</v>
      </c>
      <c r="B87" t="s">
        <v>68</v>
      </c>
      <c r="C87">
        <v>18</v>
      </c>
      <c r="D87" t="s">
        <v>91</v>
      </c>
      <c r="E87" t="s">
        <v>92</v>
      </c>
      <c r="F87" t="s">
        <v>71</v>
      </c>
      <c r="G87">
        <v>102</v>
      </c>
      <c r="H87">
        <v>0</v>
      </c>
      <c r="I87" t="str">
        <f>OutputTable[[#This Row],[ProjectName]]&amp;OutputTable[[#This Row],[Name]]&amp;OutputTable[[#This Row],[Type]]&amp;OutputTable[[#This Row],[Source]]</f>
        <v>Unnamed ProjectCustomer.NumberInNumber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30</v>
      </c>
      <c r="K87" cm="1">
        <f t="array" ref="K87">IFERROR(AVERAGE(IF((OutputTable[GroupByKey]=OutputTable[[#This Row],[GroupByKey]]),(OutputTable[GroupByKey]=OutputTable[[#This Row],[GroupByKey]])*OutputTable[RecordedValue])),0)</f>
        <v>89.733333333333334</v>
      </c>
      <c r="L87" cm="1">
        <f t="array" ref="L87">IFERROR(_xlfn.STDEV.S(IF((OutputTable[GroupByKey]=OutputTable[[#This Row],[GroupByKey]]),(OutputTable[GroupByKey]=OutputTable[[#This Row],[GroupByKey]])*OutputTable[RecordedValue])),0)</f>
        <v>8.0212361818523625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87" cm="1">
        <f t="array" ref="O87">MIN(IF((OutputTable[GroupByKey]=OutputTable[[#This Row],[GroupByKey]]),(OutputTable[GroupByKey]=OutputTable[[#This Row],[GroupByKey]])*OutputTable[RecordedValue]))</f>
        <v>71</v>
      </c>
      <c r="P87" cm="1">
        <f t="array" ref="P87">MAX(IF((OutputTable[GroupByKey]=OutputTable[[#This Row],[GroupByKey]]),(OutputTable[GroupByKey]=OutputTable[[#This Row],[GroupByKey]])*OutputTable[RecordedValue]))</f>
        <v>103</v>
      </c>
    </row>
    <row r="88" spans="1:16" x14ac:dyDescent="0.3">
      <c r="A88" t="s">
        <v>66</v>
      </c>
      <c r="B88" t="s">
        <v>68</v>
      </c>
      <c r="C88">
        <v>18</v>
      </c>
      <c r="D88" t="s">
        <v>93</v>
      </c>
      <c r="E88" t="s">
        <v>94</v>
      </c>
      <c r="F88" t="s">
        <v>71</v>
      </c>
      <c r="G88">
        <v>100</v>
      </c>
      <c r="H88">
        <v>0</v>
      </c>
      <c r="I88" t="str">
        <f>OutputTable[[#This Row],[ProjectName]]&amp;OutputTable[[#This Row],[Name]]&amp;OutputTable[[#This Row],[Type]]&amp;OutputTable[[#This Row],[Source]]</f>
        <v>Unnamed ProjectCustomer.NumberOutNumber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30</v>
      </c>
      <c r="K88" cm="1">
        <f t="array" ref="K88">IFERROR(AVERAGE(IF((OutputTable[GroupByKey]=OutputTable[[#This Row],[GroupByKey]]),(OutputTable[GroupByKey]=OutputTable[[#This Row],[GroupByKey]])*OutputTable[RecordedValue])),0)</f>
        <v>89.166666666666671</v>
      </c>
      <c r="L88" cm="1">
        <f t="array" ref="L88">IFERROR(_xlfn.STDEV.S(IF((OutputTable[GroupByKey]=OutputTable[[#This Row],[GroupByKey]]),(OutputTable[GroupByKey]=OutputTable[[#This Row],[GroupByKey]])*OutputTable[RecordedValue])),0)</f>
        <v>7.9658033485961566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88" cm="1">
        <f t="array" ref="O88">MIN(IF((OutputTable[GroupByKey]=OutputTable[[#This Row],[GroupByKey]]),(OutputTable[GroupByKey]=OutputTable[[#This Row],[GroupByKey]])*OutputTable[RecordedValue]))</f>
        <v>70</v>
      </c>
      <c r="P88" cm="1">
        <f t="array" ref="P88">MAX(IF((OutputTable[GroupByKey]=OutputTable[[#This Row],[GroupByKey]]),(OutputTable[GroupByKey]=OutputTable[[#This Row],[GroupByKey]])*OutputTable[RecordedValue]))</f>
        <v>103</v>
      </c>
    </row>
    <row r="89" spans="1:16" x14ac:dyDescent="0.3">
      <c r="A89" t="s">
        <v>66</v>
      </c>
      <c r="B89" t="s">
        <v>68</v>
      </c>
      <c r="C89">
        <v>18</v>
      </c>
      <c r="D89" t="s">
        <v>95</v>
      </c>
      <c r="E89" t="s">
        <v>96</v>
      </c>
      <c r="F89" t="s">
        <v>83</v>
      </c>
      <c r="G89">
        <v>102</v>
      </c>
      <c r="H89">
        <v>0</v>
      </c>
      <c r="I8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30</v>
      </c>
      <c r="K89" cm="1">
        <f t="array" ref="K89">IFERROR(AVERAGE(IF((OutputTable[GroupByKey]=OutputTable[[#This Row],[GroupByKey]]),(OutputTable[GroupByKey]=OutputTable[[#This Row],[GroupByKey]])*OutputTable[RecordedValue])),0)</f>
        <v>89.733333333333334</v>
      </c>
      <c r="L89" cm="1">
        <f t="array" ref="L89">IFERROR(_xlfn.STDEV.S(IF((OutputTable[GroupByKey]=OutputTable[[#This Row],[GroupByKey]]),(OutputTable[GroupByKey]=OutputTable[[#This Row],[GroupByKey]])*OutputTable[RecordedValue])),0)</f>
        <v>8.0212361818523625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89" cm="1">
        <f t="array" ref="O89">MIN(IF((OutputTable[GroupByKey]=OutputTable[[#This Row],[GroupByKey]]),(OutputTable[GroupByKey]=OutputTable[[#This Row],[GroupByKey]])*OutputTable[RecordedValue]))</f>
        <v>71</v>
      </c>
      <c r="P89" cm="1">
        <f t="array" ref="P89">MAX(IF((OutputTable[GroupByKey]=OutputTable[[#This Row],[GroupByKey]]),(OutputTable[GroupByKey]=OutputTable[[#This Row],[GroupByKey]])*OutputTable[RecordedValue]))</f>
        <v>103</v>
      </c>
    </row>
    <row r="90" spans="1:16" x14ac:dyDescent="0.3">
      <c r="A90" t="s">
        <v>66</v>
      </c>
      <c r="B90" t="s">
        <v>68</v>
      </c>
      <c r="C90">
        <v>18</v>
      </c>
      <c r="D90" t="s">
        <v>97</v>
      </c>
      <c r="E90" t="s">
        <v>98</v>
      </c>
      <c r="F90" t="s">
        <v>83</v>
      </c>
      <c r="G90">
        <v>0.43600870849824802</v>
      </c>
      <c r="H90">
        <v>0</v>
      </c>
      <c r="I9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30</v>
      </c>
      <c r="K90" cm="1">
        <f t="array" ref="K90">IFERROR(AVERAGE(IF((OutputTable[GroupByKey]=OutputTable[[#This Row],[GroupByKey]]),(OutputTable[GroupByKey]=OutputTable[[#This Row],[GroupByKey]])*OutputTable[RecordedValue])),0)</f>
        <v>0.34420349255945865</v>
      </c>
      <c r="L90" cm="1">
        <f t="array" ref="L90">IFERROR(_xlfn.STDEV.S(IF((OutputTable[GroupByKey]=OutputTable[[#This Row],[GroupByKey]]),(OutputTable[GroupByKey]=OutputTable[[#This Row],[GroupByKey]])*OutputTable[RecordedValue])),0)</f>
        <v>4.5304829879571427E-2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90" cm="1">
        <f t="array" ref="O90">MIN(IF((OutputTable[GroupByKey]=OutputTable[[#This Row],[GroupByKey]]),(OutputTable[GroupByKey]=OutputTable[[#This Row],[GroupByKey]])*OutputTable[RecordedValue]))</f>
        <v>0.24637585883753399</v>
      </c>
      <c r="P90" cm="1">
        <f t="array" ref="P90">MAX(IF((OutputTable[GroupByKey]=OutputTable[[#This Row],[GroupByKey]]),(OutputTable[GroupByKey]=OutputTable[[#This Row],[GroupByKey]])*OutputTable[RecordedValue]))</f>
        <v>0.43753875749565602</v>
      </c>
    </row>
    <row r="91" spans="1:16" x14ac:dyDescent="0.3">
      <c r="A91" t="s">
        <v>66</v>
      </c>
      <c r="B91" t="s">
        <v>68</v>
      </c>
      <c r="C91">
        <v>18</v>
      </c>
      <c r="D91" t="s">
        <v>99</v>
      </c>
      <c r="E91" t="s">
        <v>94</v>
      </c>
      <c r="F91" t="s">
        <v>100</v>
      </c>
      <c r="G91">
        <v>100</v>
      </c>
      <c r="H91">
        <v>0</v>
      </c>
      <c r="I91" t="str">
        <f>OutputTable[[#This Row],[ProjectName]]&amp;OutputTable[[#This Row],[Name]]&amp;OutputTable[[#This Row],[Type]]&amp;OutputTable[[#This Row],[Source]]</f>
        <v>Unnamed ProjectSystem.NumberOutNumber OutSystem</v>
      </c>
      <c r="J91" cm="1">
        <f t="array" ref="J91">MAX(IF((ProjectInfoTable[ProjectName]=OutputTable[[#This Row],[ProjectName]]),(ProjectInfoTable[ProjectName]=OutputTable[[#This Row],[ProjectName]])*ProjectInfoTable[NumberOfReplications]))</f>
        <v>30</v>
      </c>
      <c r="K91" cm="1">
        <f t="array" ref="K91">IFERROR(AVERAGE(IF((OutputTable[GroupByKey]=OutputTable[[#This Row],[GroupByKey]]),(OutputTable[GroupByKey]=OutputTable[[#This Row],[GroupByKey]])*OutputTable[RecordedValue])),0)</f>
        <v>89.166666666666671</v>
      </c>
      <c r="L91" cm="1">
        <f t="array" ref="L91">IFERROR(_xlfn.STDEV.S(IF((OutputTable[GroupByKey]=OutputTable[[#This Row],[GroupByKey]]),(OutputTable[GroupByKey]=OutputTable[[#This Row],[GroupByKey]])*OutputTable[RecordedValue])),0)</f>
        <v>7.9658033485961566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91" cm="1">
        <f t="array" ref="O91">MIN(IF((OutputTable[GroupByKey]=OutputTable[[#This Row],[GroupByKey]]),(OutputTable[GroupByKey]=OutputTable[[#This Row],[GroupByKey]])*OutputTable[RecordedValue]))</f>
        <v>70</v>
      </c>
      <c r="P91" cm="1">
        <f t="array" ref="P91">MAX(IF((OutputTable[GroupByKey]=OutputTable[[#This Row],[GroupByKey]]),(OutputTable[GroupByKey]=OutputTable[[#This Row],[GroupByKey]])*OutputTable[RecordedValue]))</f>
        <v>103</v>
      </c>
    </row>
    <row r="92" spans="1:16" x14ac:dyDescent="0.3">
      <c r="A92" t="s">
        <v>66</v>
      </c>
      <c r="B92" t="s">
        <v>68</v>
      </c>
      <c r="C92">
        <v>19</v>
      </c>
      <c r="D92" t="s">
        <v>91</v>
      </c>
      <c r="E92" t="s">
        <v>92</v>
      </c>
      <c r="F92" t="s">
        <v>71</v>
      </c>
      <c r="G92">
        <v>84</v>
      </c>
      <c r="H92">
        <v>0</v>
      </c>
      <c r="I92" t="str">
        <f>OutputTable[[#This Row],[ProjectName]]&amp;OutputTable[[#This Row],[Name]]&amp;OutputTable[[#This Row],[Type]]&amp;OutputTable[[#This Row],[Source]]</f>
        <v>Unnamed ProjectCustomer.NumberInNumber InEntity</v>
      </c>
      <c r="J92" cm="1">
        <f t="array" ref="J92">MAX(IF((ProjectInfoTable[ProjectName]=OutputTable[[#This Row],[ProjectName]]),(ProjectInfoTable[ProjectName]=OutputTable[[#This Row],[ProjectName]])*ProjectInfoTable[NumberOfReplications]))</f>
        <v>30</v>
      </c>
      <c r="K92" cm="1">
        <f t="array" ref="K92">IFERROR(AVERAGE(IF((OutputTable[GroupByKey]=OutputTable[[#This Row],[GroupByKey]]),(OutputTable[GroupByKey]=OutputTable[[#This Row],[GroupByKey]])*OutputTable[RecordedValue])),0)</f>
        <v>89.733333333333334</v>
      </c>
      <c r="L92" cm="1">
        <f t="array" ref="L92">IFERROR(_xlfn.STDEV.S(IF((OutputTable[GroupByKey]=OutputTable[[#This Row],[GroupByKey]]),(OutputTable[GroupByKey]=OutputTable[[#This Row],[GroupByKey]])*OutputTable[RecordedValue])),0)</f>
        <v>8.0212361818523625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92" cm="1">
        <f t="array" ref="O92">MIN(IF((OutputTable[GroupByKey]=OutputTable[[#This Row],[GroupByKey]]),(OutputTable[GroupByKey]=OutputTable[[#This Row],[GroupByKey]])*OutputTable[RecordedValue]))</f>
        <v>71</v>
      </c>
      <c r="P92" cm="1">
        <f t="array" ref="P92">MAX(IF((OutputTable[GroupByKey]=OutputTable[[#This Row],[GroupByKey]]),(OutputTable[GroupByKey]=OutputTable[[#This Row],[GroupByKey]])*OutputTable[RecordedValue]))</f>
        <v>103</v>
      </c>
    </row>
    <row r="93" spans="1:16" x14ac:dyDescent="0.3">
      <c r="A93" t="s">
        <v>66</v>
      </c>
      <c r="B93" t="s">
        <v>68</v>
      </c>
      <c r="C93">
        <v>19</v>
      </c>
      <c r="D93" t="s">
        <v>93</v>
      </c>
      <c r="E93" t="s">
        <v>94</v>
      </c>
      <c r="F93" t="s">
        <v>71</v>
      </c>
      <c r="G93">
        <v>84</v>
      </c>
      <c r="H93">
        <v>0</v>
      </c>
      <c r="I93" t="str">
        <f>OutputTable[[#This Row],[ProjectName]]&amp;OutputTable[[#This Row],[Name]]&amp;OutputTable[[#This Row],[Type]]&amp;OutputTable[[#This Row],[Source]]</f>
        <v>Unnamed ProjectCustomer.NumberOutNumber OutEntity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30</v>
      </c>
      <c r="K93" cm="1">
        <f t="array" ref="K93">IFERROR(AVERAGE(IF((OutputTable[GroupByKey]=OutputTable[[#This Row],[GroupByKey]]),(OutputTable[GroupByKey]=OutputTable[[#This Row],[GroupByKey]])*OutputTable[RecordedValue])),0)</f>
        <v>89.166666666666671</v>
      </c>
      <c r="L93" cm="1">
        <f t="array" ref="L93">IFERROR(_xlfn.STDEV.S(IF((OutputTable[GroupByKey]=OutputTable[[#This Row],[GroupByKey]]),(OutputTable[GroupByKey]=OutputTable[[#This Row],[GroupByKey]])*OutputTable[RecordedValue])),0)</f>
        <v>7.9658033485961566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93" cm="1">
        <f t="array" ref="O93">MIN(IF((OutputTable[GroupByKey]=OutputTable[[#This Row],[GroupByKey]]),(OutputTable[GroupByKey]=OutputTable[[#This Row],[GroupByKey]])*OutputTable[RecordedValue]))</f>
        <v>70</v>
      </c>
      <c r="P93" cm="1">
        <f t="array" ref="P93">MAX(IF((OutputTable[GroupByKey]=OutputTable[[#This Row],[GroupByKey]]),(OutputTable[GroupByKey]=OutputTable[[#This Row],[GroupByKey]])*OutputTable[RecordedValue]))</f>
        <v>103</v>
      </c>
    </row>
    <row r="94" spans="1:16" x14ac:dyDescent="0.3">
      <c r="A94" t="s">
        <v>66</v>
      </c>
      <c r="B94" t="s">
        <v>68</v>
      </c>
      <c r="C94">
        <v>19</v>
      </c>
      <c r="D94" t="s">
        <v>95</v>
      </c>
      <c r="E94" t="s">
        <v>96</v>
      </c>
      <c r="F94" t="s">
        <v>83</v>
      </c>
      <c r="G94">
        <v>84</v>
      </c>
      <c r="H94">
        <v>0</v>
      </c>
      <c r="I9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30</v>
      </c>
      <c r="K94" cm="1">
        <f t="array" ref="K94">IFERROR(AVERAGE(IF((OutputTable[GroupByKey]=OutputTable[[#This Row],[GroupByKey]]),(OutputTable[GroupByKey]=OutputTable[[#This Row],[GroupByKey]])*OutputTable[RecordedValue])),0)</f>
        <v>89.733333333333334</v>
      </c>
      <c r="L94" cm="1">
        <f t="array" ref="L94">IFERROR(_xlfn.STDEV.S(IF((OutputTable[GroupByKey]=OutputTable[[#This Row],[GroupByKey]]),(OutputTable[GroupByKey]=OutputTable[[#This Row],[GroupByKey]])*OutputTable[RecordedValue])),0)</f>
        <v>8.0212361818523625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94" cm="1">
        <f t="array" ref="O94">MIN(IF((OutputTable[GroupByKey]=OutputTable[[#This Row],[GroupByKey]]),(OutputTable[GroupByKey]=OutputTable[[#This Row],[GroupByKey]])*OutputTable[RecordedValue]))</f>
        <v>71</v>
      </c>
      <c r="P94" cm="1">
        <f t="array" ref="P94">MAX(IF((OutputTable[GroupByKey]=OutputTable[[#This Row],[GroupByKey]]),(OutputTable[GroupByKey]=OutputTable[[#This Row],[GroupByKey]])*OutputTable[RecordedValue]))</f>
        <v>103</v>
      </c>
    </row>
    <row r="95" spans="1:16" x14ac:dyDescent="0.3">
      <c r="A95" t="s">
        <v>66</v>
      </c>
      <c r="B95" t="s">
        <v>68</v>
      </c>
      <c r="C95">
        <v>19</v>
      </c>
      <c r="D95" t="s">
        <v>97</v>
      </c>
      <c r="E95" t="s">
        <v>98</v>
      </c>
      <c r="F95" t="s">
        <v>83</v>
      </c>
      <c r="G95">
        <v>0.34128185232251301</v>
      </c>
      <c r="H95">
        <v>0</v>
      </c>
      <c r="I9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30</v>
      </c>
      <c r="K95" cm="1">
        <f t="array" ref="K95">IFERROR(AVERAGE(IF((OutputTable[GroupByKey]=OutputTable[[#This Row],[GroupByKey]]),(OutputTable[GroupByKey]=OutputTable[[#This Row],[GroupByKey]])*OutputTable[RecordedValue])),0)</f>
        <v>0.34420349255945865</v>
      </c>
      <c r="L95" cm="1">
        <f t="array" ref="L95">IFERROR(_xlfn.STDEV.S(IF((OutputTable[GroupByKey]=OutputTable[[#This Row],[GroupByKey]]),(OutputTable[GroupByKey]=OutputTable[[#This Row],[GroupByKey]])*OutputTable[RecordedValue])),0)</f>
        <v>4.5304829879571427E-2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95" cm="1">
        <f t="array" ref="O95">MIN(IF((OutputTable[GroupByKey]=OutputTable[[#This Row],[GroupByKey]]),(OutputTable[GroupByKey]=OutputTable[[#This Row],[GroupByKey]])*OutputTable[RecordedValue]))</f>
        <v>0.24637585883753399</v>
      </c>
      <c r="P95" cm="1">
        <f t="array" ref="P95">MAX(IF((OutputTable[GroupByKey]=OutputTable[[#This Row],[GroupByKey]]),(OutputTable[GroupByKey]=OutputTable[[#This Row],[GroupByKey]])*OutputTable[RecordedValue]))</f>
        <v>0.43753875749565602</v>
      </c>
    </row>
    <row r="96" spans="1:16" x14ac:dyDescent="0.3">
      <c r="A96" t="s">
        <v>66</v>
      </c>
      <c r="B96" t="s">
        <v>68</v>
      </c>
      <c r="C96">
        <v>19</v>
      </c>
      <c r="D96" t="s">
        <v>99</v>
      </c>
      <c r="E96" t="s">
        <v>94</v>
      </c>
      <c r="F96" t="s">
        <v>100</v>
      </c>
      <c r="G96">
        <v>84</v>
      </c>
      <c r="H96">
        <v>0</v>
      </c>
      <c r="I96" t="str">
        <f>OutputTable[[#This Row],[ProjectName]]&amp;OutputTable[[#This Row],[Name]]&amp;OutputTable[[#This Row],[Type]]&amp;OutputTable[[#This Row],[Source]]</f>
        <v>Unnamed ProjectSystem.NumberOutNumber OutSystem</v>
      </c>
      <c r="J96" cm="1">
        <f t="array" ref="J96">MAX(IF((ProjectInfoTable[ProjectName]=OutputTable[[#This Row],[ProjectName]]),(ProjectInfoTable[ProjectName]=OutputTable[[#This Row],[ProjectName]])*ProjectInfoTable[NumberOfReplications]))</f>
        <v>30</v>
      </c>
      <c r="K96" cm="1">
        <f t="array" ref="K96">IFERROR(AVERAGE(IF((OutputTable[GroupByKey]=OutputTable[[#This Row],[GroupByKey]]),(OutputTable[GroupByKey]=OutputTable[[#This Row],[GroupByKey]])*OutputTable[RecordedValue])),0)</f>
        <v>89.166666666666671</v>
      </c>
      <c r="L96" cm="1">
        <f t="array" ref="L96">IFERROR(_xlfn.STDEV.S(IF((OutputTable[GroupByKey]=OutputTable[[#This Row],[GroupByKey]]),(OutputTable[GroupByKey]=OutputTable[[#This Row],[GroupByKey]])*OutputTable[RecordedValue])),0)</f>
        <v>7.9658033485961566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96" cm="1">
        <f t="array" ref="O96">MIN(IF((OutputTable[GroupByKey]=OutputTable[[#This Row],[GroupByKey]]),(OutputTable[GroupByKey]=OutputTable[[#This Row],[GroupByKey]])*OutputTable[RecordedValue]))</f>
        <v>70</v>
      </c>
      <c r="P96" cm="1">
        <f t="array" ref="P96">MAX(IF((OutputTable[GroupByKey]=OutputTable[[#This Row],[GroupByKey]]),(OutputTable[GroupByKey]=OutputTable[[#This Row],[GroupByKey]])*OutputTable[RecordedValue]))</f>
        <v>103</v>
      </c>
    </row>
    <row r="97" spans="1:16" x14ac:dyDescent="0.3">
      <c r="A97" t="s">
        <v>66</v>
      </c>
      <c r="B97" t="s">
        <v>68</v>
      </c>
      <c r="C97">
        <v>20</v>
      </c>
      <c r="D97" t="s">
        <v>91</v>
      </c>
      <c r="E97" t="s">
        <v>92</v>
      </c>
      <c r="F97" t="s">
        <v>71</v>
      </c>
      <c r="G97">
        <v>85</v>
      </c>
      <c r="H97">
        <v>0</v>
      </c>
      <c r="I97" t="str">
        <f>OutputTable[[#This Row],[ProjectName]]&amp;OutputTable[[#This Row],[Name]]&amp;OutputTable[[#This Row],[Type]]&amp;OutputTable[[#This Row],[Source]]</f>
        <v>Unnamed ProjectCustomer.NumberInNumber InEntity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30</v>
      </c>
      <c r="K97" cm="1">
        <f t="array" ref="K97">IFERROR(AVERAGE(IF((OutputTable[GroupByKey]=OutputTable[[#This Row],[GroupByKey]]),(OutputTable[GroupByKey]=OutputTable[[#This Row],[GroupByKey]])*OutputTable[RecordedValue])),0)</f>
        <v>89.733333333333334</v>
      </c>
      <c r="L97" cm="1">
        <f t="array" ref="L97">IFERROR(_xlfn.STDEV.S(IF((OutputTable[GroupByKey]=OutputTable[[#This Row],[GroupByKey]]),(OutputTable[GroupByKey]=OutputTable[[#This Row],[GroupByKey]])*OutputTable[RecordedValue])),0)</f>
        <v>8.0212361818523625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97" cm="1">
        <f t="array" ref="O97">MIN(IF((OutputTable[GroupByKey]=OutputTable[[#This Row],[GroupByKey]]),(OutputTable[GroupByKey]=OutputTable[[#This Row],[GroupByKey]])*OutputTable[RecordedValue]))</f>
        <v>71</v>
      </c>
      <c r="P97" cm="1">
        <f t="array" ref="P97">MAX(IF((OutputTable[GroupByKey]=OutputTable[[#This Row],[GroupByKey]]),(OutputTable[GroupByKey]=OutputTable[[#This Row],[GroupByKey]])*OutputTable[RecordedValue]))</f>
        <v>103</v>
      </c>
    </row>
    <row r="98" spans="1:16" x14ac:dyDescent="0.3">
      <c r="A98" t="s">
        <v>66</v>
      </c>
      <c r="B98" t="s">
        <v>68</v>
      </c>
      <c r="C98">
        <v>20</v>
      </c>
      <c r="D98" t="s">
        <v>93</v>
      </c>
      <c r="E98" t="s">
        <v>94</v>
      </c>
      <c r="F98" t="s">
        <v>71</v>
      </c>
      <c r="G98">
        <v>84</v>
      </c>
      <c r="H98">
        <v>0</v>
      </c>
      <c r="I98" t="str">
        <f>OutputTable[[#This Row],[ProjectName]]&amp;OutputTable[[#This Row],[Name]]&amp;OutputTable[[#This Row],[Type]]&amp;OutputTable[[#This Row],[Source]]</f>
        <v>Unnamed ProjectCustomer.NumberOutNumber OutEntity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30</v>
      </c>
      <c r="K98" cm="1">
        <f t="array" ref="K98">IFERROR(AVERAGE(IF((OutputTable[GroupByKey]=OutputTable[[#This Row],[GroupByKey]]),(OutputTable[GroupByKey]=OutputTable[[#This Row],[GroupByKey]])*OutputTable[RecordedValue])),0)</f>
        <v>89.166666666666671</v>
      </c>
      <c r="L98" cm="1">
        <f t="array" ref="L98">IFERROR(_xlfn.STDEV.S(IF((OutputTable[GroupByKey]=OutputTable[[#This Row],[GroupByKey]]),(OutputTable[GroupByKey]=OutputTable[[#This Row],[GroupByKey]])*OutputTable[RecordedValue])),0)</f>
        <v>7.9658033485961566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98" cm="1">
        <f t="array" ref="O98">MIN(IF((OutputTable[GroupByKey]=OutputTable[[#This Row],[GroupByKey]]),(OutputTable[GroupByKey]=OutputTable[[#This Row],[GroupByKey]])*OutputTable[RecordedValue]))</f>
        <v>70</v>
      </c>
      <c r="P98" cm="1">
        <f t="array" ref="P98">MAX(IF((OutputTable[GroupByKey]=OutputTable[[#This Row],[GroupByKey]]),(OutputTable[GroupByKey]=OutputTable[[#This Row],[GroupByKey]])*OutputTable[RecordedValue]))</f>
        <v>103</v>
      </c>
    </row>
    <row r="99" spans="1:16" x14ac:dyDescent="0.3">
      <c r="A99" t="s">
        <v>66</v>
      </c>
      <c r="B99" t="s">
        <v>68</v>
      </c>
      <c r="C99">
        <v>20</v>
      </c>
      <c r="D99" t="s">
        <v>95</v>
      </c>
      <c r="E99" t="s">
        <v>96</v>
      </c>
      <c r="F99" t="s">
        <v>83</v>
      </c>
      <c r="G99">
        <v>85</v>
      </c>
      <c r="H99">
        <v>0</v>
      </c>
      <c r="I9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30</v>
      </c>
      <c r="K99" cm="1">
        <f t="array" ref="K99">IFERROR(AVERAGE(IF((OutputTable[GroupByKey]=OutputTable[[#This Row],[GroupByKey]]),(OutputTable[GroupByKey]=OutputTable[[#This Row],[GroupByKey]])*OutputTable[RecordedValue])),0)</f>
        <v>89.733333333333334</v>
      </c>
      <c r="L99" cm="1">
        <f t="array" ref="L99">IFERROR(_xlfn.STDEV.S(IF((OutputTable[GroupByKey]=OutputTable[[#This Row],[GroupByKey]]),(OutputTable[GroupByKey]=OutputTable[[#This Row],[GroupByKey]])*OutputTable[RecordedValue])),0)</f>
        <v>8.0212361818523625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99" cm="1">
        <f t="array" ref="O99">MIN(IF((OutputTable[GroupByKey]=OutputTable[[#This Row],[GroupByKey]]),(OutputTable[GroupByKey]=OutputTable[[#This Row],[GroupByKey]])*OutputTable[RecordedValue]))</f>
        <v>71</v>
      </c>
      <c r="P99" cm="1">
        <f t="array" ref="P99">MAX(IF((OutputTable[GroupByKey]=OutputTable[[#This Row],[GroupByKey]]),(OutputTable[GroupByKey]=OutputTable[[#This Row],[GroupByKey]])*OutputTable[RecordedValue]))</f>
        <v>103</v>
      </c>
    </row>
    <row r="100" spans="1:16" x14ac:dyDescent="0.3">
      <c r="A100" t="s">
        <v>66</v>
      </c>
      <c r="B100" t="s">
        <v>68</v>
      </c>
      <c r="C100">
        <v>20</v>
      </c>
      <c r="D100" t="s">
        <v>97</v>
      </c>
      <c r="E100" t="s">
        <v>98</v>
      </c>
      <c r="F100" t="s">
        <v>83</v>
      </c>
      <c r="G100">
        <v>0.29353894592413499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30</v>
      </c>
      <c r="K100" cm="1">
        <f t="array" ref="K100">IFERROR(AVERAGE(IF((OutputTable[GroupByKey]=OutputTable[[#This Row],[GroupByKey]]),(OutputTable[GroupByKey]=OutputTable[[#This Row],[GroupByKey]])*OutputTable[RecordedValue])),0)</f>
        <v>0.34420349255945865</v>
      </c>
      <c r="L100" cm="1">
        <f t="array" ref="L100">IFERROR(_xlfn.STDEV.S(IF((OutputTable[GroupByKey]=OutputTable[[#This Row],[GroupByKey]]),(OutputTable[GroupByKey]=OutputTable[[#This Row],[GroupByKey]])*OutputTable[RecordedValue])),0)</f>
        <v>4.5304829879571427E-2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100" cm="1">
        <f t="array" ref="O100">MIN(IF((OutputTable[GroupByKey]=OutputTable[[#This Row],[GroupByKey]]),(OutputTable[GroupByKey]=OutputTable[[#This Row],[GroupByKey]])*OutputTable[RecordedValue]))</f>
        <v>0.24637585883753399</v>
      </c>
      <c r="P100" cm="1">
        <f t="array" ref="P100">MAX(IF((OutputTable[GroupByKey]=OutputTable[[#This Row],[GroupByKey]]),(OutputTable[GroupByKey]=OutputTable[[#This Row],[GroupByKey]])*OutputTable[RecordedValue]))</f>
        <v>0.43753875749565602</v>
      </c>
    </row>
    <row r="101" spans="1:16" x14ac:dyDescent="0.3">
      <c r="A101" t="s">
        <v>66</v>
      </c>
      <c r="B101" t="s">
        <v>68</v>
      </c>
      <c r="C101">
        <v>20</v>
      </c>
      <c r="D101" t="s">
        <v>99</v>
      </c>
      <c r="E101" t="s">
        <v>94</v>
      </c>
      <c r="F101" t="s">
        <v>100</v>
      </c>
      <c r="G101">
        <v>84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ProjectSystem.NumberOutNumber OutSystem</v>
      </c>
      <c r="J101" cm="1">
        <f t="array" ref="J101">MAX(IF((ProjectInfoTable[ProjectName]=OutputTable[[#This Row],[ProjectName]]),(ProjectInfoTable[ProjectName]=OutputTable[[#This Row],[ProjectName]])*ProjectInfoTable[NumberOfReplications]))</f>
        <v>30</v>
      </c>
      <c r="K101" cm="1">
        <f t="array" ref="K101">IFERROR(AVERAGE(IF((OutputTable[GroupByKey]=OutputTable[[#This Row],[GroupByKey]]),(OutputTable[GroupByKey]=OutputTable[[#This Row],[GroupByKey]])*OutputTable[RecordedValue])),0)</f>
        <v>89.166666666666671</v>
      </c>
      <c r="L101" cm="1">
        <f t="array" ref="L101">IFERROR(_xlfn.STDEV.S(IF((OutputTable[GroupByKey]=OutputTable[[#This Row],[GroupByKey]]),(OutputTable[GroupByKey]=OutputTable[[#This Row],[GroupByKey]])*OutputTable[RecordedValue])),0)</f>
        <v>7.9658033485961566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101" cm="1">
        <f t="array" ref="O101">MIN(IF((OutputTable[GroupByKey]=OutputTable[[#This Row],[GroupByKey]]),(OutputTable[GroupByKey]=OutputTable[[#This Row],[GroupByKey]])*OutputTable[RecordedValue]))</f>
        <v>70</v>
      </c>
      <c r="P101" cm="1">
        <f t="array" ref="P101">MAX(IF((OutputTable[GroupByKey]=OutputTable[[#This Row],[GroupByKey]]),(OutputTable[GroupByKey]=OutputTable[[#This Row],[GroupByKey]])*OutputTable[RecordedValue]))</f>
        <v>103</v>
      </c>
    </row>
    <row r="102" spans="1:16" x14ac:dyDescent="0.3">
      <c r="A102" t="s">
        <v>66</v>
      </c>
      <c r="B102" t="s">
        <v>68</v>
      </c>
      <c r="C102">
        <v>21</v>
      </c>
      <c r="D102" t="s">
        <v>91</v>
      </c>
      <c r="E102" t="s">
        <v>92</v>
      </c>
      <c r="F102" t="s">
        <v>71</v>
      </c>
      <c r="G102">
        <v>96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ProjectCustomer.NumberInNumber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30</v>
      </c>
      <c r="K102" cm="1">
        <f t="array" ref="K102">IFERROR(AVERAGE(IF((OutputTable[GroupByKey]=OutputTable[[#This Row],[GroupByKey]]),(OutputTable[GroupByKey]=OutputTable[[#This Row],[GroupByKey]])*OutputTable[RecordedValue])),0)</f>
        <v>89.733333333333334</v>
      </c>
      <c r="L102" cm="1">
        <f t="array" ref="L102">IFERROR(_xlfn.STDEV.S(IF((OutputTable[GroupByKey]=OutputTable[[#This Row],[GroupByKey]]),(OutputTable[GroupByKey]=OutputTable[[#This Row],[GroupByKey]])*OutputTable[RecordedValue])),0)</f>
        <v>8.0212361818523625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102" cm="1">
        <f t="array" ref="O102">MIN(IF((OutputTable[GroupByKey]=OutputTable[[#This Row],[GroupByKey]]),(OutputTable[GroupByKey]=OutputTable[[#This Row],[GroupByKey]])*OutputTable[RecordedValue]))</f>
        <v>71</v>
      </c>
      <c r="P102" cm="1">
        <f t="array" ref="P102">MAX(IF((OutputTable[GroupByKey]=OutputTable[[#This Row],[GroupByKey]]),(OutputTable[GroupByKey]=OutputTable[[#This Row],[GroupByKey]])*OutputTable[RecordedValue]))</f>
        <v>103</v>
      </c>
    </row>
    <row r="103" spans="1:16" x14ac:dyDescent="0.3">
      <c r="A103" t="s">
        <v>66</v>
      </c>
      <c r="B103" t="s">
        <v>68</v>
      </c>
      <c r="C103">
        <v>21</v>
      </c>
      <c r="D103" t="s">
        <v>93</v>
      </c>
      <c r="E103" t="s">
        <v>94</v>
      </c>
      <c r="F103" t="s">
        <v>71</v>
      </c>
      <c r="G103">
        <v>96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ProjectCustomer.NumberOutNumber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30</v>
      </c>
      <c r="K103" cm="1">
        <f t="array" ref="K103">IFERROR(AVERAGE(IF((OutputTable[GroupByKey]=OutputTable[[#This Row],[GroupByKey]]),(OutputTable[GroupByKey]=OutputTable[[#This Row],[GroupByKey]])*OutputTable[RecordedValue])),0)</f>
        <v>89.166666666666671</v>
      </c>
      <c r="L103" cm="1">
        <f t="array" ref="L103">IFERROR(_xlfn.STDEV.S(IF((OutputTable[GroupByKey]=OutputTable[[#This Row],[GroupByKey]]),(OutputTable[GroupByKey]=OutputTable[[#This Row],[GroupByKey]])*OutputTable[RecordedValue])),0)</f>
        <v>7.9658033485961566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103" cm="1">
        <f t="array" ref="O103">MIN(IF((OutputTable[GroupByKey]=OutputTable[[#This Row],[GroupByKey]]),(OutputTable[GroupByKey]=OutputTable[[#This Row],[GroupByKey]])*OutputTable[RecordedValue]))</f>
        <v>70</v>
      </c>
      <c r="P103" cm="1">
        <f t="array" ref="P103">MAX(IF((OutputTable[GroupByKey]=OutputTable[[#This Row],[GroupByKey]]),(OutputTable[GroupByKey]=OutputTable[[#This Row],[GroupByKey]])*OutputTable[RecordedValue]))</f>
        <v>103</v>
      </c>
    </row>
    <row r="104" spans="1:16" x14ac:dyDescent="0.3">
      <c r="A104" t="s">
        <v>66</v>
      </c>
      <c r="B104" t="s">
        <v>68</v>
      </c>
      <c r="C104">
        <v>21</v>
      </c>
      <c r="D104" t="s">
        <v>95</v>
      </c>
      <c r="E104" t="s">
        <v>96</v>
      </c>
      <c r="F104" t="s">
        <v>83</v>
      </c>
      <c r="G104">
        <v>96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30</v>
      </c>
      <c r="K104" cm="1">
        <f t="array" ref="K104">IFERROR(AVERAGE(IF((OutputTable[GroupByKey]=OutputTable[[#This Row],[GroupByKey]]),(OutputTable[GroupByKey]=OutputTable[[#This Row],[GroupByKey]])*OutputTable[RecordedValue])),0)</f>
        <v>89.733333333333334</v>
      </c>
      <c r="L104" cm="1">
        <f t="array" ref="L104">IFERROR(_xlfn.STDEV.S(IF((OutputTable[GroupByKey]=OutputTable[[#This Row],[GroupByKey]]),(OutputTable[GroupByKey]=OutputTable[[#This Row],[GroupByKey]])*OutputTable[RecordedValue])),0)</f>
        <v>8.0212361818523625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104" cm="1">
        <f t="array" ref="O104">MIN(IF((OutputTable[GroupByKey]=OutputTable[[#This Row],[GroupByKey]]),(OutputTable[GroupByKey]=OutputTable[[#This Row],[GroupByKey]])*OutputTable[RecordedValue]))</f>
        <v>71</v>
      </c>
      <c r="P104" cm="1">
        <f t="array" ref="P104">MAX(IF((OutputTable[GroupByKey]=OutputTable[[#This Row],[GroupByKey]]),(OutputTable[GroupByKey]=OutputTable[[#This Row],[GroupByKey]])*OutputTable[RecordedValue]))</f>
        <v>103</v>
      </c>
    </row>
    <row r="105" spans="1:16" x14ac:dyDescent="0.3">
      <c r="A105" t="s">
        <v>66</v>
      </c>
      <c r="B105" t="s">
        <v>68</v>
      </c>
      <c r="C105">
        <v>21</v>
      </c>
      <c r="D105" t="s">
        <v>97</v>
      </c>
      <c r="E105" t="s">
        <v>98</v>
      </c>
      <c r="F105" t="s">
        <v>83</v>
      </c>
      <c r="G105">
        <v>0.312032872940396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30</v>
      </c>
      <c r="K105" cm="1">
        <f t="array" ref="K105">IFERROR(AVERAGE(IF((OutputTable[GroupByKey]=OutputTable[[#This Row],[GroupByKey]]),(OutputTable[GroupByKey]=OutputTable[[#This Row],[GroupByKey]])*OutputTable[RecordedValue])),0)</f>
        <v>0.34420349255945865</v>
      </c>
      <c r="L105" cm="1">
        <f t="array" ref="L105">IFERROR(_xlfn.STDEV.S(IF((OutputTable[GroupByKey]=OutputTable[[#This Row],[GroupByKey]]),(OutputTable[GroupByKey]=OutputTable[[#This Row],[GroupByKey]])*OutputTable[RecordedValue])),0)</f>
        <v>4.5304829879571427E-2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105" cm="1">
        <f t="array" ref="O105">MIN(IF((OutputTable[GroupByKey]=OutputTable[[#This Row],[GroupByKey]]),(OutputTable[GroupByKey]=OutputTable[[#This Row],[GroupByKey]])*OutputTable[RecordedValue]))</f>
        <v>0.24637585883753399</v>
      </c>
      <c r="P105" cm="1">
        <f t="array" ref="P105">MAX(IF((OutputTable[GroupByKey]=OutputTable[[#This Row],[GroupByKey]]),(OutputTable[GroupByKey]=OutputTable[[#This Row],[GroupByKey]])*OutputTable[RecordedValue]))</f>
        <v>0.43753875749565602</v>
      </c>
    </row>
    <row r="106" spans="1:16" x14ac:dyDescent="0.3">
      <c r="A106" t="s">
        <v>66</v>
      </c>
      <c r="B106" t="s">
        <v>68</v>
      </c>
      <c r="C106">
        <v>21</v>
      </c>
      <c r="D106" t="s">
        <v>99</v>
      </c>
      <c r="E106" t="s">
        <v>94</v>
      </c>
      <c r="F106" t="s">
        <v>100</v>
      </c>
      <c r="G106">
        <v>96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ProjectSystem.NumberOutNumber OutSystem</v>
      </c>
      <c r="J106" cm="1">
        <f t="array" ref="J106">MAX(IF((ProjectInfoTable[ProjectName]=OutputTable[[#This Row],[ProjectName]]),(ProjectInfoTable[ProjectName]=OutputTable[[#This Row],[ProjectName]])*ProjectInfoTable[NumberOfReplications]))</f>
        <v>30</v>
      </c>
      <c r="K106" cm="1">
        <f t="array" ref="K106">IFERROR(AVERAGE(IF((OutputTable[GroupByKey]=OutputTable[[#This Row],[GroupByKey]]),(OutputTable[GroupByKey]=OutputTable[[#This Row],[GroupByKey]])*OutputTable[RecordedValue])),0)</f>
        <v>89.166666666666671</v>
      </c>
      <c r="L106" cm="1">
        <f t="array" ref="L106">IFERROR(_xlfn.STDEV.S(IF((OutputTable[GroupByKey]=OutputTable[[#This Row],[GroupByKey]]),(OutputTable[GroupByKey]=OutputTable[[#This Row],[GroupByKey]])*OutputTable[RecordedValue])),0)</f>
        <v>7.9658033485961566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106" cm="1">
        <f t="array" ref="O106">MIN(IF((OutputTable[GroupByKey]=OutputTable[[#This Row],[GroupByKey]]),(OutputTable[GroupByKey]=OutputTable[[#This Row],[GroupByKey]])*OutputTable[RecordedValue]))</f>
        <v>70</v>
      </c>
      <c r="P106" cm="1">
        <f t="array" ref="P106">MAX(IF((OutputTable[GroupByKey]=OutputTable[[#This Row],[GroupByKey]]),(OutputTable[GroupByKey]=OutputTable[[#This Row],[GroupByKey]])*OutputTable[RecordedValue]))</f>
        <v>103</v>
      </c>
    </row>
    <row r="107" spans="1:16" x14ac:dyDescent="0.3">
      <c r="A107" t="s">
        <v>66</v>
      </c>
      <c r="B107" t="s">
        <v>68</v>
      </c>
      <c r="C107">
        <v>22</v>
      </c>
      <c r="D107" t="s">
        <v>91</v>
      </c>
      <c r="E107" t="s">
        <v>92</v>
      </c>
      <c r="F107" t="s">
        <v>71</v>
      </c>
      <c r="G107">
        <v>85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ProjectCustomer.NumberInNumber InEntity</v>
      </c>
      <c r="J107" cm="1">
        <f t="array" ref="J107">MAX(IF((ProjectInfoTable[ProjectName]=OutputTable[[#This Row],[ProjectName]]),(ProjectInfoTable[ProjectName]=OutputTable[[#This Row],[ProjectName]])*ProjectInfoTable[NumberOfReplications]))</f>
        <v>30</v>
      </c>
      <c r="K107" cm="1">
        <f t="array" ref="K107">IFERROR(AVERAGE(IF((OutputTable[GroupByKey]=OutputTable[[#This Row],[GroupByKey]]),(OutputTable[GroupByKey]=OutputTable[[#This Row],[GroupByKey]])*OutputTable[RecordedValue])),0)</f>
        <v>89.733333333333334</v>
      </c>
      <c r="L107" cm="1">
        <f t="array" ref="L107">IFERROR(_xlfn.STDEV.S(IF((OutputTable[GroupByKey]=OutputTable[[#This Row],[GroupByKey]]),(OutputTable[GroupByKey]=OutputTable[[#This Row],[GroupByKey]])*OutputTable[RecordedValue])),0)</f>
        <v>8.0212361818523625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107" cm="1">
        <f t="array" ref="O107">MIN(IF((OutputTable[GroupByKey]=OutputTable[[#This Row],[GroupByKey]]),(OutputTable[GroupByKey]=OutputTable[[#This Row],[GroupByKey]])*OutputTable[RecordedValue]))</f>
        <v>71</v>
      </c>
      <c r="P107" cm="1">
        <f t="array" ref="P107">MAX(IF((OutputTable[GroupByKey]=OutputTable[[#This Row],[GroupByKey]]),(OutputTable[GroupByKey]=OutputTable[[#This Row],[GroupByKey]])*OutputTable[RecordedValue]))</f>
        <v>103</v>
      </c>
    </row>
    <row r="108" spans="1:16" x14ac:dyDescent="0.3">
      <c r="A108" t="s">
        <v>66</v>
      </c>
      <c r="B108" t="s">
        <v>68</v>
      </c>
      <c r="C108">
        <v>22</v>
      </c>
      <c r="D108" t="s">
        <v>93</v>
      </c>
      <c r="E108" t="s">
        <v>94</v>
      </c>
      <c r="F108" t="s">
        <v>71</v>
      </c>
      <c r="G108">
        <v>85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ProjectCustomer.NumberOutNumber OutEntity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30</v>
      </c>
      <c r="K108" cm="1">
        <f t="array" ref="K108">IFERROR(AVERAGE(IF((OutputTable[GroupByKey]=OutputTable[[#This Row],[GroupByKey]]),(OutputTable[GroupByKey]=OutputTable[[#This Row],[GroupByKey]])*OutputTable[RecordedValue])),0)</f>
        <v>89.166666666666671</v>
      </c>
      <c r="L108" cm="1">
        <f t="array" ref="L108">IFERROR(_xlfn.STDEV.S(IF((OutputTable[GroupByKey]=OutputTable[[#This Row],[GroupByKey]]),(OutputTable[GroupByKey]=OutputTable[[#This Row],[GroupByKey]])*OutputTable[RecordedValue])),0)</f>
        <v>7.9658033485961566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108" cm="1">
        <f t="array" ref="O108">MIN(IF((OutputTable[GroupByKey]=OutputTable[[#This Row],[GroupByKey]]),(OutputTable[GroupByKey]=OutputTable[[#This Row],[GroupByKey]])*OutputTable[RecordedValue]))</f>
        <v>70</v>
      </c>
      <c r="P108" cm="1">
        <f t="array" ref="P108">MAX(IF((OutputTable[GroupByKey]=OutputTable[[#This Row],[GroupByKey]]),(OutputTable[GroupByKey]=OutputTable[[#This Row],[GroupByKey]])*OutputTable[RecordedValue]))</f>
        <v>103</v>
      </c>
    </row>
    <row r="109" spans="1:16" x14ac:dyDescent="0.3">
      <c r="A109" t="s">
        <v>66</v>
      </c>
      <c r="B109" t="s">
        <v>68</v>
      </c>
      <c r="C109">
        <v>22</v>
      </c>
      <c r="D109" t="s">
        <v>95</v>
      </c>
      <c r="E109" t="s">
        <v>96</v>
      </c>
      <c r="F109" t="s">
        <v>83</v>
      </c>
      <c r="G109">
        <v>85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30</v>
      </c>
      <c r="K109" cm="1">
        <f t="array" ref="K109">IFERROR(AVERAGE(IF((OutputTable[GroupByKey]=OutputTable[[#This Row],[GroupByKey]]),(OutputTable[GroupByKey]=OutputTable[[#This Row],[GroupByKey]])*OutputTable[RecordedValue])),0)</f>
        <v>89.733333333333334</v>
      </c>
      <c r="L109" cm="1">
        <f t="array" ref="L109">IFERROR(_xlfn.STDEV.S(IF((OutputTable[GroupByKey]=OutputTable[[#This Row],[GroupByKey]]),(OutputTable[GroupByKey]=OutputTable[[#This Row],[GroupByKey]])*OutputTable[RecordedValue])),0)</f>
        <v>8.0212361818523625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109" cm="1">
        <f t="array" ref="O109">MIN(IF((OutputTable[GroupByKey]=OutputTable[[#This Row],[GroupByKey]]),(OutputTable[GroupByKey]=OutputTable[[#This Row],[GroupByKey]])*OutputTable[RecordedValue]))</f>
        <v>71</v>
      </c>
      <c r="P109" cm="1">
        <f t="array" ref="P109">MAX(IF((OutputTable[GroupByKey]=OutputTable[[#This Row],[GroupByKey]]),(OutputTable[GroupByKey]=OutputTable[[#This Row],[GroupByKey]])*OutputTable[RecordedValue]))</f>
        <v>103</v>
      </c>
    </row>
    <row r="110" spans="1:16" x14ac:dyDescent="0.3">
      <c r="A110" t="s">
        <v>66</v>
      </c>
      <c r="B110" t="s">
        <v>68</v>
      </c>
      <c r="C110">
        <v>22</v>
      </c>
      <c r="D110" t="s">
        <v>97</v>
      </c>
      <c r="E110" t="s">
        <v>98</v>
      </c>
      <c r="F110" t="s">
        <v>83</v>
      </c>
      <c r="G110">
        <v>0.39603896182558501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30</v>
      </c>
      <c r="K110" cm="1">
        <f t="array" ref="K110">IFERROR(AVERAGE(IF((OutputTable[GroupByKey]=OutputTable[[#This Row],[GroupByKey]]),(OutputTable[GroupByKey]=OutputTable[[#This Row],[GroupByKey]])*OutputTable[RecordedValue])),0)</f>
        <v>0.34420349255945865</v>
      </c>
      <c r="L110" cm="1">
        <f t="array" ref="L110">IFERROR(_xlfn.STDEV.S(IF((OutputTable[GroupByKey]=OutputTable[[#This Row],[GroupByKey]]),(OutputTable[GroupByKey]=OutputTable[[#This Row],[GroupByKey]])*OutputTable[RecordedValue])),0)</f>
        <v>4.5304829879571427E-2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110" cm="1">
        <f t="array" ref="O110">MIN(IF((OutputTable[GroupByKey]=OutputTable[[#This Row],[GroupByKey]]),(OutputTable[GroupByKey]=OutputTable[[#This Row],[GroupByKey]])*OutputTable[RecordedValue]))</f>
        <v>0.24637585883753399</v>
      </c>
      <c r="P110" cm="1">
        <f t="array" ref="P110">MAX(IF((OutputTable[GroupByKey]=OutputTable[[#This Row],[GroupByKey]]),(OutputTable[GroupByKey]=OutputTable[[#This Row],[GroupByKey]])*OutputTable[RecordedValue]))</f>
        <v>0.43753875749565602</v>
      </c>
    </row>
    <row r="111" spans="1:16" x14ac:dyDescent="0.3">
      <c r="A111" t="s">
        <v>66</v>
      </c>
      <c r="B111" t="s">
        <v>68</v>
      </c>
      <c r="C111">
        <v>22</v>
      </c>
      <c r="D111" t="s">
        <v>99</v>
      </c>
      <c r="E111" t="s">
        <v>94</v>
      </c>
      <c r="F111" t="s">
        <v>100</v>
      </c>
      <c r="G111">
        <v>85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ProjectSystem.NumberOutNumber OutSystem</v>
      </c>
      <c r="J111" cm="1">
        <f t="array" ref="J111">MAX(IF((ProjectInfoTable[ProjectName]=OutputTable[[#This Row],[ProjectName]]),(ProjectInfoTable[ProjectName]=OutputTable[[#This Row],[ProjectName]])*ProjectInfoTable[NumberOfReplications]))</f>
        <v>30</v>
      </c>
      <c r="K111" cm="1">
        <f t="array" ref="K111">IFERROR(AVERAGE(IF((OutputTable[GroupByKey]=OutputTable[[#This Row],[GroupByKey]]),(OutputTable[GroupByKey]=OutputTable[[#This Row],[GroupByKey]])*OutputTable[RecordedValue])),0)</f>
        <v>89.166666666666671</v>
      </c>
      <c r="L111" cm="1">
        <f t="array" ref="L111">IFERROR(_xlfn.STDEV.S(IF((OutputTable[GroupByKey]=OutputTable[[#This Row],[GroupByKey]]),(OutputTable[GroupByKey]=OutputTable[[#This Row],[GroupByKey]])*OutputTable[RecordedValue])),0)</f>
        <v>7.9658033485961566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111" cm="1">
        <f t="array" ref="O111">MIN(IF((OutputTable[GroupByKey]=OutputTable[[#This Row],[GroupByKey]]),(OutputTable[GroupByKey]=OutputTable[[#This Row],[GroupByKey]])*OutputTable[RecordedValue]))</f>
        <v>70</v>
      </c>
      <c r="P111" cm="1">
        <f t="array" ref="P111">MAX(IF((OutputTable[GroupByKey]=OutputTable[[#This Row],[GroupByKey]]),(OutputTable[GroupByKey]=OutputTable[[#This Row],[GroupByKey]])*OutputTable[RecordedValue]))</f>
        <v>103</v>
      </c>
    </row>
    <row r="112" spans="1:16" x14ac:dyDescent="0.3">
      <c r="A112" t="s">
        <v>66</v>
      </c>
      <c r="B112" t="s">
        <v>68</v>
      </c>
      <c r="C112">
        <v>23</v>
      </c>
      <c r="D112" t="s">
        <v>91</v>
      </c>
      <c r="E112" t="s">
        <v>92</v>
      </c>
      <c r="F112" t="s">
        <v>71</v>
      </c>
      <c r="G112">
        <v>91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ProjectCustomer.NumberInNumber InEntity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30</v>
      </c>
      <c r="K112" s="5" cm="1">
        <f t="array" ref="K112">IFERROR(AVERAGE(IF((OutputTable[GroupByKey]=OutputTable[[#This Row],[GroupByKey]]),(OutputTable[GroupByKey]=OutputTable[[#This Row],[GroupByKey]])*OutputTable[RecordedValue])),0)</f>
        <v>89.733333333333334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8.0212361818523625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112" s="5" cm="1">
        <f t="array" ref="O112">MIN(IF((OutputTable[GroupByKey]=OutputTable[[#This Row],[GroupByKey]]),(OutputTable[GroupByKey]=OutputTable[[#This Row],[GroupByKey]])*OutputTable[RecordedValue]))</f>
        <v>71</v>
      </c>
      <c r="P112" s="5" cm="1">
        <f t="array" ref="P112">MAX(IF((OutputTable[GroupByKey]=OutputTable[[#This Row],[GroupByKey]]),(OutputTable[GroupByKey]=OutputTable[[#This Row],[GroupByKey]])*OutputTable[RecordedValue]))</f>
        <v>103</v>
      </c>
    </row>
    <row r="113" spans="1:16" x14ac:dyDescent="0.3">
      <c r="A113" t="s">
        <v>66</v>
      </c>
      <c r="B113" t="s">
        <v>68</v>
      </c>
      <c r="C113">
        <v>23</v>
      </c>
      <c r="D113" t="s">
        <v>93</v>
      </c>
      <c r="E113" t="s">
        <v>94</v>
      </c>
      <c r="F113" t="s">
        <v>71</v>
      </c>
      <c r="G113">
        <v>91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ProjectCustomer.NumberOutNumber OutEntity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30</v>
      </c>
      <c r="K113" s="5" cm="1">
        <f t="array" ref="K113">IFERROR(AVERAGE(IF((OutputTable[GroupByKey]=OutputTable[[#This Row],[GroupByKey]]),(OutputTable[GroupByKey]=OutputTable[[#This Row],[GroupByKey]])*OutputTable[RecordedValue])),0)</f>
        <v>89.166666666666671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7.9658033485961566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113" s="5" cm="1">
        <f t="array" ref="O113">MIN(IF((OutputTable[GroupByKey]=OutputTable[[#This Row],[GroupByKey]]),(OutputTable[GroupByKey]=OutputTable[[#This Row],[GroupByKey]])*OutputTable[RecordedValue]))</f>
        <v>70</v>
      </c>
      <c r="P113" s="5" cm="1">
        <f t="array" ref="P113">MAX(IF((OutputTable[GroupByKey]=OutputTable[[#This Row],[GroupByKey]]),(OutputTable[GroupByKey]=OutputTable[[#This Row],[GroupByKey]])*OutputTable[RecordedValue]))</f>
        <v>103</v>
      </c>
    </row>
    <row r="114" spans="1:16" x14ac:dyDescent="0.3">
      <c r="A114" t="s">
        <v>66</v>
      </c>
      <c r="B114" t="s">
        <v>68</v>
      </c>
      <c r="C114">
        <v>23</v>
      </c>
      <c r="D114" t="s">
        <v>95</v>
      </c>
      <c r="E114" t="s">
        <v>96</v>
      </c>
      <c r="F114" t="s">
        <v>83</v>
      </c>
      <c r="G114">
        <v>91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30</v>
      </c>
      <c r="K114" s="5" cm="1">
        <f t="array" ref="K114">IFERROR(AVERAGE(IF((OutputTable[GroupByKey]=OutputTable[[#This Row],[GroupByKey]]),(OutputTable[GroupByKey]=OutputTable[[#This Row],[GroupByKey]])*OutputTable[RecordedValue])),0)</f>
        <v>89.733333333333334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8.0212361818523625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114" s="5" cm="1">
        <f t="array" ref="O114">MIN(IF((OutputTable[GroupByKey]=OutputTable[[#This Row],[GroupByKey]]),(OutputTable[GroupByKey]=OutputTable[[#This Row],[GroupByKey]])*OutputTable[RecordedValue]))</f>
        <v>71</v>
      </c>
      <c r="P114" s="5" cm="1">
        <f t="array" ref="P114">MAX(IF((OutputTable[GroupByKey]=OutputTable[[#This Row],[GroupByKey]]),(OutputTable[GroupByKey]=OutputTable[[#This Row],[GroupByKey]])*OutputTable[RecordedValue]))</f>
        <v>103</v>
      </c>
    </row>
    <row r="115" spans="1:16" x14ac:dyDescent="0.3">
      <c r="A115" t="s">
        <v>66</v>
      </c>
      <c r="B115" t="s">
        <v>68</v>
      </c>
      <c r="C115">
        <v>23</v>
      </c>
      <c r="D115" t="s">
        <v>97</v>
      </c>
      <c r="E115" t="s">
        <v>98</v>
      </c>
      <c r="F115" t="s">
        <v>83</v>
      </c>
      <c r="G115">
        <v>0.31864533215706398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30</v>
      </c>
      <c r="K115" s="5" cm="1">
        <f t="array" ref="K115">IFERROR(AVERAGE(IF((OutputTable[GroupByKey]=OutputTable[[#This Row],[GroupByKey]]),(OutputTable[GroupByKey]=OutputTable[[#This Row],[GroupByKey]])*OutputTable[RecordedValue])),0)</f>
        <v>0.34420349255945865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4.5304829879571427E-2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115" s="5" cm="1">
        <f t="array" ref="O115">MIN(IF((OutputTable[GroupByKey]=OutputTable[[#This Row],[GroupByKey]]),(OutputTable[GroupByKey]=OutputTable[[#This Row],[GroupByKey]])*OutputTable[RecordedValue]))</f>
        <v>0.24637585883753399</v>
      </c>
      <c r="P115" s="5" cm="1">
        <f t="array" ref="P115">MAX(IF((OutputTable[GroupByKey]=OutputTable[[#This Row],[GroupByKey]]),(OutputTable[GroupByKey]=OutputTable[[#This Row],[GroupByKey]])*OutputTable[RecordedValue]))</f>
        <v>0.43753875749565602</v>
      </c>
    </row>
    <row r="116" spans="1:16" x14ac:dyDescent="0.3">
      <c r="A116" t="s">
        <v>66</v>
      </c>
      <c r="B116" t="s">
        <v>68</v>
      </c>
      <c r="C116">
        <v>23</v>
      </c>
      <c r="D116" t="s">
        <v>99</v>
      </c>
      <c r="E116" t="s">
        <v>94</v>
      </c>
      <c r="F116" t="s">
        <v>100</v>
      </c>
      <c r="G116">
        <v>91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ProjectSystem.NumberOutNumber OutSystem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30</v>
      </c>
      <c r="K116" s="5" cm="1">
        <f t="array" ref="K116">IFERROR(AVERAGE(IF((OutputTable[GroupByKey]=OutputTable[[#This Row],[GroupByKey]]),(OutputTable[GroupByKey]=OutputTable[[#This Row],[GroupByKey]])*OutputTable[RecordedValue])),0)</f>
        <v>89.166666666666671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7.9658033485961566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116" s="5" cm="1">
        <f t="array" ref="O116">MIN(IF((OutputTable[GroupByKey]=OutputTable[[#This Row],[GroupByKey]]),(OutputTable[GroupByKey]=OutputTable[[#This Row],[GroupByKey]])*OutputTable[RecordedValue]))</f>
        <v>70</v>
      </c>
      <c r="P116" s="5" cm="1">
        <f t="array" ref="P116">MAX(IF((OutputTable[GroupByKey]=OutputTable[[#This Row],[GroupByKey]]),(OutputTable[GroupByKey]=OutputTable[[#This Row],[GroupByKey]])*OutputTable[RecordedValue]))</f>
        <v>103</v>
      </c>
    </row>
    <row r="117" spans="1:16" x14ac:dyDescent="0.3">
      <c r="A117" t="s">
        <v>66</v>
      </c>
      <c r="B117" t="s">
        <v>68</v>
      </c>
      <c r="C117">
        <v>24</v>
      </c>
      <c r="D117" t="s">
        <v>91</v>
      </c>
      <c r="E117" t="s">
        <v>92</v>
      </c>
      <c r="F117" t="s">
        <v>71</v>
      </c>
      <c r="G117">
        <v>78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ProjectCustomer.NumberInNumber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30</v>
      </c>
      <c r="K117" s="5" cm="1">
        <f t="array" ref="K117">IFERROR(AVERAGE(IF((OutputTable[GroupByKey]=OutputTable[[#This Row],[GroupByKey]]),(OutputTable[GroupByKey]=OutputTable[[#This Row],[GroupByKey]])*OutputTable[RecordedValue])),0)</f>
        <v>89.733333333333334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8.0212361818523625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117" s="5" cm="1">
        <f t="array" ref="O117">MIN(IF((OutputTable[GroupByKey]=OutputTable[[#This Row],[GroupByKey]]),(OutputTable[GroupByKey]=OutputTable[[#This Row],[GroupByKey]])*OutputTable[RecordedValue]))</f>
        <v>71</v>
      </c>
      <c r="P117" s="5" cm="1">
        <f t="array" ref="P117">MAX(IF((OutputTable[GroupByKey]=OutputTable[[#This Row],[GroupByKey]]),(OutputTable[GroupByKey]=OutputTable[[#This Row],[GroupByKey]])*OutputTable[RecordedValue]))</f>
        <v>103</v>
      </c>
    </row>
    <row r="118" spans="1:16" x14ac:dyDescent="0.3">
      <c r="A118" t="s">
        <v>66</v>
      </c>
      <c r="B118" t="s">
        <v>68</v>
      </c>
      <c r="C118">
        <v>24</v>
      </c>
      <c r="D118" t="s">
        <v>93</v>
      </c>
      <c r="E118" t="s">
        <v>94</v>
      </c>
      <c r="F118" t="s">
        <v>71</v>
      </c>
      <c r="G118">
        <v>78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ProjectCustomer.NumberOutNumber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30</v>
      </c>
      <c r="K118" s="5" cm="1">
        <f t="array" ref="K118">IFERROR(AVERAGE(IF((OutputTable[GroupByKey]=OutputTable[[#This Row],[GroupByKey]]),(OutputTable[GroupByKey]=OutputTable[[#This Row],[GroupByKey]])*OutputTable[RecordedValue])),0)</f>
        <v>89.166666666666671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7.9658033485961566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118" s="5" cm="1">
        <f t="array" ref="O118">MIN(IF((OutputTable[GroupByKey]=OutputTable[[#This Row],[GroupByKey]]),(OutputTable[GroupByKey]=OutputTable[[#This Row],[GroupByKey]])*OutputTable[RecordedValue]))</f>
        <v>70</v>
      </c>
      <c r="P118" s="5" cm="1">
        <f t="array" ref="P118">MAX(IF((OutputTable[GroupByKey]=OutputTable[[#This Row],[GroupByKey]]),(OutputTable[GroupByKey]=OutputTable[[#This Row],[GroupByKey]])*OutputTable[RecordedValue]))</f>
        <v>103</v>
      </c>
    </row>
    <row r="119" spans="1:16" x14ac:dyDescent="0.3">
      <c r="A119" t="s">
        <v>66</v>
      </c>
      <c r="B119" t="s">
        <v>68</v>
      </c>
      <c r="C119">
        <v>24</v>
      </c>
      <c r="D119" t="s">
        <v>95</v>
      </c>
      <c r="E119" t="s">
        <v>96</v>
      </c>
      <c r="F119" t="s">
        <v>83</v>
      </c>
      <c r="G119">
        <v>78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30</v>
      </c>
      <c r="K119" s="5" cm="1">
        <f t="array" ref="K119">IFERROR(AVERAGE(IF((OutputTable[GroupByKey]=OutputTable[[#This Row],[GroupByKey]]),(OutputTable[GroupByKey]=OutputTable[[#This Row],[GroupByKey]])*OutputTable[RecordedValue])),0)</f>
        <v>89.733333333333334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8.0212361818523625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119" s="5" cm="1">
        <f t="array" ref="O119">MIN(IF((OutputTable[GroupByKey]=OutputTable[[#This Row],[GroupByKey]]),(OutputTable[GroupByKey]=OutputTable[[#This Row],[GroupByKey]])*OutputTable[RecordedValue]))</f>
        <v>71</v>
      </c>
      <c r="P119" s="5" cm="1">
        <f t="array" ref="P119">MAX(IF((OutputTable[GroupByKey]=OutputTable[[#This Row],[GroupByKey]]),(OutputTable[GroupByKey]=OutputTable[[#This Row],[GroupByKey]])*OutputTable[RecordedValue]))</f>
        <v>103</v>
      </c>
    </row>
    <row r="120" spans="1:16" x14ac:dyDescent="0.3">
      <c r="A120" t="s">
        <v>66</v>
      </c>
      <c r="B120" t="s">
        <v>68</v>
      </c>
      <c r="C120">
        <v>24</v>
      </c>
      <c r="D120" t="s">
        <v>97</v>
      </c>
      <c r="E120" t="s">
        <v>98</v>
      </c>
      <c r="F120" t="s">
        <v>83</v>
      </c>
      <c r="G120">
        <v>0.32507361550254599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30</v>
      </c>
      <c r="K120" s="5" cm="1">
        <f t="array" ref="K120">IFERROR(AVERAGE(IF((OutputTable[GroupByKey]=OutputTable[[#This Row],[GroupByKey]]),(OutputTable[GroupByKey]=OutputTable[[#This Row],[GroupByKey]])*OutputTable[RecordedValue])),0)</f>
        <v>0.34420349255945865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4.5304829879571427E-2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120" s="5" cm="1">
        <f t="array" ref="O120">MIN(IF((OutputTable[GroupByKey]=OutputTable[[#This Row],[GroupByKey]]),(OutputTable[GroupByKey]=OutputTable[[#This Row],[GroupByKey]])*OutputTable[RecordedValue]))</f>
        <v>0.24637585883753399</v>
      </c>
      <c r="P120" s="5" cm="1">
        <f t="array" ref="P120">MAX(IF((OutputTable[GroupByKey]=OutputTable[[#This Row],[GroupByKey]]),(OutputTable[GroupByKey]=OutputTable[[#This Row],[GroupByKey]])*OutputTable[RecordedValue]))</f>
        <v>0.43753875749565602</v>
      </c>
    </row>
    <row r="121" spans="1:16" x14ac:dyDescent="0.3">
      <c r="A121" t="s">
        <v>66</v>
      </c>
      <c r="B121" t="s">
        <v>68</v>
      </c>
      <c r="C121">
        <v>24</v>
      </c>
      <c r="D121" t="s">
        <v>99</v>
      </c>
      <c r="E121" t="s">
        <v>94</v>
      </c>
      <c r="F121" t="s">
        <v>100</v>
      </c>
      <c r="G121">
        <v>78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ProjectSystem.NumberOutNumber OutSystem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30</v>
      </c>
      <c r="K121" s="5" cm="1">
        <f t="array" ref="K121">IFERROR(AVERAGE(IF((OutputTable[GroupByKey]=OutputTable[[#This Row],[GroupByKey]]),(OutputTable[GroupByKey]=OutputTable[[#This Row],[GroupByKey]])*OutputTable[RecordedValue])),0)</f>
        <v>89.166666666666671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7.9658033485961566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121" s="5" cm="1">
        <f t="array" ref="O121">MIN(IF((OutputTable[GroupByKey]=OutputTable[[#This Row],[GroupByKey]]),(OutputTable[GroupByKey]=OutputTable[[#This Row],[GroupByKey]])*OutputTable[RecordedValue]))</f>
        <v>70</v>
      </c>
      <c r="P121" s="5" cm="1">
        <f t="array" ref="P121">MAX(IF((OutputTable[GroupByKey]=OutputTable[[#This Row],[GroupByKey]]),(OutputTable[GroupByKey]=OutputTable[[#This Row],[GroupByKey]])*OutputTable[RecordedValue]))</f>
        <v>103</v>
      </c>
    </row>
    <row r="122" spans="1:16" x14ac:dyDescent="0.3">
      <c r="A122" t="s">
        <v>66</v>
      </c>
      <c r="B122" t="s">
        <v>68</v>
      </c>
      <c r="C122">
        <v>25</v>
      </c>
      <c r="D122" t="s">
        <v>91</v>
      </c>
      <c r="E122" t="s">
        <v>92</v>
      </c>
      <c r="F122" t="s">
        <v>71</v>
      </c>
      <c r="G122">
        <v>88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ProjectCustomer.NumberInNumber InEntity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30</v>
      </c>
      <c r="K122" s="5" cm="1">
        <f t="array" ref="K122">IFERROR(AVERAGE(IF((OutputTable[GroupByKey]=OutputTable[[#This Row],[GroupByKey]]),(OutputTable[GroupByKey]=OutputTable[[#This Row],[GroupByKey]])*OutputTable[RecordedValue])),0)</f>
        <v>89.733333333333334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8.0212361818523625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122" s="5" cm="1">
        <f t="array" ref="O122">MIN(IF((OutputTable[GroupByKey]=OutputTable[[#This Row],[GroupByKey]]),(OutputTable[GroupByKey]=OutputTable[[#This Row],[GroupByKey]])*OutputTable[RecordedValue]))</f>
        <v>71</v>
      </c>
      <c r="P122" s="5" cm="1">
        <f t="array" ref="P122">MAX(IF((OutputTable[GroupByKey]=OutputTable[[#This Row],[GroupByKey]]),(OutputTable[GroupByKey]=OutputTable[[#This Row],[GroupByKey]])*OutputTable[RecordedValue]))</f>
        <v>103</v>
      </c>
    </row>
    <row r="123" spans="1:16" x14ac:dyDescent="0.3">
      <c r="A123" t="s">
        <v>66</v>
      </c>
      <c r="B123" t="s">
        <v>68</v>
      </c>
      <c r="C123">
        <v>25</v>
      </c>
      <c r="D123" t="s">
        <v>93</v>
      </c>
      <c r="E123" t="s">
        <v>94</v>
      </c>
      <c r="F123" t="s">
        <v>71</v>
      </c>
      <c r="G123">
        <v>88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ProjectCustomer.NumberOutNumber OutEntity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30</v>
      </c>
      <c r="K123" s="5" cm="1">
        <f t="array" ref="K123">IFERROR(AVERAGE(IF((OutputTable[GroupByKey]=OutputTable[[#This Row],[GroupByKey]]),(OutputTable[GroupByKey]=OutputTable[[#This Row],[GroupByKey]])*OutputTable[RecordedValue])),0)</f>
        <v>89.166666666666671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7.9658033485961566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123" s="5" cm="1">
        <f t="array" ref="O123">MIN(IF((OutputTable[GroupByKey]=OutputTable[[#This Row],[GroupByKey]]),(OutputTable[GroupByKey]=OutputTable[[#This Row],[GroupByKey]])*OutputTable[RecordedValue]))</f>
        <v>70</v>
      </c>
      <c r="P123" s="5" cm="1">
        <f t="array" ref="P123">MAX(IF((OutputTable[GroupByKey]=OutputTable[[#This Row],[GroupByKey]]),(OutputTable[GroupByKey]=OutputTable[[#This Row],[GroupByKey]])*OutputTable[RecordedValue]))</f>
        <v>103</v>
      </c>
    </row>
    <row r="124" spans="1:16" x14ac:dyDescent="0.3">
      <c r="A124" t="s">
        <v>66</v>
      </c>
      <c r="B124" t="s">
        <v>68</v>
      </c>
      <c r="C124">
        <v>25</v>
      </c>
      <c r="D124" t="s">
        <v>95</v>
      </c>
      <c r="E124" t="s">
        <v>96</v>
      </c>
      <c r="F124" t="s">
        <v>83</v>
      </c>
      <c r="G124">
        <v>88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30</v>
      </c>
      <c r="K124" s="5" cm="1">
        <f t="array" ref="K124">IFERROR(AVERAGE(IF((OutputTable[GroupByKey]=OutputTable[[#This Row],[GroupByKey]]),(OutputTable[GroupByKey]=OutputTable[[#This Row],[GroupByKey]])*OutputTable[RecordedValue])),0)</f>
        <v>89.733333333333334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8.0212361818523625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124" s="5" cm="1">
        <f t="array" ref="O124">MIN(IF((OutputTable[GroupByKey]=OutputTable[[#This Row],[GroupByKey]]),(OutputTable[GroupByKey]=OutputTable[[#This Row],[GroupByKey]])*OutputTable[RecordedValue]))</f>
        <v>71</v>
      </c>
      <c r="P124" s="5" cm="1">
        <f t="array" ref="P124">MAX(IF((OutputTable[GroupByKey]=OutputTable[[#This Row],[GroupByKey]]),(OutputTable[GroupByKey]=OutputTable[[#This Row],[GroupByKey]])*OutputTable[RecordedValue]))</f>
        <v>103</v>
      </c>
    </row>
    <row r="125" spans="1:16" x14ac:dyDescent="0.3">
      <c r="A125" t="s">
        <v>66</v>
      </c>
      <c r="B125" t="s">
        <v>68</v>
      </c>
      <c r="C125">
        <v>25</v>
      </c>
      <c r="D125" t="s">
        <v>97</v>
      </c>
      <c r="E125" t="s">
        <v>98</v>
      </c>
      <c r="F125" t="s">
        <v>83</v>
      </c>
      <c r="G125">
        <v>0.31227866322202602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30</v>
      </c>
      <c r="K125" s="5" cm="1">
        <f t="array" ref="K125">IFERROR(AVERAGE(IF((OutputTable[GroupByKey]=OutputTable[[#This Row],[GroupByKey]]),(OutputTable[GroupByKey]=OutputTable[[#This Row],[GroupByKey]])*OutputTable[RecordedValue])),0)</f>
        <v>0.34420349255945865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4.5304829879571427E-2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125" s="5" cm="1">
        <f t="array" ref="O125">MIN(IF((OutputTable[GroupByKey]=OutputTable[[#This Row],[GroupByKey]]),(OutputTable[GroupByKey]=OutputTable[[#This Row],[GroupByKey]])*OutputTable[RecordedValue]))</f>
        <v>0.24637585883753399</v>
      </c>
      <c r="P125" s="5" cm="1">
        <f t="array" ref="P125">MAX(IF((OutputTable[GroupByKey]=OutputTable[[#This Row],[GroupByKey]]),(OutputTable[GroupByKey]=OutputTable[[#This Row],[GroupByKey]])*OutputTable[RecordedValue]))</f>
        <v>0.43753875749565602</v>
      </c>
    </row>
    <row r="126" spans="1:16" x14ac:dyDescent="0.3">
      <c r="A126" t="s">
        <v>66</v>
      </c>
      <c r="B126" t="s">
        <v>68</v>
      </c>
      <c r="C126">
        <v>25</v>
      </c>
      <c r="D126" t="s">
        <v>99</v>
      </c>
      <c r="E126" t="s">
        <v>94</v>
      </c>
      <c r="F126" t="s">
        <v>100</v>
      </c>
      <c r="G126">
        <v>88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ProjectSystem.NumberOutNumber OutSystem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30</v>
      </c>
      <c r="K126" s="5" cm="1">
        <f t="array" ref="K126">IFERROR(AVERAGE(IF((OutputTable[GroupByKey]=OutputTable[[#This Row],[GroupByKey]]),(OutputTable[GroupByKey]=OutputTable[[#This Row],[GroupByKey]])*OutputTable[RecordedValue])),0)</f>
        <v>89.166666666666671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7.9658033485961566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126" s="5" cm="1">
        <f t="array" ref="O126">MIN(IF((OutputTable[GroupByKey]=OutputTable[[#This Row],[GroupByKey]]),(OutputTable[GroupByKey]=OutputTable[[#This Row],[GroupByKey]])*OutputTable[RecordedValue]))</f>
        <v>70</v>
      </c>
      <c r="P126" s="5" cm="1">
        <f t="array" ref="P126">MAX(IF((OutputTable[GroupByKey]=OutputTable[[#This Row],[GroupByKey]]),(OutputTable[GroupByKey]=OutputTable[[#This Row],[GroupByKey]])*OutputTable[RecordedValue]))</f>
        <v>103</v>
      </c>
    </row>
    <row r="127" spans="1:16" x14ac:dyDescent="0.3">
      <c r="A127" t="s">
        <v>66</v>
      </c>
      <c r="B127" t="s">
        <v>68</v>
      </c>
      <c r="C127">
        <v>26</v>
      </c>
      <c r="D127" t="s">
        <v>91</v>
      </c>
      <c r="E127" t="s">
        <v>92</v>
      </c>
      <c r="F127" t="s">
        <v>71</v>
      </c>
      <c r="G127">
        <v>88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ProjectCustomer.NumberInNumber InEntity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30</v>
      </c>
      <c r="K127" s="5" cm="1">
        <f t="array" ref="K127">IFERROR(AVERAGE(IF((OutputTable[GroupByKey]=OutputTable[[#This Row],[GroupByKey]]),(OutputTable[GroupByKey]=OutputTable[[#This Row],[GroupByKey]])*OutputTable[RecordedValue])),0)</f>
        <v>89.733333333333334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8.0212361818523625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127" s="5" cm="1">
        <f t="array" ref="O127">MIN(IF((OutputTable[GroupByKey]=OutputTable[[#This Row],[GroupByKey]]),(OutputTable[GroupByKey]=OutputTable[[#This Row],[GroupByKey]])*OutputTable[RecordedValue]))</f>
        <v>71</v>
      </c>
      <c r="P127" s="5" cm="1">
        <f t="array" ref="P127">MAX(IF((OutputTable[GroupByKey]=OutputTable[[#This Row],[GroupByKey]]),(OutputTable[GroupByKey]=OutputTable[[#This Row],[GroupByKey]])*OutputTable[RecordedValue]))</f>
        <v>103</v>
      </c>
    </row>
    <row r="128" spans="1:16" x14ac:dyDescent="0.3">
      <c r="A128" t="s">
        <v>66</v>
      </c>
      <c r="B128" t="s">
        <v>68</v>
      </c>
      <c r="C128">
        <v>26</v>
      </c>
      <c r="D128" t="s">
        <v>93</v>
      </c>
      <c r="E128" t="s">
        <v>94</v>
      </c>
      <c r="F128" t="s">
        <v>71</v>
      </c>
      <c r="G128">
        <v>86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ProjectCustomer.NumberOutNumber OutEntity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30</v>
      </c>
      <c r="K128" s="5" cm="1">
        <f t="array" ref="K128">IFERROR(AVERAGE(IF((OutputTable[GroupByKey]=OutputTable[[#This Row],[GroupByKey]]),(OutputTable[GroupByKey]=OutputTable[[#This Row],[GroupByKey]])*OutputTable[RecordedValue])),0)</f>
        <v>89.166666666666671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7.9658033485961566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128" s="5" cm="1">
        <f t="array" ref="O128">MIN(IF((OutputTable[GroupByKey]=OutputTable[[#This Row],[GroupByKey]]),(OutputTable[GroupByKey]=OutputTable[[#This Row],[GroupByKey]])*OutputTable[RecordedValue]))</f>
        <v>70</v>
      </c>
      <c r="P128" s="5" cm="1">
        <f t="array" ref="P128">MAX(IF((OutputTable[GroupByKey]=OutputTable[[#This Row],[GroupByKey]]),(OutputTable[GroupByKey]=OutputTable[[#This Row],[GroupByKey]])*OutputTable[RecordedValue]))</f>
        <v>103</v>
      </c>
    </row>
    <row r="129" spans="1:16" x14ac:dyDescent="0.3">
      <c r="A129" t="s">
        <v>66</v>
      </c>
      <c r="B129" t="s">
        <v>68</v>
      </c>
      <c r="C129">
        <v>26</v>
      </c>
      <c r="D129" t="s">
        <v>95</v>
      </c>
      <c r="E129" t="s">
        <v>96</v>
      </c>
      <c r="F129" t="s">
        <v>83</v>
      </c>
      <c r="G129">
        <v>88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30</v>
      </c>
      <c r="K129" s="5" cm="1">
        <f t="array" ref="K129">IFERROR(AVERAGE(IF((OutputTable[GroupByKey]=OutputTable[[#This Row],[GroupByKey]]),(OutputTable[GroupByKey]=OutputTable[[#This Row],[GroupByKey]])*OutputTable[RecordedValue])),0)</f>
        <v>89.733333333333334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8.0212361818523625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129" s="5" cm="1">
        <f t="array" ref="O129">MIN(IF((OutputTable[GroupByKey]=OutputTable[[#This Row],[GroupByKey]]),(OutputTable[GroupByKey]=OutputTable[[#This Row],[GroupByKey]])*OutputTable[RecordedValue]))</f>
        <v>71</v>
      </c>
      <c r="P129" s="5" cm="1">
        <f t="array" ref="P129">MAX(IF((OutputTable[GroupByKey]=OutputTable[[#This Row],[GroupByKey]]),(OutputTable[GroupByKey]=OutputTable[[#This Row],[GroupByKey]])*OutputTable[RecordedValue]))</f>
        <v>103</v>
      </c>
    </row>
    <row r="130" spans="1:16" x14ac:dyDescent="0.3">
      <c r="A130" t="s">
        <v>66</v>
      </c>
      <c r="B130" t="s">
        <v>68</v>
      </c>
      <c r="C130">
        <v>26</v>
      </c>
      <c r="D130" t="s">
        <v>97</v>
      </c>
      <c r="E130" t="s">
        <v>98</v>
      </c>
      <c r="F130" t="s">
        <v>83</v>
      </c>
      <c r="G130">
        <v>0.33968012696710298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30</v>
      </c>
      <c r="K130" s="5" cm="1">
        <f t="array" ref="K130">IFERROR(AVERAGE(IF((OutputTable[GroupByKey]=OutputTable[[#This Row],[GroupByKey]]),(OutputTable[GroupByKey]=OutputTable[[#This Row],[GroupByKey]])*OutputTable[RecordedValue])),0)</f>
        <v>0.34420349255945865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4.5304829879571427E-2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130" s="5" cm="1">
        <f t="array" ref="O130">MIN(IF((OutputTable[GroupByKey]=OutputTable[[#This Row],[GroupByKey]]),(OutputTable[GroupByKey]=OutputTable[[#This Row],[GroupByKey]])*OutputTable[RecordedValue]))</f>
        <v>0.24637585883753399</v>
      </c>
      <c r="P130" s="5" cm="1">
        <f t="array" ref="P130">MAX(IF((OutputTable[GroupByKey]=OutputTable[[#This Row],[GroupByKey]]),(OutputTable[GroupByKey]=OutputTable[[#This Row],[GroupByKey]])*OutputTable[RecordedValue]))</f>
        <v>0.43753875749565602</v>
      </c>
    </row>
    <row r="131" spans="1:16" x14ac:dyDescent="0.3">
      <c r="A131" t="s">
        <v>66</v>
      </c>
      <c r="B131" t="s">
        <v>68</v>
      </c>
      <c r="C131">
        <v>26</v>
      </c>
      <c r="D131" t="s">
        <v>99</v>
      </c>
      <c r="E131" t="s">
        <v>94</v>
      </c>
      <c r="F131" t="s">
        <v>100</v>
      </c>
      <c r="G131">
        <v>86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ProjectSystem.NumberOutNumber OutSystem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30</v>
      </c>
      <c r="K131" s="5" cm="1">
        <f t="array" ref="K131">IFERROR(AVERAGE(IF((OutputTable[GroupByKey]=OutputTable[[#This Row],[GroupByKey]]),(OutputTable[GroupByKey]=OutputTable[[#This Row],[GroupByKey]])*OutputTable[RecordedValue])),0)</f>
        <v>89.166666666666671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7.9658033485961566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131" s="5" cm="1">
        <f t="array" ref="O131">MIN(IF((OutputTable[GroupByKey]=OutputTable[[#This Row],[GroupByKey]]),(OutputTable[GroupByKey]=OutputTable[[#This Row],[GroupByKey]])*OutputTable[RecordedValue]))</f>
        <v>70</v>
      </c>
      <c r="P131" s="5" cm="1">
        <f t="array" ref="P131">MAX(IF((OutputTable[GroupByKey]=OutputTable[[#This Row],[GroupByKey]]),(OutputTable[GroupByKey]=OutputTable[[#This Row],[GroupByKey]])*OutputTable[RecordedValue]))</f>
        <v>103</v>
      </c>
    </row>
    <row r="132" spans="1:16" x14ac:dyDescent="0.3">
      <c r="A132" t="s">
        <v>66</v>
      </c>
      <c r="B132" t="s">
        <v>68</v>
      </c>
      <c r="C132">
        <v>27</v>
      </c>
      <c r="D132" t="s">
        <v>91</v>
      </c>
      <c r="E132" t="s">
        <v>92</v>
      </c>
      <c r="F132" t="s">
        <v>71</v>
      </c>
      <c r="G132">
        <v>91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ProjectCustomer.NumberInNumber InEntity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30</v>
      </c>
      <c r="K132" s="5" cm="1">
        <f t="array" ref="K132">IFERROR(AVERAGE(IF((OutputTable[GroupByKey]=OutputTable[[#This Row],[GroupByKey]]),(OutputTable[GroupByKey]=OutputTable[[#This Row],[GroupByKey]])*OutputTable[RecordedValue])),0)</f>
        <v>89.733333333333334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8.0212361818523625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132" s="5" cm="1">
        <f t="array" ref="O132">MIN(IF((OutputTable[GroupByKey]=OutputTable[[#This Row],[GroupByKey]]),(OutputTable[GroupByKey]=OutputTable[[#This Row],[GroupByKey]])*OutputTable[RecordedValue]))</f>
        <v>71</v>
      </c>
      <c r="P132" s="5" cm="1">
        <f t="array" ref="P132">MAX(IF((OutputTable[GroupByKey]=OutputTable[[#This Row],[GroupByKey]]),(OutputTable[GroupByKey]=OutputTable[[#This Row],[GroupByKey]])*OutputTable[RecordedValue]))</f>
        <v>103</v>
      </c>
    </row>
    <row r="133" spans="1:16" x14ac:dyDescent="0.3">
      <c r="A133" t="s">
        <v>66</v>
      </c>
      <c r="B133" t="s">
        <v>68</v>
      </c>
      <c r="C133">
        <v>27</v>
      </c>
      <c r="D133" t="s">
        <v>93</v>
      </c>
      <c r="E133" t="s">
        <v>94</v>
      </c>
      <c r="F133" t="s">
        <v>71</v>
      </c>
      <c r="G133">
        <v>90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ProjectCustomer.NumberOutNumber OutEntity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30</v>
      </c>
      <c r="K133" s="5" cm="1">
        <f t="array" ref="K133">IFERROR(AVERAGE(IF((OutputTable[GroupByKey]=OutputTable[[#This Row],[GroupByKey]]),(OutputTable[GroupByKey]=OutputTable[[#This Row],[GroupByKey]])*OutputTable[RecordedValue])),0)</f>
        <v>89.166666666666671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7.9658033485961566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133" s="5" cm="1">
        <f t="array" ref="O133">MIN(IF((OutputTable[GroupByKey]=OutputTable[[#This Row],[GroupByKey]]),(OutputTable[GroupByKey]=OutputTable[[#This Row],[GroupByKey]])*OutputTable[RecordedValue]))</f>
        <v>70</v>
      </c>
      <c r="P133" s="5" cm="1">
        <f t="array" ref="P133">MAX(IF((OutputTable[GroupByKey]=OutputTable[[#This Row],[GroupByKey]]),(OutputTable[GroupByKey]=OutputTable[[#This Row],[GroupByKey]])*OutputTable[RecordedValue]))</f>
        <v>103</v>
      </c>
    </row>
    <row r="134" spans="1:16" x14ac:dyDescent="0.3">
      <c r="A134" t="s">
        <v>66</v>
      </c>
      <c r="B134" t="s">
        <v>68</v>
      </c>
      <c r="C134">
        <v>27</v>
      </c>
      <c r="D134" t="s">
        <v>95</v>
      </c>
      <c r="E134" t="s">
        <v>96</v>
      </c>
      <c r="F134" t="s">
        <v>83</v>
      </c>
      <c r="G134">
        <v>91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30</v>
      </c>
      <c r="K134" s="5" cm="1">
        <f t="array" ref="K134">IFERROR(AVERAGE(IF((OutputTable[GroupByKey]=OutputTable[[#This Row],[GroupByKey]]),(OutputTable[GroupByKey]=OutputTable[[#This Row],[GroupByKey]])*OutputTable[RecordedValue])),0)</f>
        <v>89.733333333333334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8.0212361818523625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134" s="5" cm="1">
        <f t="array" ref="O134">MIN(IF((OutputTable[GroupByKey]=OutputTable[[#This Row],[GroupByKey]]),(OutputTable[GroupByKey]=OutputTable[[#This Row],[GroupByKey]])*OutputTable[RecordedValue]))</f>
        <v>71</v>
      </c>
      <c r="P134" s="5" cm="1">
        <f t="array" ref="P134">MAX(IF((OutputTable[GroupByKey]=OutputTable[[#This Row],[GroupByKey]]),(OutputTable[GroupByKey]=OutputTable[[#This Row],[GroupByKey]])*OutputTable[RecordedValue]))</f>
        <v>103</v>
      </c>
    </row>
    <row r="135" spans="1:16" x14ac:dyDescent="0.3">
      <c r="A135" t="s">
        <v>66</v>
      </c>
      <c r="B135" t="s">
        <v>68</v>
      </c>
      <c r="C135">
        <v>27</v>
      </c>
      <c r="D135" t="s">
        <v>97</v>
      </c>
      <c r="E135" t="s">
        <v>98</v>
      </c>
      <c r="F135" t="s">
        <v>83</v>
      </c>
      <c r="G135">
        <v>0.376790322565695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30</v>
      </c>
      <c r="K135" s="5" cm="1">
        <f t="array" ref="K135">IFERROR(AVERAGE(IF((OutputTable[GroupByKey]=OutputTable[[#This Row],[GroupByKey]]),(OutputTable[GroupByKey]=OutputTable[[#This Row],[GroupByKey]])*OutputTable[RecordedValue])),0)</f>
        <v>0.34420349255945865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4.5304829879571427E-2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135" s="5" cm="1">
        <f t="array" ref="O135">MIN(IF((OutputTable[GroupByKey]=OutputTable[[#This Row],[GroupByKey]]),(OutputTable[GroupByKey]=OutputTable[[#This Row],[GroupByKey]])*OutputTable[RecordedValue]))</f>
        <v>0.24637585883753399</v>
      </c>
      <c r="P135" s="5" cm="1">
        <f t="array" ref="P135">MAX(IF((OutputTable[GroupByKey]=OutputTable[[#This Row],[GroupByKey]]),(OutputTable[GroupByKey]=OutputTable[[#This Row],[GroupByKey]])*OutputTable[RecordedValue]))</f>
        <v>0.43753875749565602</v>
      </c>
    </row>
    <row r="136" spans="1:16" x14ac:dyDescent="0.3">
      <c r="A136" t="s">
        <v>66</v>
      </c>
      <c r="B136" t="s">
        <v>68</v>
      </c>
      <c r="C136">
        <v>27</v>
      </c>
      <c r="D136" t="s">
        <v>99</v>
      </c>
      <c r="E136" t="s">
        <v>94</v>
      </c>
      <c r="F136" t="s">
        <v>100</v>
      </c>
      <c r="G136">
        <v>90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ProjectSystem.NumberOutNumber OutSystem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30</v>
      </c>
      <c r="K136" s="5" cm="1">
        <f t="array" ref="K136">IFERROR(AVERAGE(IF((OutputTable[GroupByKey]=OutputTable[[#This Row],[GroupByKey]]),(OutputTable[GroupByKey]=OutputTable[[#This Row],[GroupByKey]])*OutputTable[RecordedValue])),0)</f>
        <v>89.166666666666671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7.9658033485961566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136" s="5" cm="1">
        <f t="array" ref="O136">MIN(IF((OutputTable[GroupByKey]=OutputTable[[#This Row],[GroupByKey]]),(OutputTable[GroupByKey]=OutputTable[[#This Row],[GroupByKey]])*OutputTable[RecordedValue]))</f>
        <v>70</v>
      </c>
      <c r="P136" s="5" cm="1">
        <f t="array" ref="P136">MAX(IF((OutputTable[GroupByKey]=OutputTable[[#This Row],[GroupByKey]]),(OutputTable[GroupByKey]=OutputTable[[#This Row],[GroupByKey]])*OutputTable[RecordedValue]))</f>
        <v>103</v>
      </c>
    </row>
    <row r="137" spans="1:16" x14ac:dyDescent="0.3">
      <c r="A137" t="s">
        <v>66</v>
      </c>
      <c r="B137" t="s">
        <v>68</v>
      </c>
      <c r="C137">
        <v>28</v>
      </c>
      <c r="D137" t="s">
        <v>91</v>
      </c>
      <c r="E137" t="s">
        <v>92</v>
      </c>
      <c r="F137" t="s">
        <v>71</v>
      </c>
      <c r="G137">
        <v>98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ProjectCustomer.NumberInNumber InEntity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30</v>
      </c>
      <c r="K137" s="5" cm="1">
        <f t="array" ref="K137">IFERROR(AVERAGE(IF((OutputTable[GroupByKey]=OutputTable[[#This Row],[GroupByKey]]),(OutputTable[GroupByKey]=OutputTable[[#This Row],[GroupByKey]])*OutputTable[RecordedValue])),0)</f>
        <v>89.733333333333334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8.0212361818523625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137" s="5" cm="1">
        <f t="array" ref="O137">MIN(IF((OutputTable[GroupByKey]=OutputTable[[#This Row],[GroupByKey]]),(OutputTable[GroupByKey]=OutputTable[[#This Row],[GroupByKey]])*OutputTable[RecordedValue]))</f>
        <v>71</v>
      </c>
      <c r="P137" s="5" cm="1">
        <f t="array" ref="P137">MAX(IF((OutputTable[GroupByKey]=OutputTable[[#This Row],[GroupByKey]]),(OutputTable[GroupByKey]=OutputTable[[#This Row],[GroupByKey]])*OutputTable[RecordedValue]))</f>
        <v>103</v>
      </c>
    </row>
    <row r="138" spans="1:16" x14ac:dyDescent="0.3">
      <c r="A138" t="s">
        <v>66</v>
      </c>
      <c r="B138" t="s">
        <v>68</v>
      </c>
      <c r="C138">
        <v>28</v>
      </c>
      <c r="D138" t="s">
        <v>93</v>
      </c>
      <c r="E138" t="s">
        <v>94</v>
      </c>
      <c r="F138" t="s">
        <v>71</v>
      </c>
      <c r="G138">
        <v>98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ProjectCustomer.NumberOutNumber OutEntity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30</v>
      </c>
      <c r="K138" s="5" cm="1">
        <f t="array" ref="K138">IFERROR(AVERAGE(IF((OutputTable[GroupByKey]=OutputTable[[#This Row],[GroupByKey]]),(OutputTable[GroupByKey]=OutputTable[[#This Row],[GroupByKey]])*OutputTable[RecordedValue])),0)</f>
        <v>89.166666666666671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7.9658033485961566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138" s="5" cm="1">
        <f t="array" ref="O138">MIN(IF((OutputTable[GroupByKey]=OutputTable[[#This Row],[GroupByKey]]),(OutputTable[GroupByKey]=OutputTable[[#This Row],[GroupByKey]])*OutputTable[RecordedValue]))</f>
        <v>70</v>
      </c>
      <c r="P138" s="5" cm="1">
        <f t="array" ref="P138">MAX(IF((OutputTable[GroupByKey]=OutputTable[[#This Row],[GroupByKey]]),(OutputTable[GroupByKey]=OutputTable[[#This Row],[GroupByKey]])*OutputTable[RecordedValue]))</f>
        <v>103</v>
      </c>
    </row>
    <row r="139" spans="1:16" x14ac:dyDescent="0.3">
      <c r="A139" t="s">
        <v>66</v>
      </c>
      <c r="B139" t="s">
        <v>68</v>
      </c>
      <c r="C139">
        <v>28</v>
      </c>
      <c r="D139" t="s">
        <v>95</v>
      </c>
      <c r="E139" t="s">
        <v>96</v>
      </c>
      <c r="F139" t="s">
        <v>83</v>
      </c>
      <c r="G139">
        <v>98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30</v>
      </c>
      <c r="K139" s="5" cm="1">
        <f t="array" ref="K139">IFERROR(AVERAGE(IF((OutputTable[GroupByKey]=OutputTable[[#This Row],[GroupByKey]]),(OutputTable[GroupByKey]=OutputTable[[#This Row],[GroupByKey]])*OutputTable[RecordedValue])),0)</f>
        <v>89.733333333333334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8.0212361818523625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139" s="5" cm="1">
        <f t="array" ref="O139">MIN(IF((OutputTable[GroupByKey]=OutputTable[[#This Row],[GroupByKey]]),(OutputTable[GroupByKey]=OutputTable[[#This Row],[GroupByKey]])*OutputTable[RecordedValue]))</f>
        <v>71</v>
      </c>
      <c r="P139" s="5" cm="1">
        <f t="array" ref="P139">MAX(IF((OutputTable[GroupByKey]=OutputTable[[#This Row],[GroupByKey]]),(OutputTable[GroupByKey]=OutputTable[[#This Row],[GroupByKey]])*OutputTable[RecordedValue]))</f>
        <v>103</v>
      </c>
    </row>
    <row r="140" spans="1:16" x14ac:dyDescent="0.3">
      <c r="A140" t="s">
        <v>66</v>
      </c>
      <c r="B140" t="s">
        <v>68</v>
      </c>
      <c r="C140">
        <v>28</v>
      </c>
      <c r="D140" t="s">
        <v>97</v>
      </c>
      <c r="E140" t="s">
        <v>98</v>
      </c>
      <c r="F140" t="s">
        <v>83</v>
      </c>
      <c r="G140">
        <v>0.36919214235279701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30</v>
      </c>
      <c r="K140" s="5" cm="1">
        <f t="array" ref="K140">IFERROR(AVERAGE(IF((OutputTable[GroupByKey]=OutputTable[[#This Row],[GroupByKey]]),(OutputTable[GroupByKey]=OutputTable[[#This Row],[GroupByKey]])*OutputTable[RecordedValue])),0)</f>
        <v>0.34420349255945865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4.5304829879571427E-2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140" s="5" cm="1">
        <f t="array" ref="O140">MIN(IF((OutputTable[GroupByKey]=OutputTable[[#This Row],[GroupByKey]]),(OutputTable[GroupByKey]=OutputTable[[#This Row],[GroupByKey]])*OutputTable[RecordedValue]))</f>
        <v>0.24637585883753399</v>
      </c>
      <c r="P140" s="5" cm="1">
        <f t="array" ref="P140">MAX(IF((OutputTable[GroupByKey]=OutputTable[[#This Row],[GroupByKey]]),(OutputTable[GroupByKey]=OutputTable[[#This Row],[GroupByKey]])*OutputTable[RecordedValue]))</f>
        <v>0.43753875749565602</v>
      </c>
    </row>
    <row r="141" spans="1:16" x14ac:dyDescent="0.3">
      <c r="A141" t="s">
        <v>66</v>
      </c>
      <c r="B141" t="s">
        <v>68</v>
      </c>
      <c r="C141">
        <v>28</v>
      </c>
      <c r="D141" t="s">
        <v>99</v>
      </c>
      <c r="E141" t="s">
        <v>94</v>
      </c>
      <c r="F141" t="s">
        <v>100</v>
      </c>
      <c r="G141">
        <v>98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30</v>
      </c>
      <c r="K141" s="5" cm="1">
        <f t="array" ref="K141">IFERROR(AVERAGE(IF((OutputTable[GroupByKey]=OutputTable[[#This Row],[GroupByKey]]),(OutputTable[GroupByKey]=OutputTable[[#This Row],[GroupByKey]])*OutputTable[RecordedValue])),0)</f>
        <v>89.166666666666671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7.9658033485961566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141" s="5" cm="1">
        <f t="array" ref="O141">MIN(IF((OutputTable[GroupByKey]=OutputTable[[#This Row],[GroupByKey]]),(OutputTable[GroupByKey]=OutputTable[[#This Row],[GroupByKey]])*OutputTable[RecordedValue]))</f>
        <v>70</v>
      </c>
      <c r="P141" s="5" cm="1">
        <f t="array" ref="P141">MAX(IF((OutputTable[GroupByKey]=OutputTable[[#This Row],[GroupByKey]]),(OutputTable[GroupByKey]=OutputTable[[#This Row],[GroupByKey]])*OutputTable[RecordedValue]))</f>
        <v>103</v>
      </c>
    </row>
    <row r="142" spans="1:16" x14ac:dyDescent="0.3">
      <c r="A142" t="s">
        <v>66</v>
      </c>
      <c r="B142" t="s">
        <v>68</v>
      </c>
      <c r="C142">
        <v>29</v>
      </c>
      <c r="D142" t="s">
        <v>91</v>
      </c>
      <c r="E142" t="s">
        <v>92</v>
      </c>
      <c r="F142" t="s">
        <v>71</v>
      </c>
      <c r="G142">
        <v>89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ProjectCustomer.NumberInNumber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30</v>
      </c>
      <c r="K142" s="5" cm="1">
        <f t="array" ref="K142">IFERROR(AVERAGE(IF((OutputTable[GroupByKey]=OutputTable[[#This Row],[GroupByKey]]),(OutputTable[GroupByKey]=OutputTable[[#This Row],[GroupByKey]])*OutputTable[RecordedValue])),0)</f>
        <v>89.733333333333334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8.0212361818523625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142" s="5" cm="1">
        <f t="array" ref="O142">MIN(IF((OutputTable[GroupByKey]=OutputTable[[#This Row],[GroupByKey]]),(OutputTable[GroupByKey]=OutputTable[[#This Row],[GroupByKey]])*OutputTable[RecordedValue]))</f>
        <v>71</v>
      </c>
      <c r="P142" s="5" cm="1">
        <f t="array" ref="P142">MAX(IF((OutputTable[GroupByKey]=OutputTable[[#This Row],[GroupByKey]]),(OutputTable[GroupByKey]=OutputTable[[#This Row],[GroupByKey]])*OutputTable[RecordedValue]))</f>
        <v>103</v>
      </c>
    </row>
    <row r="143" spans="1:16" x14ac:dyDescent="0.3">
      <c r="A143" t="s">
        <v>66</v>
      </c>
      <c r="B143" t="s">
        <v>68</v>
      </c>
      <c r="C143">
        <v>29</v>
      </c>
      <c r="D143" t="s">
        <v>93</v>
      </c>
      <c r="E143" t="s">
        <v>94</v>
      </c>
      <c r="F143" t="s">
        <v>71</v>
      </c>
      <c r="G143">
        <v>89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ProjectCustomer.NumberOutNumber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30</v>
      </c>
      <c r="K143" s="5" cm="1">
        <f t="array" ref="K143">IFERROR(AVERAGE(IF((OutputTable[GroupByKey]=OutputTable[[#This Row],[GroupByKey]]),(OutputTable[GroupByKey]=OutputTable[[#This Row],[GroupByKey]])*OutputTable[RecordedValue])),0)</f>
        <v>89.166666666666671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7.9658033485961566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143" s="5" cm="1">
        <f t="array" ref="O143">MIN(IF((OutputTable[GroupByKey]=OutputTable[[#This Row],[GroupByKey]]),(OutputTable[GroupByKey]=OutputTable[[#This Row],[GroupByKey]])*OutputTable[RecordedValue]))</f>
        <v>70</v>
      </c>
      <c r="P143" s="5" cm="1">
        <f t="array" ref="P143">MAX(IF((OutputTable[GroupByKey]=OutputTable[[#This Row],[GroupByKey]]),(OutputTable[GroupByKey]=OutputTable[[#This Row],[GroupByKey]])*OutputTable[RecordedValue]))</f>
        <v>103</v>
      </c>
    </row>
    <row r="144" spans="1:16" x14ac:dyDescent="0.3">
      <c r="A144" t="s">
        <v>66</v>
      </c>
      <c r="B144" t="s">
        <v>68</v>
      </c>
      <c r="C144">
        <v>29</v>
      </c>
      <c r="D144" t="s">
        <v>95</v>
      </c>
      <c r="E144" t="s">
        <v>96</v>
      </c>
      <c r="F144" t="s">
        <v>83</v>
      </c>
      <c r="G144">
        <v>89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30</v>
      </c>
      <c r="K144" s="5" cm="1">
        <f t="array" ref="K144">IFERROR(AVERAGE(IF((OutputTable[GroupByKey]=OutputTable[[#This Row],[GroupByKey]]),(OutputTable[GroupByKey]=OutputTable[[#This Row],[GroupByKey]])*OutputTable[RecordedValue])),0)</f>
        <v>89.733333333333334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8.0212361818523625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144" s="5" cm="1">
        <f t="array" ref="O144">MIN(IF((OutputTable[GroupByKey]=OutputTable[[#This Row],[GroupByKey]]),(OutputTable[GroupByKey]=OutputTable[[#This Row],[GroupByKey]])*OutputTable[RecordedValue]))</f>
        <v>71</v>
      </c>
      <c r="P144" s="5" cm="1">
        <f t="array" ref="P144">MAX(IF((OutputTable[GroupByKey]=OutputTable[[#This Row],[GroupByKey]]),(OutputTable[GroupByKey]=OutputTable[[#This Row],[GroupByKey]])*OutputTable[RecordedValue]))</f>
        <v>103</v>
      </c>
    </row>
    <row r="145" spans="1:16" x14ac:dyDescent="0.3">
      <c r="A145" t="s">
        <v>66</v>
      </c>
      <c r="B145" t="s">
        <v>68</v>
      </c>
      <c r="C145">
        <v>29</v>
      </c>
      <c r="D145" t="s">
        <v>97</v>
      </c>
      <c r="E145" t="s">
        <v>98</v>
      </c>
      <c r="F145" t="s">
        <v>83</v>
      </c>
      <c r="G145">
        <v>0.34655940766917498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30</v>
      </c>
      <c r="K145" s="5" cm="1">
        <f t="array" ref="K145">IFERROR(AVERAGE(IF((OutputTable[GroupByKey]=OutputTable[[#This Row],[GroupByKey]]),(OutputTable[GroupByKey]=OutputTable[[#This Row],[GroupByKey]])*OutputTable[RecordedValue])),0)</f>
        <v>0.34420349255945865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4.5304829879571427E-2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145" s="5" cm="1">
        <f t="array" ref="O145">MIN(IF((OutputTable[GroupByKey]=OutputTable[[#This Row],[GroupByKey]]),(OutputTable[GroupByKey]=OutputTable[[#This Row],[GroupByKey]])*OutputTable[RecordedValue]))</f>
        <v>0.24637585883753399</v>
      </c>
      <c r="P145" s="5" cm="1">
        <f t="array" ref="P145">MAX(IF((OutputTable[GroupByKey]=OutputTable[[#This Row],[GroupByKey]]),(OutputTable[GroupByKey]=OutputTable[[#This Row],[GroupByKey]])*OutputTable[RecordedValue]))</f>
        <v>0.43753875749565602</v>
      </c>
    </row>
    <row r="146" spans="1:16" x14ac:dyDescent="0.3">
      <c r="A146" t="s">
        <v>66</v>
      </c>
      <c r="B146" t="s">
        <v>68</v>
      </c>
      <c r="C146">
        <v>29</v>
      </c>
      <c r="D146" t="s">
        <v>99</v>
      </c>
      <c r="E146" t="s">
        <v>94</v>
      </c>
      <c r="F146" t="s">
        <v>100</v>
      </c>
      <c r="G146">
        <v>89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ProjectSystem.NumberOutNumber OutSystem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30</v>
      </c>
      <c r="K146" s="5" cm="1">
        <f t="array" ref="K146">IFERROR(AVERAGE(IF((OutputTable[GroupByKey]=OutputTable[[#This Row],[GroupByKey]]),(OutputTable[GroupByKey]=OutputTable[[#This Row],[GroupByKey]])*OutputTable[RecordedValue])),0)</f>
        <v>89.166666666666671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7.9658033485961566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146" s="5" cm="1">
        <f t="array" ref="O146">MIN(IF((OutputTable[GroupByKey]=OutputTable[[#This Row],[GroupByKey]]),(OutputTable[GroupByKey]=OutputTable[[#This Row],[GroupByKey]])*OutputTable[RecordedValue]))</f>
        <v>70</v>
      </c>
      <c r="P146" s="5" cm="1">
        <f t="array" ref="P146">MAX(IF((OutputTable[GroupByKey]=OutputTable[[#This Row],[GroupByKey]]),(OutputTable[GroupByKey]=OutputTable[[#This Row],[GroupByKey]])*OutputTable[RecordedValue]))</f>
        <v>103</v>
      </c>
    </row>
    <row r="147" spans="1:16" x14ac:dyDescent="0.3">
      <c r="A147" t="s">
        <v>66</v>
      </c>
      <c r="B147" t="s">
        <v>68</v>
      </c>
      <c r="C147">
        <v>30</v>
      </c>
      <c r="D147" t="s">
        <v>91</v>
      </c>
      <c r="E147" t="s">
        <v>92</v>
      </c>
      <c r="F147" t="s">
        <v>71</v>
      </c>
      <c r="G147">
        <v>102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ProjectCustomer.NumberInNumber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30</v>
      </c>
      <c r="K147" s="5" cm="1">
        <f t="array" ref="K147">IFERROR(AVERAGE(IF((OutputTable[GroupByKey]=OutputTable[[#This Row],[GroupByKey]]),(OutputTable[GroupByKey]=OutputTable[[#This Row],[GroupByKey]])*OutputTable[RecordedValue])),0)</f>
        <v>89.733333333333334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8.0212361818523625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147" s="5" cm="1">
        <f t="array" ref="O147">MIN(IF((OutputTable[GroupByKey]=OutputTable[[#This Row],[GroupByKey]]),(OutputTable[GroupByKey]=OutputTable[[#This Row],[GroupByKey]])*OutputTable[RecordedValue]))</f>
        <v>71</v>
      </c>
      <c r="P147" s="5" cm="1">
        <f t="array" ref="P147">MAX(IF((OutputTable[GroupByKey]=OutputTable[[#This Row],[GroupByKey]]),(OutputTable[GroupByKey]=OutputTable[[#This Row],[GroupByKey]])*OutputTable[RecordedValue]))</f>
        <v>103</v>
      </c>
    </row>
    <row r="148" spans="1:16" x14ac:dyDescent="0.3">
      <c r="A148" t="s">
        <v>66</v>
      </c>
      <c r="B148" t="s">
        <v>68</v>
      </c>
      <c r="C148">
        <v>30</v>
      </c>
      <c r="D148" t="s">
        <v>93</v>
      </c>
      <c r="E148" t="s">
        <v>94</v>
      </c>
      <c r="F148" t="s">
        <v>71</v>
      </c>
      <c r="G148">
        <v>102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ProjectCustomer.NumberOutNumber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30</v>
      </c>
      <c r="K148" s="5" cm="1">
        <f t="array" ref="K148">IFERROR(AVERAGE(IF((OutputTable[GroupByKey]=OutputTable[[#This Row],[GroupByKey]]),(OutputTable[GroupByKey]=OutputTable[[#This Row],[GroupByKey]])*OutputTable[RecordedValue])),0)</f>
        <v>89.166666666666671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7.9658033485961566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148" s="5" cm="1">
        <f t="array" ref="O148">MIN(IF((OutputTable[GroupByKey]=OutputTable[[#This Row],[GroupByKey]]),(OutputTable[GroupByKey]=OutputTable[[#This Row],[GroupByKey]])*OutputTable[RecordedValue]))</f>
        <v>70</v>
      </c>
      <c r="P148" s="5" cm="1">
        <f t="array" ref="P148">MAX(IF((OutputTable[GroupByKey]=OutputTable[[#This Row],[GroupByKey]]),(OutputTable[GroupByKey]=OutputTable[[#This Row],[GroupByKey]])*OutputTable[RecordedValue]))</f>
        <v>103</v>
      </c>
    </row>
    <row r="149" spans="1:16" x14ac:dyDescent="0.3">
      <c r="A149" t="s">
        <v>66</v>
      </c>
      <c r="B149" t="s">
        <v>68</v>
      </c>
      <c r="C149">
        <v>30</v>
      </c>
      <c r="D149" t="s">
        <v>95</v>
      </c>
      <c r="E149" t="s">
        <v>96</v>
      </c>
      <c r="F149" t="s">
        <v>83</v>
      </c>
      <c r="G149">
        <v>102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30</v>
      </c>
      <c r="K149" s="5" cm="1">
        <f t="array" ref="K149">IFERROR(AVERAGE(IF((OutputTable[GroupByKey]=OutputTable[[#This Row],[GroupByKey]]),(OutputTable[GroupByKey]=OutputTable[[#This Row],[GroupByKey]])*OutputTable[RecordedValue])),0)</f>
        <v>89.733333333333334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8.0212361818523625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2.9951788146897829</v>
      </c>
      <c r="O149" s="5" cm="1">
        <f t="array" ref="O149">MIN(IF((OutputTable[GroupByKey]=OutputTable[[#This Row],[GroupByKey]]),(OutputTable[GroupByKey]=OutputTable[[#This Row],[GroupByKey]])*OutputTable[RecordedValue]))</f>
        <v>71</v>
      </c>
      <c r="P149" s="5" cm="1">
        <f t="array" ref="P149">MAX(IF((OutputTable[GroupByKey]=OutputTable[[#This Row],[GroupByKey]]),(OutputTable[GroupByKey]=OutputTable[[#This Row],[GroupByKey]])*OutputTable[RecordedValue]))</f>
        <v>103</v>
      </c>
    </row>
    <row r="150" spans="1:16" x14ac:dyDescent="0.3">
      <c r="A150" t="s">
        <v>66</v>
      </c>
      <c r="B150" t="s">
        <v>68</v>
      </c>
      <c r="C150">
        <v>30</v>
      </c>
      <c r="D150" t="s">
        <v>97</v>
      </c>
      <c r="E150" t="s">
        <v>98</v>
      </c>
      <c r="F150" t="s">
        <v>83</v>
      </c>
      <c r="G150">
        <v>0.38124130466846101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30</v>
      </c>
      <c r="K150" s="5" cm="1">
        <f t="array" ref="K150">IFERROR(AVERAGE(IF((OutputTable[GroupByKey]=OutputTable[[#This Row],[GroupByKey]]),(OutputTable[GroupByKey]=OutputTable[[#This Row],[GroupByKey]])*OutputTable[RecordedValue])),0)</f>
        <v>0.34420349255945865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4.5304829879571427E-2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1.6917101501813702E-2</v>
      </c>
      <c r="O150" s="5" cm="1">
        <f t="array" ref="O150">MIN(IF((OutputTable[GroupByKey]=OutputTable[[#This Row],[GroupByKey]]),(OutputTable[GroupByKey]=OutputTable[[#This Row],[GroupByKey]])*OutputTable[RecordedValue]))</f>
        <v>0.24637585883753399</v>
      </c>
      <c r="P150" s="5" cm="1">
        <f t="array" ref="P150">MAX(IF((OutputTable[GroupByKey]=OutputTable[[#This Row],[GroupByKey]]),(OutputTable[GroupByKey]=OutputTable[[#This Row],[GroupByKey]])*OutputTable[RecordedValue]))</f>
        <v>0.43753875749565602</v>
      </c>
    </row>
    <row r="151" spans="1:16" x14ac:dyDescent="0.3">
      <c r="A151" t="s">
        <v>66</v>
      </c>
      <c r="B151" t="s">
        <v>68</v>
      </c>
      <c r="C151">
        <v>30</v>
      </c>
      <c r="D151" t="s">
        <v>99</v>
      </c>
      <c r="E151" t="s">
        <v>94</v>
      </c>
      <c r="F151" t="s">
        <v>100</v>
      </c>
      <c r="G151">
        <v>102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30</v>
      </c>
      <c r="K151" s="5" cm="1">
        <f t="array" ref="K151">IFERROR(AVERAGE(IF((OutputTable[GroupByKey]=OutputTable[[#This Row],[GroupByKey]]),(OutputTable[GroupByKey]=OutputTable[[#This Row],[GroupByKey]])*OutputTable[RecordedValue])),0)</f>
        <v>89.166666666666671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7.9658033485961566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2.9744798545740272</v>
      </c>
      <c r="O151" s="5" cm="1">
        <f t="array" ref="O151">MIN(IF((OutputTable[GroupByKey]=OutputTable[[#This Row],[GroupByKey]]),(OutputTable[GroupByKey]=OutputTable[[#This Row],[GroupByKey]])*OutputTable[RecordedValue]))</f>
        <v>70</v>
      </c>
      <c r="P151" s="5" cm="1">
        <f t="array" ref="P151">MAX(IF((OutputTable[GroupByKey]=OutputTable[[#This Row],[GroupByKey]]),(OutputTable[GroupByKey]=OutputTable[[#This Row],[GroupByKey]])*OutputTable[RecordedValue]))</f>
        <v>103</v>
      </c>
    </row>
  </sheetData>
  <phoneticPr fontId="2" type="noConversion"/>
  <conditionalFormatting sqref="I2:P151">
    <cfRule type="expression" dxfId="10" priority="2">
      <formula>MOD(ROW(),2)=0</formula>
    </cfRule>
  </conditionalFormatting>
  <conditionalFormatting sqref="N2:N15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45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3.5" bestFit="1" customWidth="1"/>
    <col min="12" max="12" width="28.9140625" bestFit="1" customWidth="1"/>
    <col min="13" max="13" width="29.9140625" bestFit="1" customWidth="1"/>
    <col min="14" max="14" width="16.4140625" bestFit="1" customWidth="1"/>
    <col min="15" max="15" width="27.9140625" bestFit="1" customWidth="1"/>
    <col min="16" max="16" width="28.9140625" bestFit="1" customWidth="1"/>
    <col min="17" max="17" width="29.25" bestFit="1" customWidth="1"/>
    <col min="18" max="18" width="28.33203125" bestFit="1" customWidth="1"/>
    <col min="19" max="19" width="26.25" bestFit="1" customWidth="1"/>
    <col min="20" max="20" width="29.9140625" bestFit="1" customWidth="1"/>
    <col min="21" max="21" width="31.9140625" bestFit="1" customWidth="1"/>
    <col min="22" max="22" width="32.08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2" spans="1:16" x14ac:dyDescent="0.3"/>
    <row r="3" spans="1:16" x14ac:dyDescent="0.3"/>
    <row r="4" spans="1:16" x14ac:dyDescent="0.3"/>
    <row r="5" spans="1:16" x14ac:dyDescent="0.3"/>
    <row r="6" spans="1:16" x14ac:dyDescent="0.3"/>
    <row r="7" spans="1:16" x14ac:dyDescent="0.3"/>
    <row r="8" spans="1:16" x14ac:dyDescent="0.3"/>
    <row r="9" spans="1:16" x14ac:dyDescent="0.3"/>
    <row r="10" spans="1:16" x14ac:dyDescent="0.3"/>
    <row r="11" spans="1:16" x14ac:dyDescent="0.3"/>
    <row r="12" spans="1:16" x14ac:dyDescent="0.3"/>
    <row r="13" spans="1:16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45" x14ac:dyDescent="0.3"/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宜璇 沈</cp:lastModifiedBy>
  <cp:lastPrinted>2022-03-22T10:33:10Z</cp:lastPrinted>
  <dcterms:created xsi:type="dcterms:W3CDTF">2020-06-29T21:30:31Z</dcterms:created>
  <dcterms:modified xsi:type="dcterms:W3CDTF">2025-02-11T12:43:18Z</dcterms:modified>
</cp:coreProperties>
</file>