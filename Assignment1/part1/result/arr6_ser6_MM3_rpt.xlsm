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37DDABE4-A9EA-4E79-AD39-BFCE57EEEBBA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K24" i="20" s="1" a="1"/>
  <c r="K24" i="20" s="1"/>
  <c r="I10" i="20"/>
  <c r="I11" i="20"/>
  <c r="I12" i="20"/>
  <c r="I13" i="20"/>
  <c r="I14" i="20"/>
  <c r="K5" i="20" s="1" a="1"/>
  <c r="K5" i="20" s="1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K27" i="20" s="1" a="1"/>
  <c r="K27" i="20" s="1"/>
  <c r="I28" i="20"/>
  <c r="I29" i="20"/>
  <c r="K29" i="20" s="1" a="1"/>
  <c r="K29" i="20" s="1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K56" i="20" s="1" a="1"/>
  <c r="K56" i="20" s="1"/>
  <c r="I43" i="20"/>
  <c r="I44" i="20"/>
  <c r="I45" i="20"/>
  <c r="I46" i="20"/>
  <c r="K57" i="20" s="1" a="1"/>
  <c r="K57" i="20" s="1"/>
  <c r="I47" i="20"/>
  <c r="K63" i="20" s="1" a="1"/>
  <c r="K63" i="20" s="1"/>
  <c r="I48" i="20"/>
  <c r="I49" i="20"/>
  <c r="I50" i="20"/>
  <c r="I51" i="20"/>
  <c r="I52" i="20"/>
  <c r="I53" i="20"/>
  <c r="I54" i="20"/>
  <c r="I55" i="20"/>
  <c r="I56" i="20"/>
  <c r="I57" i="20"/>
  <c r="I58" i="20"/>
  <c r="I59" i="20"/>
  <c r="K59" i="20" s="1" a="1"/>
  <c r="K59" i="20" s="1"/>
  <c r="I60" i="20"/>
  <c r="I61" i="20"/>
  <c r="K61" i="20" s="1" a="1"/>
  <c r="K61" i="20" s="1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K41" i="20" s="1" a="1"/>
  <c r="K41" i="20" s="1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K93" i="20" s="1" a="1"/>
  <c r="K93" i="20" s="1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N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32" i="20" a="1"/>
  <c r="K32" i="20" s="1"/>
  <c r="K36" i="20" a="1"/>
  <c r="K36" i="20" s="1"/>
  <c r="K37" i="20" a="1"/>
  <c r="K37" i="20" s="1"/>
  <c r="K38" i="20" a="1"/>
  <c r="K38" i="20" s="1"/>
  <c r="K39" i="20" a="1"/>
  <c r="K39" i="20" s="1"/>
  <c r="K43" i="20" a="1"/>
  <c r="K43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4" i="20" a="1"/>
  <c r="K54" i="20" s="1"/>
  <c r="K62" i="20" a="1"/>
  <c r="K62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2" i="20" a="1"/>
  <c r="K92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4" i="20" a="1"/>
  <c r="K124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H8" i="19"/>
  <c r="H9" i="19"/>
  <c r="K2" i="19" s="1" a="1"/>
  <c r="K2" i="19" s="1"/>
  <c r="H10" i="19"/>
  <c r="H11" i="19"/>
  <c r="H12" i="19"/>
  <c r="H13" i="19"/>
  <c r="H14" i="19"/>
  <c r="J37" i="19" s="1" a="1"/>
  <c r="J37" i="19" s="1"/>
  <c r="H15" i="19"/>
  <c r="J28" i="19" s="1" a="1"/>
  <c r="J28" i="19" s="1"/>
  <c r="H16" i="19"/>
  <c r="H17" i="19"/>
  <c r="H18" i="19"/>
  <c r="J18" i="19" s="1" a="1"/>
  <c r="J18" i="19" s="1"/>
  <c r="H19" i="19"/>
  <c r="J19" i="19" s="1" a="1"/>
  <c r="J19" i="19" s="1"/>
  <c r="H20" i="19"/>
  <c r="H21" i="19"/>
  <c r="H22" i="19"/>
  <c r="J22" i="19" s="1" a="1"/>
  <c r="J22" i="19" s="1"/>
  <c r="H23" i="19"/>
  <c r="H24" i="19"/>
  <c r="H25" i="19"/>
  <c r="H26" i="19"/>
  <c r="H27" i="19"/>
  <c r="K27" i="19" s="1" a="1"/>
  <c r="K27" i="19" s="1"/>
  <c r="H28" i="19"/>
  <c r="K28" i="19" s="1" a="1"/>
  <c r="K28" i="19" s="1"/>
  <c r="H29" i="19"/>
  <c r="K29" i="19" s="1" a="1"/>
  <c r="K29" i="19" s="1"/>
  <c r="H30" i="19"/>
  <c r="H31" i="19"/>
  <c r="H32" i="19"/>
  <c r="K32" i="19" s="1" a="1"/>
  <c r="K32" i="19" s="1"/>
  <c r="H33" i="19"/>
  <c r="J33" i="19" s="1" a="1"/>
  <c r="J33" i="19" s="1"/>
  <c r="H34" i="19"/>
  <c r="H35" i="19"/>
  <c r="H36" i="19"/>
  <c r="H37" i="19"/>
  <c r="H38" i="19"/>
  <c r="H39" i="19"/>
  <c r="H40" i="19"/>
  <c r="N35" i="19" s="1" a="1"/>
  <c r="N35" i="19" s="1"/>
  <c r="H41" i="19"/>
  <c r="H42" i="19"/>
  <c r="H43" i="19"/>
  <c r="H44" i="19"/>
  <c r="H45" i="19"/>
  <c r="H46" i="19"/>
  <c r="O39" i="19" s="1" a="1"/>
  <c r="O39" i="19" s="1"/>
  <c r="H47" i="19"/>
  <c r="H48" i="19"/>
  <c r="H49" i="19"/>
  <c r="H50" i="19"/>
  <c r="H51" i="19"/>
  <c r="H52" i="19"/>
  <c r="H53" i="19"/>
  <c r="J53" i="19" s="1" a="1"/>
  <c r="J53" i="19" s="1"/>
  <c r="H54" i="19"/>
  <c r="J54" i="19" s="1" a="1"/>
  <c r="J54" i="19" s="1"/>
  <c r="H55" i="19"/>
  <c r="J55" i="19" s="1" a="1"/>
  <c r="J55" i="19" s="1"/>
  <c r="H56" i="19"/>
  <c r="J56" i="19" s="1" a="1"/>
  <c r="J56" i="19" s="1"/>
  <c r="H57" i="19"/>
  <c r="H58" i="19"/>
  <c r="H59" i="19"/>
  <c r="K59" i="19" s="1" a="1"/>
  <c r="K59" i="19" s="1"/>
  <c r="H60" i="19"/>
  <c r="K60" i="19" s="1" a="1"/>
  <c r="K60" i="19" s="1"/>
  <c r="H61" i="19"/>
  <c r="K61" i="19" s="1" a="1"/>
  <c r="K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6" i="19" a="1"/>
  <c r="J6" i="19" s="1"/>
  <c r="J31" i="19" a="1"/>
  <c r="J31" i="19" s="1"/>
  <c r="J44" i="19" a="1"/>
  <c r="J44" i="19" s="1"/>
  <c r="J46" i="19" a="1"/>
  <c r="J46" i="19" s="1"/>
  <c r="J49" i="19" a="1"/>
  <c r="J49" i="19" s="1"/>
  <c r="J50" i="19" a="1"/>
  <c r="J50" i="19" s="1"/>
  <c r="J60" i="19" a="1"/>
  <c r="J60" i="19" s="1"/>
  <c r="J61" i="19" a="1"/>
  <c r="J61" i="19" s="1"/>
  <c r="K6" i="19" a="1"/>
  <c r="K6" i="19" s="1"/>
  <c r="K7" i="19" a="1"/>
  <c r="K7" i="19" s="1"/>
  <c r="K17" i="19" a="1"/>
  <c r="K17" i="19" s="1"/>
  <c r="K18" i="19" a="1"/>
  <c r="K18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31" i="19" a="1"/>
  <c r="K31" i="19" s="1"/>
  <c r="K33" i="19" a="1"/>
  <c r="K33" i="19" s="1"/>
  <c r="K34" i="19" a="1"/>
  <c r="K34" i="19" s="1"/>
  <c r="K36" i="19" a="1"/>
  <c r="K36" i="19" s="1"/>
  <c r="K39" i="19" a="1"/>
  <c r="K39" i="19" s="1"/>
  <c r="K40" i="19" a="1"/>
  <c r="K40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M20" i="19" s="1"/>
  <c r="L21" i="19" a="1"/>
  <c r="L21" i="19" s="1"/>
  <c r="M21" i="19" s="1"/>
  <c r="L22" i="19" a="1"/>
  <c r="L22" i="19" s="1"/>
  <c r="M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M52" i="19" s="1"/>
  <c r="L53" i="19" a="1"/>
  <c r="L53" i="19" s="1"/>
  <c r="M53" i="19" s="1"/>
  <c r="L54" i="19" a="1"/>
  <c r="L54" i="19" s="1"/>
  <c r="M54" i="19" s="1"/>
  <c r="L55" i="19" a="1"/>
  <c r="L55" i="19" s="1"/>
  <c r="L56" i="19" a="1"/>
  <c r="L56" i="19" s="1"/>
  <c r="L57" i="19" a="1"/>
  <c r="L57" i="19" s="1"/>
  <c r="M57" i="19" s="1"/>
  <c r="L58" i="19" a="1"/>
  <c r="L58" i="19" s="1"/>
  <c r="M58" i="19" s="1"/>
  <c r="L59" i="19" a="1"/>
  <c r="L59" i="19" s="1"/>
  <c r="L60" i="19" a="1"/>
  <c r="L60" i="19" s="1"/>
  <c r="L61" i="19" a="1"/>
  <c r="L61" i="19" s="1"/>
  <c r="N2" i="19" a="1"/>
  <c r="N2" i="19" s="1"/>
  <c r="N6" i="19" a="1"/>
  <c r="N6" i="19" s="1"/>
  <c r="N7" i="19" a="1"/>
  <c r="N7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8" i="19" a="1"/>
  <c r="N38" i="19" s="1"/>
  <c r="N39" i="19" a="1"/>
  <c r="N39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O35" i="18" s="1" a="1"/>
  <c r="O35" i="18" s="1"/>
  <c r="M9" i="18"/>
  <c r="O45" i="18" s="1" a="1"/>
  <c r="O45" i="18" s="1"/>
  <c r="M10" i="18"/>
  <c r="P10" i="18" s="1" a="1"/>
  <c r="P10" i="18" s="1"/>
  <c r="M11" i="18"/>
  <c r="M12" i="18"/>
  <c r="M13" i="18"/>
  <c r="M14" i="18"/>
  <c r="O129" i="18" s="1" a="1"/>
  <c r="O129" i="18" s="1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S30" i="18" s="1" a="1"/>
  <c r="S30" i="18" s="1"/>
  <c r="M31" i="18"/>
  <c r="M32" i="18"/>
  <c r="O32" i="18" s="1" a="1"/>
  <c r="O32" i="18" s="1"/>
  <c r="M33" i="18"/>
  <c r="M34" i="18"/>
  <c r="M35" i="18"/>
  <c r="M36" i="18"/>
  <c r="M37" i="18"/>
  <c r="M38" i="18"/>
  <c r="M39" i="18"/>
  <c r="M40" i="18"/>
  <c r="M41" i="18"/>
  <c r="P9" i="18" s="1" a="1"/>
  <c r="P9" i="18" s="1"/>
  <c r="M42" i="18"/>
  <c r="P42" i="18" s="1" a="1"/>
  <c r="P42" i="18" s="1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O98" i="18" s="1" a="1"/>
  <c r="O98" i="18" s="1"/>
  <c r="M57" i="18"/>
  <c r="M58" i="18"/>
  <c r="M59" i="18"/>
  <c r="M60" i="18"/>
  <c r="M61" i="18"/>
  <c r="M62" i="18"/>
  <c r="S62" i="18" s="1" a="1"/>
  <c r="S62" i="18" s="1"/>
  <c r="M63" i="18"/>
  <c r="O63" i="18" s="1" a="1"/>
  <c r="O63" i="18" s="1"/>
  <c r="M64" i="18"/>
  <c r="O64" i="18" s="1" a="1"/>
  <c r="O64" i="18" s="1"/>
  <c r="M65" i="18"/>
  <c r="O65" i="18" s="1" a="1"/>
  <c r="O65" i="18" s="1"/>
  <c r="M66" i="18"/>
  <c r="M67" i="18"/>
  <c r="M68" i="18"/>
  <c r="M69" i="18"/>
  <c r="M70" i="18"/>
  <c r="M71" i="18"/>
  <c r="M72" i="18"/>
  <c r="M73" i="18"/>
  <c r="M74" i="18"/>
  <c r="P74" i="18" s="1" a="1"/>
  <c r="P74" i="18" s="1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O88" i="18" s="1" a="1"/>
  <c r="O88" i="18" s="1"/>
  <c r="M89" i="18"/>
  <c r="M90" i="18"/>
  <c r="M91" i="18"/>
  <c r="M92" i="18"/>
  <c r="M93" i="18"/>
  <c r="M94" i="18"/>
  <c r="M95" i="18"/>
  <c r="O95" i="18" s="1" a="1"/>
  <c r="O95" i="18" s="1"/>
  <c r="M96" i="18"/>
  <c r="O96" i="18" s="1" a="1"/>
  <c r="O96" i="18" s="1"/>
  <c r="M97" i="18"/>
  <c r="O97" i="18" s="1" a="1"/>
  <c r="O97" i="18" s="1"/>
  <c r="M98" i="18"/>
  <c r="M99" i="18"/>
  <c r="M100" i="18"/>
  <c r="M101" i="18"/>
  <c r="M102" i="18"/>
  <c r="M103" i="18"/>
  <c r="M104" i="18"/>
  <c r="M105" i="18"/>
  <c r="M106" i="18"/>
  <c r="P106" i="18" s="1" a="1"/>
  <c r="P106" i="18" s="1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O120" i="18" s="1" a="1"/>
  <c r="O120" i="18" s="1"/>
  <c r="M121" i="18"/>
  <c r="M122" i="18"/>
  <c r="M123" i="18"/>
  <c r="M124" i="18"/>
  <c r="M125" i="18"/>
  <c r="M126" i="18"/>
  <c r="M127" i="18"/>
  <c r="O127" i="18" s="1" a="1"/>
  <c r="O127" i="18" s="1"/>
  <c r="M128" i="18"/>
  <c r="O128" i="18" s="1" a="1"/>
  <c r="O128" i="18" s="1"/>
  <c r="M129" i="18"/>
  <c r="M130" i="18"/>
  <c r="M131" i="18"/>
  <c r="M132" i="18"/>
  <c r="M133" i="18"/>
  <c r="M134" i="18"/>
  <c r="M135" i="18"/>
  <c r="M136" i="18"/>
  <c r="M137" i="18"/>
  <c r="M138" i="18"/>
  <c r="P138" i="18" s="1" a="1"/>
  <c r="P138" i="18" s="1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 s="1"/>
  <c r="R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R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53" i="18" a="1"/>
  <c r="O53" i="18" s="1"/>
  <c r="O67" i="18" a="1"/>
  <c r="O67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6" i="18" a="1"/>
  <c r="O76" i="18" s="1"/>
  <c r="O77" i="18" a="1"/>
  <c r="O77" i="18" s="1"/>
  <c r="O79" i="18" a="1"/>
  <c r="O79" i="18" s="1"/>
  <c r="O81" i="18" a="1"/>
  <c r="O81" i="18" s="1"/>
  <c r="O82" i="18" a="1"/>
  <c r="O82" i="18" s="1"/>
  <c r="O83" i="18" a="1"/>
  <c r="O83" i="18" s="1"/>
  <c r="O85" i="18" a="1"/>
  <c r="O85" i="18" s="1"/>
  <c r="O86" i="18" a="1"/>
  <c r="O86" i="18" s="1"/>
  <c r="O87" i="18" a="1"/>
  <c r="O87" i="18" s="1"/>
  <c r="O90" i="18" a="1"/>
  <c r="O90" i="18" s="1"/>
  <c r="O91" i="18" a="1"/>
  <c r="O91" i="18" s="1"/>
  <c r="O92" i="18" a="1"/>
  <c r="O92" i="18" s="1"/>
  <c r="O93" i="18" a="1"/>
  <c r="O93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R12" i="18" s="1"/>
  <c r="U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R24" i="18" s="1"/>
  <c r="U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R49" i="18" s="1"/>
  <c r="U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R56" i="18" s="1"/>
  <c r="U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L182" i="17"/>
  <c r="L8" i="17"/>
  <c r="L9" i="17"/>
  <c r="N114" i="17" s="1" a="1"/>
  <c r="N114" i="17" s="1"/>
  <c r="L10" i="17"/>
  <c r="L11" i="17"/>
  <c r="L12" i="17"/>
  <c r="N196" i="17" s="1" a="1"/>
  <c r="N196" i="17" s="1"/>
  <c r="L13" i="17"/>
  <c r="N93" i="17" s="1" a="1"/>
  <c r="N93" i="17" s="1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O15" i="17" s="1" a="1"/>
  <c r="O15" i="17" s="1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N132" i="17" s="1" a="1"/>
  <c r="N132" i="17" s="1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N92" i="17" s="1" a="1"/>
  <c r="N92" i="17" s="1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N160" i="17" s="1" a="1"/>
  <c r="N160" i="17" s="1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N120" i="17" s="1" a="1"/>
  <c r="N120" i="17" s="1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N203" i="17" s="1" a="1"/>
  <c r="N203" i="17" s="1"/>
  <c r="L134" i="17"/>
  <c r="O14" i="17" s="1" a="1"/>
  <c r="O14" i="17" s="1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O96" i="17" s="1" a="1"/>
  <c r="O96" i="17" s="1"/>
  <c r="L162" i="17"/>
  <c r="N162" i="17" s="1" a="1"/>
  <c r="N162" i="17" s="1"/>
  <c r="L163" i="17"/>
  <c r="L208" i="17"/>
  <c r="L164" i="17"/>
  <c r="L165" i="17"/>
  <c r="L166" i="17"/>
  <c r="N166" i="17" s="1" a="1"/>
  <c r="N166" i="17" s="1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/>
  <c r="M35" i="17" a="1"/>
  <c r="M35" i="17" s="1"/>
  <c r="M36" i="17" a="1"/>
  <c r="M36" i="17" s="1"/>
  <c r="M37" i="17" a="1"/>
  <c r="M37" i="17" s="1"/>
  <c r="M187" i="17" a="1"/>
  <c r="M18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N124" i="17" a="1"/>
  <c r="N124" i="17" s="1"/>
  <c r="N158" i="17" a="1"/>
  <c r="N158" i="17" s="1"/>
  <c r="N159" i="17" a="1"/>
  <c r="N159" i="17" s="1"/>
  <c r="N208" i="17" a="1"/>
  <c r="N208" i="17" s="1"/>
  <c r="N174" i="17" a="1"/>
  <c r="N174" i="17" s="1"/>
  <c r="O8" i="17" a="1"/>
  <c r="O8" i="17" s="1"/>
  <c r="O9" i="17" a="1"/>
  <c r="O9" i="17" s="1"/>
  <c r="O12" i="17" a="1"/>
  <c r="O12" i="17" s="1"/>
  <c r="O13" i="17" a="1"/>
  <c r="O13" i="17" s="1"/>
  <c r="O17" i="17" a="1"/>
  <c r="O17" i="17" s="1"/>
  <c r="O19" i="17" a="1"/>
  <c r="O19" i="17" s="1"/>
  <c r="O184" i="17" a="1"/>
  <c r="O184" i="17" s="1"/>
  <c r="O20" i="17" a="1"/>
  <c r="O20" i="17" s="1"/>
  <c r="O21" i="17" a="1"/>
  <c r="O21" i="17" s="1"/>
  <c r="O22" i="17" a="1"/>
  <c r="O22" i="17" s="1"/>
  <c r="O24" i="17" a="1"/>
  <c r="O24" i="17" s="1"/>
  <c r="O185" i="17" a="1"/>
  <c r="O185" i="17" s="1"/>
  <c r="O26" i="17" a="1"/>
  <c r="O26" i="17" s="1"/>
  <c r="O27" i="17" a="1"/>
  <c r="O27" i="17" s="1"/>
  <c r="O186" i="17" a="1"/>
  <c r="O186" i="17" s="1"/>
  <c r="O32" i="17" a="1"/>
  <c r="O32" i="17" s="1"/>
  <c r="O34" i="17" a="1"/>
  <c r="O34" i="17" s="1"/>
  <c r="O36" i="17" a="1"/>
  <c r="O36" i="17" s="1"/>
  <c r="O37" i="17" a="1"/>
  <c r="O3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188" i="17" a="1"/>
  <c r="O18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/>
  <c r="O49" i="17" a="1"/>
  <c r="O49" i="17" s="1"/>
  <c r="O189" i="17" a="1"/>
  <c r="O189" i="17" s="1"/>
  <c r="O51" i="17" a="1"/>
  <c r="O51" i="17" s="1"/>
  <c r="O52" i="17" a="1"/>
  <c r="O52" i="17" s="1"/>
  <c r="O53" i="17" a="1"/>
  <c r="O53" i="17" s="1"/>
  <c r="O54" i="17" a="1"/>
  <c r="O54" i="17" s="1"/>
  <c r="O190" i="17" a="1"/>
  <c r="O19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91" i="17" a="1"/>
  <c r="O19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192" i="17" a="1"/>
  <c r="O192" i="17" s="1"/>
  <c r="O68" i="17" a="1"/>
  <c r="O68" i="17" s="1"/>
  <c r="O71" i="17" a="1"/>
  <c r="O71" i="17" s="1"/>
  <c r="O72" i="17" a="1"/>
  <c r="O72" i="17" s="1"/>
  <c r="O73" i="17" a="1"/>
  <c r="O73" i="17" s="1"/>
  <c r="O193" i="17" a="1"/>
  <c r="O19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194" i="17" a="1"/>
  <c r="O194" i="17" s="1"/>
  <c r="O80" i="17" a="1"/>
  <c r="O80" i="17" s="1"/>
  <c r="O81" i="17" a="1"/>
  <c r="O81" i="17" s="1"/>
  <c r="O82" i="17" a="1"/>
  <c r="O82" i="17" s="1"/>
  <c r="O84" i="17" a="1"/>
  <c r="O84" i="17" s="1"/>
  <c r="O85" i="17" a="1"/>
  <c r="O85" i="17" s="1"/>
  <c r="O195" i="17" a="1"/>
  <c r="O19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/>
  <c r="O196" i="17" a="1"/>
  <c r="O196" i="17" s="1"/>
  <c r="O92" i="17" a="1"/>
  <c r="O92" i="17" s="1"/>
  <c r="O93" i="17" a="1"/>
  <c r="O93" i="17" s="1"/>
  <c r="O94" i="17" a="1"/>
  <c r="O94" i="17" s="1"/>
  <c r="O95" i="17" a="1"/>
  <c r="O95" i="17" s="1"/>
  <c r="O97" i="17" a="1"/>
  <c r="O97" i="17" s="1"/>
  <c r="O197" i="17" a="1"/>
  <c r="O197" i="17" s="1"/>
  <c r="O98" i="17" a="1"/>
  <c r="O98" i="17" s="1"/>
  <c r="O100" i="17" a="1"/>
  <c r="O100" i="17" s="1"/>
  <c r="O101" i="17" a="1"/>
  <c r="O101" i="17" s="1"/>
  <c r="O102" i="17" a="1"/>
  <c r="O102" i="17" s="1"/>
  <c r="O103" i="17" a="1"/>
  <c r="O103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196" i="17" a="1"/>
  <c r="P196" i="17" s="1"/>
  <c r="P92" i="17" a="1"/>
  <c r="P92" i="17" s="1"/>
  <c r="P93" i="17" a="1"/>
  <c r="P93" i="17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83" i="17" a="1"/>
  <c r="R183" i="17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4" i="17" a="1"/>
  <c r="R18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85" i="17" a="1"/>
  <c r="R18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/>
  <c r="R61" i="17" a="1"/>
  <c r="R61" i="17" s="1"/>
  <c r="R191" i="17" a="1"/>
  <c r="R191" i="17" s="1"/>
  <c r="R62" i="17" a="1"/>
  <c r="R62" i="17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99" i="17" a="1"/>
  <c r="R199" i="17" s="1"/>
  <c r="R110" i="17" a="1"/>
  <c r="R110" i="17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 s="1"/>
  <c r="R148" i="17" a="1"/>
  <c r="R148" i="17"/>
  <c r="R149" i="17" a="1"/>
  <c r="R149" i="17" s="1"/>
  <c r="R150" i="17" a="1"/>
  <c r="R150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/>
  <c r="S69" i="17" a="1"/>
  <c r="S69" i="17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/>
  <c r="S148" i="17" a="1"/>
  <c r="S148" i="17" s="1"/>
  <c r="S149" i="17" a="1"/>
  <c r="S149" i="17" s="1"/>
  <c r="S150" i="17" a="1"/>
  <c r="S150" i="17" s="1"/>
  <c r="S151" i="17" a="1"/>
  <c r="S151" i="17"/>
  <c r="S206" i="17" a="1"/>
  <c r="S206" i="17"/>
  <c r="S152" i="17" a="1"/>
  <c r="S152" i="17"/>
  <c r="S153" i="17" a="1"/>
  <c r="S153" i="17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10" i="17" a="1"/>
  <c r="S210" i="17"/>
  <c r="S176" i="17" a="1"/>
  <c r="S176" i="17"/>
  <c r="S177" i="17" a="1"/>
  <c r="S177" i="17"/>
  <c r="S178" i="17" a="1"/>
  <c r="S178" i="17"/>
  <c r="S179" i="17" a="1"/>
  <c r="S179" i="17" s="1"/>
  <c r="S180" i="17" a="1"/>
  <c r="S180" i="17"/>
  <c r="S181" i="17" a="1"/>
  <c r="S181" i="17" s="1"/>
  <c r="S211" i="17" a="1"/>
  <c r="S211" i="17"/>
  <c r="T2" i="17" a="1"/>
  <c r="T2" i="17" s="1"/>
  <c r="T3" i="17" a="1"/>
  <c r="T3" i="17" s="1"/>
  <c r="T4" i="17" a="1"/>
  <c r="T4" i="17"/>
  <c r="T5" i="17" a="1"/>
  <c r="T5" i="17"/>
  <c r="T6" i="17" a="1"/>
  <c r="T6" i="17"/>
  <c r="T7" i="17" a="1"/>
  <c r="T7" i="17"/>
  <c r="T182" i="17" a="1"/>
  <c r="T182" i="17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/>
  <c r="T14" i="17" a="1"/>
  <c r="T14" i="17" s="1"/>
  <c r="T15" i="17" a="1"/>
  <c r="T15" i="17" s="1"/>
  <c r="T16" i="17" a="1"/>
  <c r="T16" i="17"/>
  <c r="T17" i="17" a="1"/>
  <c r="T17" i="17" s="1"/>
  <c r="T18" i="17" a="1"/>
  <c r="T18" i="17" s="1"/>
  <c r="T19" i="17" a="1"/>
  <c r="T19" i="17" s="1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 s="1"/>
  <c r="T46" i="17" a="1"/>
  <c r="T46" i="17" s="1"/>
  <c r="T47" i="17" a="1"/>
  <c r="T47" i="17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/>
  <c r="T59" i="17" a="1"/>
  <c r="T59" i="17"/>
  <c r="T60" i="17" a="1"/>
  <c r="T60" i="17"/>
  <c r="T61" i="17" a="1"/>
  <c r="T61" i="17"/>
  <c r="T191" i="17" a="1"/>
  <c r="T19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/>
  <c r="T92" i="17" a="1"/>
  <c r="T92" i="17" s="1"/>
  <c r="T93" i="17" a="1"/>
  <c r="T93" i="17" s="1"/>
  <c r="T94" i="17" a="1"/>
  <c r="T94" i="17"/>
  <c r="T95" i="17" a="1"/>
  <c r="T95" i="17" s="1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/>
  <c r="U41" i="17" a="1"/>
  <c r="U41" i="17" s="1"/>
  <c r="U42" i="17" a="1"/>
  <c r="U42" i="17" s="1"/>
  <c r="U43" i="17" a="1"/>
  <c r="U43" i="17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200" i="17" a="1"/>
  <c r="U200" i="17" s="1"/>
  <c r="U116" i="17" a="1"/>
  <c r="U116" i="17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/>
  <c r="U137" i="17" a="1"/>
  <c r="U137" i="17"/>
  <c r="U138" i="17" a="1"/>
  <c r="U138" i="17"/>
  <c r="U139" i="17" a="1"/>
  <c r="U139" i="17" s="1"/>
  <c r="U204" i="17" a="1"/>
  <c r="U204" i="17" s="1"/>
  <c r="U140" i="17" a="1"/>
  <c r="U140" i="17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/>
  <c r="U160" i="17" a="1"/>
  <c r="U160" i="17" s="1"/>
  <c r="U161" i="17" a="1"/>
  <c r="U161" i="17" s="1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 s="1"/>
  <c r="V6" i="17" a="1"/>
  <c r="V6" i="17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/>
  <c r="V43" i="17" a="1"/>
  <c r="V43" i="17" s="1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/>
  <c r="V61" i="17" a="1"/>
  <c r="V61" i="17" s="1"/>
  <c r="V191" i="17" a="1"/>
  <c r="V191" i="17" s="1"/>
  <c r="V62" i="17" a="1"/>
  <c r="V62" i="17"/>
  <c r="V63" i="17" a="1"/>
  <c r="V63" i="17" s="1"/>
  <c r="V64" i="17" a="1"/>
  <c r="V64" i="17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/>
  <c r="V127" i="17" a="1"/>
  <c r="V127" i="17"/>
  <c r="V202" i="17" a="1"/>
  <c r="V202" i="17" s="1"/>
  <c r="V128" i="17" a="1"/>
  <c r="V128" i="17" s="1"/>
  <c r="V129" i="17" a="1"/>
  <c r="V129" i="17"/>
  <c r="V130" i="17" a="1"/>
  <c r="V130" i="17" s="1"/>
  <c r="V131" i="17" a="1"/>
  <c r="V131" i="17" s="1"/>
  <c r="V132" i="17" a="1"/>
  <c r="V132" i="17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/>
  <c r="V205" i="17" a="1"/>
  <c r="V205" i="17" s="1"/>
  <c r="V146" i="17" a="1"/>
  <c r="V146" i="17" s="1"/>
  <c r="V147" i="17" a="1"/>
  <c r="V147" i="17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X3" i="17" a="1"/>
  <c r="X3" i="17" s="1"/>
  <c r="Y3" i="17" s="1"/>
  <c r="X4" i="17" a="1"/>
  <c r="X4" i="17" s="1"/>
  <c r="Y4" i="17" s="1"/>
  <c r="X5" i="17" a="1"/>
  <c r="X5" i="17" s="1"/>
  <c r="X6" i="17" a="1"/>
  <c r="X6" i="17" s="1"/>
  <c r="X7" i="17" a="1"/>
  <c r="X7" i="17" s="1"/>
  <c r="Y7" i="17" s="1"/>
  <c r="X182" i="17" a="1"/>
  <c r="X182" i="17"/>
  <c r="X8" i="17" a="1"/>
  <c r="X8" i="17" s="1"/>
  <c r="X9" i="17" a="1"/>
  <c r="X9" i="17" s="1"/>
  <c r="Y9" i="17" s="1"/>
  <c r="X10" i="17" a="1"/>
  <c r="X10" i="17" s="1"/>
  <c r="Y10" i="17" s="1"/>
  <c r="X11" i="17" a="1"/>
  <c r="X11" i="17" s="1"/>
  <c r="X12" i="17" a="1"/>
  <c r="X12" i="17" s="1"/>
  <c r="X13" i="17" a="1"/>
  <c r="X13" i="17" s="1"/>
  <c r="Y13" i="17" s="1"/>
  <c r="Q13" i="17" s="1"/>
  <c r="W13" i="17" s="1"/>
  <c r="X183" i="17" a="1"/>
  <c r="X183" i="17" s="1"/>
  <c r="Y183" i="17" s="1"/>
  <c r="X14" i="17" a="1"/>
  <c r="X14" i="17" s="1"/>
  <c r="Y14" i="17" s="1"/>
  <c r="X15" i="17" a="1"/>
  <c r="X15" i="17" s="1"/>
  <c r="X16" i="17" a="1"/>
  <c r="X16" i="17" s="1"/>
  <c r="Y16" i="17" s="1"/>
  <c r="X17" i="17" a="1"/>
  <c r="X17" i="17" s="1"/>
  <c r="Y17" i="17" s="1"/>
  <c r="X18" i="17" a="1"/>
  <c r="X18" i="17" s="1"/>
  <c r="Y18" i="17" s="1"/>
  <c r="X19" i="17" a="1"/>
  <c r="X19" i="17"/>
  <c r="X184" i="17" a="1"/>
  <c r="X184" i="17" s="1"/>
  <c r="X20" i="17" a="1"/>
  <c r="X20" i="17" s="1"/>
  <c r="X21" i="17" a="1"/>
  <c r="X21" i="17" s="1"/>
  <c r="X22" i="17" a="1"/>
  <c r="X22" i="17" s="1"/>
  <c r="Y22" i="17" s="1"/>
  <c r="Q22" i="17" s="1"/>
  <c r="W22" i="17" s="1"/>
  <c r="X23" i="17" a="1"/>
  <c r="X23" i="17" s="1"/>
  <c r="Y23" i="17" s="1"/>
  <c r="X24" i="17" a="1"/>
  <c r="X24" i="17" s="1"/>
  <c r="Y24" i="17" s="1"/>
  <c r="Q24" i="17" s="1"/>
  <c r="W24" i="17" s="1"/>
  <c r="X25" i="17" a="1"/>
  <c r="X25" i="17" s="1"/>
  <c r="X185" i="17" a="1"/>
  <c r="X185" i="17" s="1"/>
  <c r="Y185" i="17" s="1"/>
  <c r="Q185" i="17" s="1"/>
  <c r="W185" i="17" s="1"/>
  <c r="X26" i="17" a="1"/>
  <c r="X26" i="17" s="1"/>
  <c r="X27" i="17" a="1"/>
  <c r="X27" i="17" s="1"/>
  <c r="X28" i="17" a="1"/>
  <c r="X28" i="17" s="1"/>
  <c r="Y28" i="17" s="1"/>
  <c r="X29" i="17" a="1"/>
  <c r="X29" i="17" s="1"/>
  <c r="X30" i="17" a="1"/>
  <c r="X30" i="17" s="1"/>
  <c r="Y30" i="17" s="1"/>
  <c r="X31" i="17" a="1"/>
  <c r="X31" i="17" s="1"/>
  <c r="X186" i="17" a="1"/>
  <c r="X186" i="17" s="1"/>
  <c r="Y186" i="17" s="1"/>
  <c r="Q186" i="17" s="1"/>
  <c r="W186" i="17" s="1"/>
  <c r="X32" i="17" a="1"/>
  <c r="X32" i="17" s="1"/>
  <c r="X33" i="17" a="1"/>
  <c r="X33" i="17" s="1"/>
  <c r="Y33" i="17" s="1"/>
  <c r="X34" i="17" a="1"/>
  <c r="X34" i="17" s="1"/>
  <c r="Y34" i="17" s="1"/>
  <c r="Q34" i="17" s="1"/>
  <c r="W34" i="17" s="1"/>
  <c r="X35" i="17" a="1"/>
  <c r="X35" i="17" s="1"/>
  <c r="X36" i="17" a="1"/>
  <c r="X36" i="17" s="1"/>
  <c r="Y36" i="17" s="1"/>
  <c r="Q36" i="17" s="1"/>
  <c r="W36" i="17" s="1"/>
  <c r="X37" i="17" a="1"/>
  <c r="X37" i="17" s="1"/>
  <c r="Y37" i="17" s="1"/>
  <c r="Q37" i="17" s="1"/>
  <c r="W37" i="17" s="1"/>
  <c r="X187" i="17" a="1"/>
  <c r="X187" i="17" s="1"/>
  <c r="Y187" i="17" s="1"/>
  <c r="X38" i="17" a="1"/>
  <c r="X38" i="17" s="1"/>
  <c r="Y38" i="17" s="1"/>
  <c r="Q38" i="17" s="1"/>
  <c r="W38" i="17" s="1"/>
  <c r="X39" i="17" a="1"/>
  <c r="X39" i="17" s="1"/>
  <c r="X40" i="17" a="1"/>
  <c r="X40" i="17"/>
  <c r="Y40" i="17" s="1"/>
  <c r="Q40" i="17" s="1"/>
  <c r="W40" i="17" s="1"/>
  <c r="X41" i="17" a="1"/>
  <c r="X41" i="17" s="1"/>
  <c r="Y41" i="17" s="1"/>
  <c r="Q41" i="17" s="1"/>
  <c r="W41" i="17" s="1"/>
  <c r="X42" i="17" a="1"/>
  <c r="X42" i="17" s="1"/>
  <c r="Y42" i="17" s="1"/>
  <c r="Q42" i="17" s="1"/>
  <c r="W42" i="17" s="1"/>
  <c r="X43" i="17" a="1"/>
  <c r="X43" i="17" s="1"/>
  <c r="Y43" i="17" s="1"/>
  <c r="X188" i="17" a="1"/>
  <c r="X188" i="17" s="1"/>
  <c r="Y188" i="17" s="1"/>
  <c r="Q188" i="17" s="1"/>
  <c r="W188" i="17" s="1"/>
  <c r="X44" i="17" a="1"/>
  <c r="X44" i="17" s="1"/>
  <c r="Y44" i="17" s="1"/>
  <c r="Q44" i="17" s="1"/>
  <c r="W44" i="17" s="1"/>
  <c r="X45" i="17" a="1"/>
  <c r="X45" i="17" s="1"/>
  <c r="Y45" i="17" s="1"/>
  <c r="X46" i="17" a="1"/>
  <c r="X46" i="17" s="1"/>
  <c r="Y46" i="17" s="1"/>
  <c r="Q46" i="17" s="1"/>
  <c r="W46" i="17" s="1"/>
  <c r="X47" i="17" a="1"/>
  <c r="X47" i="17" s="1"/>
  <c r="Y47" i="17" s="1"/>
  <c r="Q47" i="17" s="1"/>
  <c r="W47" i="17" s="1"/>
  <c r="X48" i="17" a="1"/>
  <c r="X48" i="17" s="1"/>
  <c r="X49" i="17" a="1"/>
  <c r="X49" i="17" s="1"/>
  <c r="Y49" i="17" s="1"/>
  <c r="X189" i="17" a="1"/>
  <c r="X189" i="17" s="1"/>
  <c r="Y189" i="17" s="1"/>
  <c r="Q189" i="17" s="1"/>
  <c r="W189" i="17" s="1"/>
  <c r="X50" i="17" a="1"/>
  <c r="X50" i="17" s="1"/>
  <c r="Y50" i="17" s="1"/>
  <c r="X51" i="17" a="1"/>
  <c r="X51" i="17" s="1"/>
  <c r="Y51" i="17" s="1"/>
  <c r="X52" i="17" a="1"/>
  <c r="X52" i="17" s="1"/>
  <c r="Y52" i="17" s="1"/>
  <c r="Q52" i="17" s="1"/>
  <c r="W52" i="17" s="1"/>
  <c r="X53" i="17" a="1"/>
  <c r="X53" i="17"/>
  <c r="Y53" i="17" s="1"/>
  <c r="Q53" i="17" s="1"/>
  <c r="W53" i="17" s="1"/>
  <c r="X54" i="17" a="1"/>
  <c r="X54" i="17" s="1"/>
  <c r="X55" i="17" a="1"/>
  <c r="X55" i="17" s="1"/>
  <c r="X190" i="17" a="1"/>
  <c r="X190" i="17" s="1"/>
  <c r="Y190" i="17" s="1"/>
  <c r="Q190" i="17" s="1"/>
  <c r="W190" i="17" s="1"/>
  <c r="X56" i="17" a="1"/>
  <c r="X56" i="17" s="1"/>
  <c r="X57" i="17" a="1"/>
  <c r="X57" i="17" s="1"/>
  <c r="Y57" i="17" s="1"/>
  <c r="Q57" i="17" s="1"/>
  <c r="W57" i="17" s="1"/>
  <c r="X58" i="17" a="1"/>
  <c r="X58" i="17" s="1"/>
  <c r="Y58" i="17" s="1"/>
  <c r="Q58" i="17" s="1"/>
  <c r="X59" i="17" a="1"/>
  <c r="X59" i="17" s="1"/>
  <c r="X60" i="17" a="1"/>
  <c r="X60" i="17" s="1"/>
  <c r="X61" i="17" a="1"/>
  <c r="X61" i="17" s="1"/>
  <c r="X191" i="17" a="1"/>
  <c r="X191" i="17" s="1"/>
  <c r="X62" i="17" a="1"/>
  <c r="X62" i="17" s="1"/>
  <c r="X63" i="17" a="1"/>
  <c r="X63" i="17" s="1"/>
  <c r="X64" i="17" a="1"/>
  <c r="X64" i="17" s="1"/>
  <c r="Y64" i="17" s="1"/>
  <c r="X65" i="17" a="1"/>
  <c r="X65" i="17" s="1"/>
  <c r="Y65" i="17" s="1"/>
  <c r="Q65" i="17" s="1"/>
  <c r="W65" i="17" s="1"/>
  <c r="X66" i="17" a="1"/>
  <c r="X66" i="17" s="1"/>
  <c r="Y66" i="17" s="1"/>
  <c r="X67" i="17" a="1"/>
  <c r="X67" i="17" s="1"/>
  <c r="X192" i="17" a="1"/>
  <c r="X192" i="17" s="1"/>
  <c r="X68" i="17" a="1"/>
  <c r="X68" i="17"/>
  <c r="X69" i="17" a="1"/>
  <c r="X69" i="17" s="1"/>
  <c r="Y69" i="17" s="1"/>
  <c r="X70" i="17" a="1"/>
  <c r="X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Y73" i="17" s="1"/>
  <c r="Q73" i="17" s="1"/>
  <c r="W73" i="17" s="1"/>
  <c r="X193" i="17" a="1"/>
  <c r="X193" i="17" s="1"/>
  <c r="Y193" i="17" s="1"/>
  <c r="Q193" i="17" s="1"/>
  <c r="W193" i="17" s="1"/>
  <c r="X74" i="17" a="1"/>
  <c r="X74" i="17" s="1"/>
  <c r="Y74" i="17" s="1"/>
  <c r="Q74" i="17" s="1"/>
  <c r="W74" i="17" s="1"/>
  <c r="X75" i="17" a="1"/>
  <c r="X75" i="17"/>
  <c r="X76" i="17" a="1"/>
  <c r="X76" i="17" s="1"/>
  <c r="Y76" i="17" s="1"/>
  <c r="X77" i="17" a="1"/>
  <c r="X77" i="17" s="1"/>
  <c r="X78" i="17" a="1"/>
  <c r="X78" i="17" s="1"/>
  <c r="Y78" i="17" s="1"/>
  <c r="X79" i="17" a="1"/>
  <c r="X79" i="17" s="1"/>
  <c r="Y79" i="17" s="1"/>
  <c r="X194" i="17" a="1"/>
  <c r="X194" i="17" s="1"/>
  <c r="Y194" i="17" s="1"/>
  <c r="Q194" i="17" s="1"/>
  <c r="W194" i="17" s="1"/>
  <c r="X80" i="17" a="1"/>
  <c r="X80" i="17" s="1"/>
  <c r="Y80" i="17" s="1"/>
  <c r="Q80" i="17" s="1"/>
  <c r="W80" i="17" s="1"/>
  <c r="X81" i="17" a="1"/>
  <c r="X81" i="17"/>
  <c r="X82" i="17" a="1"/>
  <c r="X82" i="17"/>
  <c r="Y82" i="17" s="1"/>
  <c r="Q82" i="17" s="1"/>
  <c r="W82" i="17" s="1"/>
  <c r="X83" i="17" a="1"/>
  <c r="X83" i="17" s="1"/>
  <c r="Y83" i="17" s="1"/>
  <c r="X84" i="17" a="1"/>
  <c r="X84" i="17" s="1"/>
  <c r="X85" i="17" a="1"/>
  <c r="X85" i="17" s="1"/>
  <c r="Y85" i="17" s="1"/>
  <c r="Q85" i="17" s="1"/>
  <c r="W85" i="17" s="1"/>
  <c r="X195" i="17" a="1"/>
  <c r="X195" i="17" s="1"/>
  <c r="Y195" i="17" s="1"/>
  <c r="X86" i="17" a="1"/>
  <c r="X86" i="17" s="1"/>
  <c r="X87" i="17" a="1"/>
  <c r="X87" i="17" s="1"/>
  <c r="X88" i="17" a="1"/>
  <c r="X88" i="17" s="1"/>
  <c r="Y88" i="17" s="1"/>
  <c r="Q88" i="17" s="1"/>
  <c r="W88" i="17" s="1"/>
  <c r="X89" i="17" a="1"/>
  <c r="X89" i="17" s="1"/>
  <c r="X90" i="17" a="1"/>
  <c r="X90" i="17" s="1"/>
  <c r="Y90" i="17" s="1"/>
  <c r="X91" i="17" a="1"/>
  <c r="X91" i="17" s="1"/>
  <c r="Y91" i="17" s="1"/>
  <c r="Q91" i="17" s="1"/>
  <c r="W91" i="17" s="1"/>
  <c r="X196" i="17" a="1"/>
  <c r="X196" i="17" s="1"/>
  <c r="Y196" i="17" s="1"/>
  <c r="Q196" i="17" s="1"/>
  <c r="W196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X95" i="17" a="1"/>
  <c r="X95" i="17" s="1"/>
  <c r="Y95" i="17" s="1"/>
  <c r="Q95" i="17" s="1"/>
  <c r="W95" i="17" s="1"/>
  <c r="X96" i="17" a="1"/>
  <c r="X96" i="17" s="1"/>
  <c r="Y96" i="17" s="1"/>
  <c r="X97" i="17" a="1"/>
  <c r="X97" i="17" s="1"/>
  <c r="Y97" i="17" s="1"/>
  <c r="Q97" i="17" s="1"/>
  <c r="W97" i="17" s="1"/>
  <c r="X197" i="17" a="1"/>
  <c r="X197" i="17" s="1"/>
  <c r="X98" i="17" a="1"/>
  <c r="X98" i="17" s="1"/>
  <c r="Y98" i="17" s="1"/>
  <c r="Q98" i="17" s="1"/>
  <c r="W98" i="17" s="1"/>
  <c r="X99" i="17" a="1"/>
  <c r="X99" i="17" s="1"/>
  <c r="Y99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X103" i="17" a="1"/>
  <c r="X103" i="17" s="1"/>
  <c r="X198" i="17" a="1"/>
  <c r="X198" i="17"/>
  <c r="X104" i="17" a="1"/>
  <c r="X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X199" i="17" a="1"/>
  <c r="X199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Y112" i="17" s="1"/>
  <c r="X113" i="17" a="1"/>
  <c r="X113" i="17" s="1"/>
  <c r="Y113" i="17" s="1"/>
  <c r="Q113" i="17" s="1"/>
  <c r="X114" i="17" a="1"/>
  <c r="X114" i="17" s="1"/>
  <c r="Y114" i="17" s="1"/>
  <c r="Q114" i="17" s="1"/>
  <c r="W114" i="17" s="1"/>
  <c r="X115" i="17" a="1"/>
  <c r="X115" i="17" s="1"/>
  <c r="Y115" i="17" s="1"/>
  <c r="X200" i="17" a="1"/>
  <c r="X200" i="17" s="1"/>
  <c r="X116" i="17" a="1"/>
  <c r="X116" i="17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201" i="17" a="1"/>
  <c r="X201" i="17" s="1"/>
  <c r="X122" i="17" a="1"/>
  <c r="X122" i="17" s="1"/>
  <c r="Y122" i="17" s="1"/>
  <c r="X123" i="17" a="1"/>
  <c r="X123" i="17" s="1"/>
  <c r="Y123" i="17" s="1"/>
  <c r="Q123" i="17" s="1"/>
  <c r="W123" i="17" s="1"/>
  <c r="X124" i="17" a="1"/>
  <c r="X124" i="17" s="1"/>
  <c r="X125" i="17" a="1"/>
  <c r="X125" i="17"/>
  <c r="Y125" i="17" s="1"/>
  <c r="Q125" i="17" s="1"/>
  <c r="W125" i="17" s="1"/>
  <c r="X126" i="17" a="1"/>
  <c r="X126" i="17" s="1"/>
  <c r="Y126" i="17" s="1"/>
  <c r="Q126" i="17" s="1"/>
  <c r="W126" i="17" s="1"/>
  <c r="X127" i="17" a="1"/>
  <c r="X127" i="17" s="1"/>
  <c r="Y127" i="17" s="1"/>
  <c r="Q127" i="17" s="1"/>
  <c r="W127" i="17" s="1"/>
  <c r="X202" i="17" a="1"/>
  <c r="X202" i="17" s="1"/>
  <c r="Y202" i="17" s="1"/>
  <c r="Q202" i="17" s="1"/>
  <c r="W202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Y130" i="17" s="1"/>
  <c r="Q130" i="17" s="1"/>
  <c r="W130" i="17" s="1"/>
  <c r="X131" i="17" a="1"/>
  <c r="X131" i="17" s="1"/>
  <c r="Y131" i="17" s="1"/>
  <c r="X132" i="17" a="1"/>
  <c r="X132" i="17" s="1"/>
  <c r="Y132" i="17" s="1"/>
  <c r="Q132" i="17" s="1"/>
  <c r="W132" i="17" s="1"/>
  <c r="X133" i="17" a="1"/>
  <c r="X133" i="17" s="1"/>
  <c r="Y133" i="17" s="1"/>
  <c r="Q133" i="17" s="1"/>
  <c r="W133" i="17" s="1"/>
  <c r="X203" i="17" a="1"/>
  <c r="X203" i="17" s="1"/>
  <c r="Y203" i="17" s="1"/>
  <c r="X134" i="17" a="1"/>
  <c r="X134" i="17" s="1"/>
  <c r="Y134" i="17" s="1"/>
  <c r="Q134" i="17" s="1"/>
  <c r="W134" i="17" s="1"/>
  <c r="X135" i="17" a="1"/>
  <c r="X135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204" i="17" a="1"/>
  <c r="X204" i="17" s="1"/>
  <c r="Y204" i="17" s="1"/>
  <c r="Q204" i="17" s="1"/>
  <c r="W204" i="17" s="1"/>
  <c r="X140" i="17" a="1"/>
  <c r="X140" i="17" s="1"/>
  <c r="Y140" i="17" s="1"/>
  <c r="Q140" i="17" s="1"/>
  <c r="W140" i="17" s="1"/>
  <c r="X141" i="17" a="1"/>
  <c r="X141" i="17" s="1"/>
  <c r="X142" i="17" a="1"/>
  <c r="X142" i="17" s="1"/>
  <c r="X143" i="17" a="1"/>
  <c r="X143" i="17" s="1"/>
  <c r="X144" i="17" a="1"/>
  <c r="X144" i="17" s="1"/>
  <c r="X145" i="17" a="1"/>
  <c r="X145" i="17" s="1"/>
  <c r="Y145" i="17" s="1"/>
  <c r="Q145" i="17" s="1"/>
  <c r="W145" i="17" s="1"/>
  <c r="X205" i="17" a="1"/>
  <c r="X205" i="17" s="1"/>
  <c r="Y205" i="17" s="1"/>
  <c r="X146" i="17" a="1"/>
  <c r="X146" i="17"/>
  <c r="X147" i="17" a="1"/>
  <c r="X147" i="17" s="1"/>
  <c r="Y147" i="17" s="1"/>
  <c r="Q147" i="17" s="1"/>
  <c r="W147" i="17" s="1"/>
  <c r="X148" i="17" a="1"/>
  <c r="X148" i="17" s="1"/>
  <c r="Y148" i="17" s="1"/>
  <c r="Q148" i="17" s="1"/>
  <c r="W148" i="17" s="1"/>
  <c r="X149" i="17" a="1"/>
  <c r="X149" i="17" s="1"/>
  <c r="X150" i="17" a="1"/>
  <c r="X150" i="17" s="1"/>
  <c r="X151" i="17" a="1"/>
  <c r="X151" i="17" s="1"/>
  <c r="X206" i="17" a="1"/>
  <c r="X206" i="17" s="1"/>
  <c r="X152" i="17" a="1"/>
  <c r="X152" i="17" s="1"/>
  <c r="Y152" i="17" s="1"/>
  <c r="Q152" i="17" s="1"/>
  <c r="W152" i="17" s="1"/>
  <c r="X153" i="17" a="1"/>
  <c r="X153" i="17" s="1"/>
  <c r="Y153" i="17" s="1"/>
  <c r="Q153" i="17" s="1"/>
  <c r="W153" i="17" s="1"/>
  <c r="X154" i="17" a="1"/>
  <c r="X154" i="17" s="1"/>
  <c r="Y154" i="17" s="1"/>
  <c r="Q154" i="17" s="1"/>
  <c r="W154" i="17" s="1"/>
  <c r="X155" i="17" a="1"/>
  <c r="X155" i="17"/>
  <c r="Y155" i="17" s="1"/>
  <c r="Q155" i="17" s="1"/>
  <c r="W155" i="17" s="1"/>
  <c r="X156" i="17" a="1"/>
  <c r="X156" i="17" s="1"/>
  <c r="Y156" i="17" s="1"/>
  <c r="Q156" i="17" s="1"/>
  <c r="W156" i="17" s="1"/>
  <c r="X157" i="17" a="1"/>
  <c r="X157" i="17" s="1"/>
  <c r="X207" i="17" a="1"/>
  <c r="X207" i="17" s="1"/>
  <c r="Y207" i="17" s="1"/>
  <c r="Q207" i="17" s="1"/>
  <c r="W207" i="17" s="1"/>
  <c r="X158" i="17" a="1"/>
  <c r="X158" i="17" s="1"/>
  <c r="Y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Y161" i="17" s="1"/>
  <c r="Q161" i="17" s="1"/>
  <c r="W161" i="17" s="1"/>
  <c r="X162" i="17" a="1"/>
  <c r="X162" i="17"/>
  <c r="Y162" i="17" s="1"/>
  <c r="Q162" i="17" s="1"/>
  <c r="W162" i="17" s="1"/>
  <c r="X163" i="17" a="1"/>
  <c r="X163" i="17" s="1"/>
  <c r="Y163" i="17" s="1"/>
  <c r="X208" i="17" a="1"/>
  <c r="X208" i="17" s="1"/>
  <c r="Y208" i="17" s="1"/>
  <c r="Q208" i="17" s="1"/>
  <c r="W208" i="17" s="1"/>
  <c r="X164" i="17" a="1"/>
  <c r="X164" i="17" s="1"/>
  <c r="X165" i="17" a="1"/>
  <c r="X165" i="17" s="1"/>
  <c r="X166" i="17" a="1"/>
  <c r="X166" i="17"/>
  <c r="Y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X209" i="17" a="1"/>
  <c r="X209" i="17" s="1"/>
  <c r="Y209" i="17" s="1"/>
  <c r="Q209" i="17" s="1"/>
  <c r="W209" i="17" s="1"/>
  <c r="X170" i="17" a="1"/>
  <c r="X170" i="17" s="1"/>
  <c r="X171" i="17" a="1"/>
  <c r="X171" i="17" s="1"/>
  <c r="Y171" i="17" s="1"/>
  <c r="X172" i="17" a="1"/>
  <c r="X172" i="17" s="1"/>
  <c r="X173" i="17" a="1"/>
  <c r="X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210" i="17" a="1"/>
  <c r="X210" i="17" s="1"/>
  <c r="Y210" i="17" s="1"/>
  <c r="Q210" i="17" s="1"/>
  <c r="W210" i="17" s="1"/>
  <c r="X176" i="17" a="1"/>
  <c r="X176" i="17" s="1"/>
  <c r="X177" i="17" a="1"/>
  <c r="X177" i="17" s="1"/>
  <c r="Y177" i="17" s="1"/>
  <c r="X178" i="17" a="1"/>
  <c r="X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X211" i="17" a="1"/>
  <c r="X211" i="17" s="1"/>
  <c r="Y211" i="17" s="1"/>
  <c r="Q211" i="17" s="1"/>
  <c r="W211" i="17" s="1"/>
  <c r="Y8" i="17"/>
  <c r="Q8" i="17" s="1"/>
  <c r="W8" i="17" s="1"/>
  <c r="Y19" i="17"/>
  <c r="Q19" i="17" s="1"/>
  <c r="W19" i="17" s="1"/>
  <c r="Y63" i="17"/>
  <c r="Q63" i="17" s="1"/>
  <c r="W63" i="17" s="1"/>
  <c r="Y75" i="17"/>
  <c r="Q75" i="17" s="1"/>
  <c r="W75" i="17" s="1"/>
  <c r="Y77" i="17"/>
  <c r="Q77" i="17" s="1"/>
  <c r="W77" i="17" s="1"/>
  <c r="Y198" i="17"/>
  <c r="Q198" i="17" s="1"/>
  <c r="W198" i="17" s="1"/>
  <c r="Y104" i="17"/>
  <c r="Y146" i="17"/>
  <c r="Q146" i="17" s="1"/>
  <c r="W146" i="17" s="1"/>
  <c r="Y173" i="17"/>
  <c r="Q173" i="17" s="1"/>
  <c r="W173" i="17" s="1"/>
  <c r="G2" i="16"/>
  <c r="K55" i="20" l="1" a="1"/>
  <c r="K55" i="20" s="1"/>
  <c r="K23" i="20" a="1"/>
  <c r="K23" i="20" s="1"/>
  <c r="N137" i="20"/>
  <c r="N105" i="20"/>
  <c r="N73" i="20"/>
  <c r="N41" i="20"/>
  <c r="K22" i="20" a="1"/>
  <c r="K22" i="20" s="1"/>
  <c r="K53" i="20" a="1"/>
  <c r="K53" i="20" s="1"/>
  <c r="K21" i="20" a="1"/>
  <c r="K21" i="20" s="1"/>
  <c r="K20" i="20" a="1"/>
  <c r="K20" i="20" s="1"/>
  <c r="K19" i="20" a="1"/>
  <c r="K19" i="20" s="1"/>
  <c r="N133" i="20"/>
  <c r="N101" i="20"/>
  <c r="N69" i="20"/>
  <c r="N37" i="20"/>
  <c r="K18" i="20" a="1"/>
  <c r="K18" i="20" s="1"/>
  <c r="N132" i="20"/>
  <c r="K16" i="20" a="1"/>
  <c r="K16" i="20" s="1"/>
  <c r="K15" i="20" a="1"/>
  <c r="K15" i="20" s="1"/>
  <c r="K14" i="20" a="1"/>
  <c r="K14" i="20" s="1"/>
  <c r="K13" i="20" a="1"/>
  <c r="K13" i="20" s="1"/>
  <c r="K45" i="20" a="1"/>
  <c r="K45" i="20" s="1"/>
  <c r="K12" i="20" a="1"/>
  <c r="K12" i="20" s="1"/>
  <c r="N127" i="20"/>
  <c r="N95" i="20"/>
  <c r="N63" i="20"/>
  <c r="K44" i="20" a="1"/>
  <c r="K44" i="20" s="1"/>
  <c r="K11" i="20" a="1"/>
  <c r="K11" i="20" s="1"/>
  <c r="K10" i="20" a="1"/>
  <c r="K10" i="20" s="1"/>
  <c r="K42" i="20" a="1"/>
  <c r="K42" i="20" s="1"/>
  <c r="K8" i="20" a="1"/>
  <c r="K8" i="20" s="1"/>
  <c r="N124" i="20"/>
  <c r="K7" i="20" a="1"/>
  <c r="K7" i="20" s="1"/>
  <c r="N123" i="20"/>
  <c r="N91" i="20"/>
  <c r="K72" i="20" a="1"/>
  <c r="K72" i="20" s="1"/>
  <c r="K40" i="20" a="1"/>
  <c r="K40" i="20" s="1"/>
  <c r="K6" i="20" a="1"/>
  <c r="K6" i="20" s="1"/>
  <c r="K4" i="20" a="1"/>
  <c r="K4" i="20" s="1"/>
  <c r="N151" i="20"/>
  <c r="N119" i="20"/>
  <c r="N87" i="20"/>
  <c r="N55" i="20"/>
  <c r="N24" i="20"/>
  <c r="K2" i="20" a="1"/>
  <c r="K2" i="20" s="1"/>
  <c r="N150" i="20"/>
  <c r="N118" i="20"/>
  <c r="N86" i="20"/>
  <c r="N54" i="20"/>
  <c r="K17" i="20" a="1"/>
  <c r="K17" i="20" s="1"/>
  <c r="K35" i="20" a="1"/>
  <c r="K35" i="20" s="1"/>
  <c r="K34" i="20" a="1"/>
  <c r="K34" i="20" s="1"/>
  <c r="K33" i="20" a="1"/>
  <c r="K33" i="20" s="1"/>
  <c r="N147" i="20"/>
  <c r="N19" i="20"/>
  <c r="K3" i="20" a="1"/>
  <c r="K3" i="20" s="1"/>
  <c r="K31" i="20" a="1"/>
  <c r="K31" i="20" s="1"/>
  <c r="K30" i="20" a="1"/>
  <c r="K30" i="20" s="1"/>
  <c r="N144" i="20"/>
  <c r="N112" i="20"/>
  <c r="N80" i="20"/>
  <c r="K125" i="20" a="1"/>
  <c r="K125" i="20" s="1"/>
  <c r="N16" i="20"/>
  <c r="K60" i="20" a="1"/>
  <c r="K60" i="20" s="1"/>
  <c r="K28" i="20" a="1"/>
  <c r="K28" i="20" s="1"/>
  <c r="K123" i="20" a="1"/>
  <c r="K123" i="20" s="1"/>
  <c r="K91" i="20" a="1"/>
  <c r="K91" i="20" s="1"/>
  <c r="K58" i="20" a="1"/>
  <c r="K58" i="20" s="1"/>
  <c r="K26" i="20" a="1"/>
  <c r="K26" i="20" s="1"/>
  <c r="N140" i="20"/>
  <c r="N108" i="20"/>
  <c r="N76" i="20"/>
  <c r="N44" i="20"/>
  <c r="K25" i="20" a="1"/>
  <c r="K25" i="20" s="1"/>
  <c r="N11" i="20"/>
  <c r="N136" i="20"/>
  <c r="N104" i="20"/>
  <c r="N72" i="20"/>
  <c r="N40" i="20"/>
  <c r="N10" i="20"/>
  <c r="N135" i="20"/>
  <c r="N103" i="20"/>
  <c r="N71" i="20"/>
  <c r="N39" i="20"/>
  <c r="N9" i="20"/>
  <c r="N134" i="20"/>
  <c r="N102" i="20"/>
  <c r="N70" i="20"/>
  <c r="N38" i="20"/>
  <c r="N8" i="20"/>
  <c r="N7" i="20"/>
  <c r="N100" i="20"/>
  <c r="N68" i="20"/>
  <c r="N36" i="20"/>
  <c r="N6" i="20"/>
  <c r="N131" i="20"/>
  <c r="N99" i="20"/>
  <c r="N67" i="20"/>
  <c r="N35" i="20"/>
  <c r="N5" i="20"/>
  <c r="N130" i="20"/>
  <c r="N98" i="20"/>
  <c r="N66" i="20"/>
  <c r="N34" i="20"/>
  <c r="N4" i="20"/>
  <c r="N129" i="20"/>
  <c r="N97" i="20"/>
  <c r="N65" i="20"/>
  <c r="N33" i="20"/>
  <c r="N3" i="20"/>
  <c r="N128" i="20"/>
  <c r="N96" i="20"/>
  <c r="N64" i="20"/>
  <c r="N32" i="20"/>
  <c r="N2" i="20"/>
  <c r="N126" i="20"/>
  <c r="N94" i="20"/>
  <c r="N62" i="20"/>
  <c r="N125" i="20"/>
  <c r="N93" i="20"/>
  <c r="N61" i="20"/>
  <c r="N30" i="20"/>
  <c r="N92" i="20"/>
  <c r="N60" i="20"/>
  <c r="N29" i="20"/>
  <c r="N59" i="20"/>
  <c r="N28" i="20"/>
  <c r="N122" i="20"/>
  <c r="N90" i="20"/>
  <c r="N58" i="20"/>
  <c r="N27" i="20"/>
  <c r="N121" i="20"/>
  <c r="N89" i="20"/>
  <c r="N57" i="20"/>
  <c r="N26" i="20"/>
  <c r="N120" i="20"/>
  <c r="N88" i="20"/>
  <c r="N56" i="20"/>
  <c r="N25" i="20"/>
  <c r="N23" i="20"/>
  <c r="N149" i="20"/>
  <c r="N117" i="20"/>
  <c r="N85" i="20"/>
  <c r="N53" i="20"/>
  <c r="N22" i="20"/>
  <c r="N148" i="20"/>
  <c r="N116" i="20"/>
  <c r="N84" i="20"/>
  <c r="N52" i="20"/>
  <c r="N21" i="20"/>
  <c r="N115" i="20"/>
  <c r="N83" i="20"/>
  <c r="N51" i="20"/>
  <c r="N20" i="20"/>
  <c r="N146" i="20"/>
  <c r="N114" i="20"/>
  <c r="N82" i="20"/>
  <c r="N50" i="20"/>
  <c r="N145" i="20"/>
  <c r="N113" i="20"/>
  <c r="N81" i="20"/>
  <c r="N49" i="20"/>
  <c r="N18" i="20"/>
  <c r="N48" i="20"/>
  <c r="N17" i="20"/>
  <c r="N111" i="20"/>
  <c r="N143" i="20"/>
  <c r="N47" i="20"/>
  <c r="N142" i="20"/>
  <c r="N110" i="20"/>
  <c r="N78" i="20"/>
  <c r="N46" i="20"/>
  <c r="N79" i="20"/>
  <c r="N15" i="20"/>
  <c r="N141" i="20"/>
  <c r="N109" i="20"/>
  <c r="N77" i="20"/>
  <c r="N45" i="20"/>
  <c r="N14" i="20"/>
  <c r="N139" i="20"/>
  <c r="N107" i="20"/>
  <c r="N75" i="20"/>
  <c r="N43" i="20"/>
  <c r="N13" i="20"/>
  <c r="N138" i="20"/>
  <c r="N106" i="20"/>
  <c r="N74" i="20"/>
  <c r="N42" i="20"/>
  <c r="N12" i="20"/>
  <c r="K9" i="20" a="1"/>
  <c r="K9" i="20" s="1"/>
  <c r="K26" i="19" a="1"/>
  <c r="K26" i="19" s="1"/>
  <c r="M26" i="19" s="1"/>
  <c r="J52" i="19" a="1"/>
  <c r="J52" i="19" s="1"/>
  <c r="J12" i="19" a="1"/>
  <c r="J12" i="19" s="1"/>
  <c r="K25" i="19" a="1"/>
  <c r="K25" i="19" s="1"/>
  <c r="M25" i="19" s="1"/>
  <c r="J51" i="19" a="1"/>
  <c r="J51" i="19" s="1"/>
  <c r="J11" i="19" a="1"/>
  <c r="J11" i="19" s="1"/>
  <c r="J7" i="19" a="1"/>
  <c r="J7" i="19" s="1"/>
  <c r="J10" i="19" a="1"/>
  <c r="J10" i="19" s="1"/>
  <c r="J48" i="19" a="1"/>
  <c r="J48" i="19" s="1"/>
  <c r="J5" i="19" a="1"/>
  <c r="J5" i="19" s="1"/>
  <c r="J47" i="19" a="1"/>
  <c r="J47" i="19" s="1"/>
  <c r="J4" i="19" a="1"/>
  <c r="J4" i="19" s="1"/>
  <c r="M56" i="19"/>
  <c r="M24" i="19"/>
  <c r="J3" i="19" a="1"/>
  <c r="J3" i="19" s="1"/>
  <c r="M55" i="19"/>
  <c r="M23" i="19"/>
  <c r="K19" i="19" a="1"/>
  <c r="K19" i="19" s="1"/>
  <c r="M19" i="19" s="1"/>
  <c r="J45" i="19" a="1"/>
  <c r="J45" i="19" s="1"/>
  <c r="J15" i="19" a="1"/>
  <c r="J15" i="19" s="1"/>
  <c r="J57" i="19" a="1"/>
  <c r="J57" i="19" s="1"/>
  <c r="J25" i="19" a="1"/>
  <c r="J25" i="19" s="1"/>
  <c r="J43" i="19" a="1"/>
  <c r="J43" i="19" s="1"/>
  <c r="J24" i="19" a="1"/>
  <c r="J24" i="19" s="1"/>
  <c r="K16" i="19" a="1"/>
  <c r="K16" i="19" s="1"/>
  <c r="M16" i="19" s="1"/>
  <c r="J42" i="19" a="1"/>
  <c r="J42" i="19" s="1"/>
  <c r="K15" i="19" a="1"/>
  <c r="K15" i="19" s="1"/>
  <c r="J39" i="19" a="1"/>
  <c r="J39" i="19" s="1"/>
  <c r="K14" i="19" a="1"/>
  <c r="K14" i="19" s="1"/>
  <c r="M14" i="19" s="1"/>
  <c r="J38" i="19" a="1"/>
  <c r="J38" i="19" s="1"/>
  <c r="K12" i="19" a="1"/>
  <c r="K12" i="19" s="1"/>
  <c r="M12" i="19" s="1"/>
  <c r="M27" i="19"/>
  <c r="M48" i="19"/>
  <c r="K44" i="19" a="1"/>
  <c r="K44" i="19" s="1"/>
  <c r="K11" i="19" a="1"/>
  <c r="K11" i="19" s="1"/>
  <c r="J36" i="19" a="1"/>
  <c r="J36" i="19" s="1"/>
  <c r="M59" i="19"/>
  <c r="M47" i="19"/>
  <c r="M15" i="19"/>
  <c r="K43" i="19" a="1"/>
  <c r="K43" i="19" s="1"/>
  <c r="K10" i="19" a="1"/>
  <c r="K10" i="19" s="1"/>
  <c r="J35" i="19" a="1"/>
  <c r="J35" i="19" s="1"/>
  <c r="M46" i="19"/>
  <c r="K42" i="19" a="1"/>
  <c r="K42" i="19" s="1"/>
  <c r="K9" i="19" a="1"/>
  <c r="K9" i="19" s="1"/>
  <c r="J34" i="19" a="1"/>
  <c r="J34" i="19" s="1"/>
  <c r="N17" i="19" a="1"/>
  <c r="N17" i="19" s="1"/>
  <c r="K41" i="19" a="1"/>
  <c r="K41" i="19" s="1"/>
  <c r="K8" i="19" a="1"/>
  <c r="K8" i="19" s="1"/>
  <c r="M8" i="19" s="1"/>
  <c r="J32" i="19" a="1"/>
  <c r="J32" i="19" s="1"/>
  <c r="J17" i="19" a="1"/>
  <c r="J17" i="19" s="1"/>
  <c r="M43" i="19"/>
  <c r="M42" i="19"/>
  <c r="M10" i="19"/>
  <c r="K38" i="19" a="1"/>
  <c r="K38" i="19" s="1"/>
  <c r="M38" i="19" s="1"/>
  <c r="K5" i="19" a="1"/>
  <c r="K5" i="19" s="1"/>
  <c r="J30" i="19" a="1"/>
  <c r="J30" i="19" s="1"/>
  <c r="M41" i="19"/>
  <c r="M9" i="19"/>
  <c r="K37" i="19" a="1"/>
  <c r="K37" i="19" s="1"/>
  <c r="M37" i="19" s="1"/>
  <c r="K4" i="19" a="1"/>
  <c r="K4" i="19" s="1"/>
  <c r="M4" i="19" s="1"/>
  <c r="J29" i="19" a="1"/>
  <c r="J29" i="19" s="1"/>
  <c r="M40" i="19"/>
  <c r="K3" i="19" a="1"/>
  <c r="K3" i="19" s="1"/>
  <c r="M39" i="19"/>
  <c r="M7" i="19"/>
  <c r="K35" i="19" a="1"/>
  <c r="K35" i="19" s="1"/>
  <c r="M35" i="19" s="1"/>
  <c r="J27" i="19" a="1"/>
  <c r="J27" i="19" s="1"/>
  <c r="K13" i="19" a="1"/>
  <c r="K13" i="19" s="1"/>
  <c r="J26" i="19" a="1"/>
  <c r="J26" i="19" s="1"/>
  <c r="J41" i="19" a="1"/>
  <c r="J41" i="19" s="1"/>
  <c r="J40" i="19" a="1"/>
  <c r="J40" i="19" s="1"/>
  <c r="J23" i="19" a="1"/>
  <c r="J23" i="19" s="1"/>
  <c r="J8" i="19" a="1"/>
  <c r="J8" i="19" s="1"/>
  <c r="N40" i="19" a="1"/>
  <c r="N40" i="19" s="1"/>
  <c r="N8" i="19" a="1"/>
  <c r="N8" i="19" s="1"/>
  <c r="J59" i="19" a="1"/>
  <c r="J59" i="19" s="1"/>
  <c r="J58" i="19" a="1"/>
  <c r="J58" i="19" s="1"/>
  <c r="J21" i="19" a="1"/>
  <c r="J21" i="19" s="1"/>
  <c r="M11" i="19"/>
  <c r="K30" i="19" a="1"/>
  <c r="K30" i="19" s="1"/>
  <c r="M30" i="19" s="1"/>
  <c r="J20" i="19" a="1"/>
  <c r="J20" i="19" s="1"/>
  <c r="N37" i="19" a="1"/>
  <c r="N37" i="19" s="1"/>
  <c r="N5" i="19" a="1"/>
  <c r="N5" i="19" s="1"/>
  <c r="O40" i="19" a="1"/>
  <c r="O40" i="19" s="1"/>
  <c r="O8" i="19" a="1"/>
  <c r="O8" i="19" s="1"/>
  <c r="N36" i="19" a="1"/>
  <c r="N36" i="19" s="1"/>
  <c r="N4" i="19" a="1"/>
  <c r="N4" i="19" s="1"/>
  <c r="O7" i="19" a="1"/>
  <c r="O7" i="19" s="1"/>
  <c r="N3" i="19" a="1"/>
  <c r="N3" i="19" s="1"/>
  <c r="J14" i="19" a="1"/>
  <c r="J14" i="19" s="1"/>
  <c r="M61" i="19"/>
  <c r="M29" i="19"/>
  <c r="M60" i="19"/>
  <c r="M28" i="19"/>
  <c r="M51" i="19"/>
  <c r="M50" i="19"/>
  <c r="M18" i="19"/>
  <c r="M49" i="19"/>
  <c r="M17" i="19"/>
  <c r="M45" i="19"/>
  <c r="M13" i="19"/>
  <c r="M44" i="19"/>
  <c r="M36" i="19"/>
  <c r="M3" i="19"/>
  <c r="M2" i="19"/>
  <c r="M33" i="19"/>
  <c r="M6" i="19"/>
  <c r="M32" i="19"/>
  <c r="M5" i="19"/>
  <c r="M34" i="19"/>
  <c r="M31" i="19"/>
  <c r="J2" i="19" a="1"/>
  <c r="J2" i="19" s="1"/>
  <c r="J16" i="19" a="1"/>
  <c r="J16" i="19" s="1"/>
  <c r="J13" i="19" a="1"/>
  <c r="J13" i="19" s="1"/>
  <c r="J9" i="19" a="1"/>
  <c r="J9" i="19" s="1"/>
  <c r="O94" i="18" a="1"/>
  <c r="O94" i="18" s="1"/>
  <c r="O62" i="18" a="1"/>
  <c r="O62" i="18" s="1"/>
  <c r="R17" i="18"/>
  <c r="U17" i="18" s="1"/>
  <c r="O61" i="18" a="1"/>
  <c r="O61" i="18" s="1"/>
  <c r="R16" i="18"/>
  <c r="U16" i="18" s="1"/>
  <c r="O60" i="18" a="1"/>
  <c r="O60" i="18" s="1"/>
  <c r="O2" i="18" a="1"/>
  <c r="O2" i="18" s="1"/>
  <c r="O59" i="18" a="1"/>
  <c r="O59" i="18" s="1"/>
  <c r="O58" i="18" a="1"/>
  <c r="O58" i="18" s="1"/>
  <c r="O89" i="18" a="1"/>
  <c r="O89" i="18" s="1"/>
  <c r="O57" i="18" a="1"/>
  <c r="O57" i="18" s="1"/>
  <c r="P2" i="18" a="1"/>
  <c r="P2" i="18" s="1"/>
  <c r="R2" i="18" s="1"/>
  <c r="U2" i="18" s="1"/>
  <c r="O56" i="18" a="1"/>
  <c r="O56" i="18" s="1"/>
  <c r="O55" i="18" a="1"/>
  <c r="O55" i="18" s="1"/>
  <c r="R10" i="18"/>
  <c r="U10" i="18" s="1"/>
  <c r="O54" i="18" a="1"/>
  <c r="O54" i="18" s="1"/>
  <c r="O18" i="18" a="1"/>
  <c r="O18" i="18" s="1"/>
  <c r="R72" i="18"/>
  <c r="U72" i="18" s="1"/>
  <c r="R40" i="18"/>
  <c r="U40" i="18" s="1"/>
  <c r="R8" i="18"/>
  <c r="U8" i="18" s="1"/>
  <c r="O84" i="18" a="1"/>
  <c r="O84" i="18" s="1"/>
  <c r="O52" i="18" a="1"/>
  <c r="O52" i="18" s="1"/>
  <c r="O51" i="18" a="1"/>
  <c r="O51" i="18" s="1"/>
  <c r="O50" i="18" a="1"/>
  <c r="O50" i="18" s="1"/>
  <c r="O49" i="18" a="1"/>
  <c r="O49" i="18" s="1"/>
  <c r="O80" i="18" a="1"/>
  <c r="O80" i="18" s="1"/>
  <c r="O48" i="18" a="1"/>
  <c r="O48" i="18" s="1"/>
  <c r="O46" i="18" a="1"/>
  <c r="O46" i="18" s="1"/>
  <c r="O78" i="18" a="1"/>
  <c r="O78" i="18" s="1"/>
  <c r="R65" i="18"/>
  <c r="U65" i="18" s="1"/>
  <c r="R33" i="18"/>
  <c r="U33" i="18" s="1"/>
  <c r="O44" i="18" a="1"/>
  <c r="O44" i="18" s="1"/>
  <c r="O43" i="18" a="1"/>
  <c r="O43" i="18" s="1"/>
  <c r="O75" i="18" a="1"/>
  <c r="O75" i="18" s="1"/>
  <c r="O42" i="18" a="1"/>
  <c r="O42" i="18" s="1"/>
  <c r="O74" i="18" a="1"/>
  <c r="O74" i="18" s="1"/>
  <c r="O41" i="18" a="1"/>
  <c r="O41" i="18" s="1"/>
  <c r="O40" i="18" a="1"/>
  <c r="O40" i="18" s="1"/>
  <c r="O39" i="18" a="1"/>
  <c r="O39" i="18" s="1"/>
  <c r="O38" i="18" a="1"/>
  <c r="O38" i="18" s="1"/>
  <c r="R26" i="18"/>
  <c r="U26" i="18" s="1"/>
  <c r="O37" i="18" a="1"/>
  <c r="O37" i="18" s="1"/>
  <c r="O17" i="18" a="1"/>
  <c r="O17" i="18" s="1"/>
  <c r="O36" i="18" a="1"/>
  <c r="O36" i="18" s="1"/>
  <c r="O68" i="18" a="1"/>
  <c r="O68" i="18" s="1"/>
  <c r="O34" i="18" a="1"/>
  <c r="O34" i="18" s="1"/>
  <c r="O66" i="18" a="1"/>
  <c r="O66" i="18" s="1"/>
  <c r="S126" i="18" a="1"/>
  <c r="S126" i="18" s="1"/>
  <c r="S94" i="18" a="1"/>
  <c r="S94" i="18" s="1"/>
  <c r="R118" i="18"/>
  <c r="U118" i="18" s="1"/>
  <c r="R88" i="18"/>
  <c r="U88" i="18" s="1"/>
  <c r="R60" i="18"/>
  <c r="U60" i="18" s="1"/>
  <c r="R9" i="18"/>
  <c r="U9" i="18" s="1"/>
  <c r="R148" i="18"/>
  <c r="U148" i="18" s="1"/>
  <c r="R87" i="18"/>
  <c r="U87" i="18" s="1"/>
  <c r="R59" i="18"/>
  <c r="U59" i="18" s="1"/>
  <c r="R147" i="18"/>
  <c r="U147" i="18" s="1"/>
  <c r="R86" i="18"/>
  <c r="U86" i="18" s="1"/>
  <c r="R58" i="18"/>
  <c r="U58" i="18" s="1"/>
  <c r="R32" i="18"/>
  <c r="U32" i="18" s="1"/>
  <c r="R146" i="18"/>
  <c r="U146" i="18" s="1"/>
  <c r="R116" i="18"/>
  <c r="U116" i="18" s="1"/>
  <c r="R57" i="18"/>
  <c r="U57" i="18" s="1"/>
  <c r="R31" i="18"/>
  <c r="U31" i="18" s="1"/>
  <c r="R7" i="18"/>
  <c r="U7" i="18"/>
  <c r="R145" i="18"/>
  <c r="U145" i="18" s="1"/>
  <c r="U115" i="18"/>
  <c r="R115" i="18"/>
  <c r="R30" i="18"/>
  <c r="U30" i="18" s="1"/>
  <c r="R6" i="18"/>
  <c r="U6" i="18" s="1"/>
  <c r="R144" i="18"/>
  <c r="U144" i="18" s="1"/>
  <c r="R114" i="18"/>
  <c r="U114" i="18" s="1"/>
  <c r="R84" i="18"/>
  <c r="U84" i="18" s="1"/>
  <c r="R143" i="18"/>
  <c r="U143" i="18" s="1"/>
  <c r="R113" i="18"/>
  <c r="U113" i="18" s="1"/>
  <c r="R83" i="18"/>
  <c r="U83" i="18" s="1"/>
  <c r="R55" i="18"/>
  <c r="U55" i="18" s="1"/>
  <c r="R28" i="18"/>
  <c r="U28" i="18" s="1"/>
  <c r="R29" i="18"/>
  <c r="U29" i="18" s="1"/>
  <c r="R142" i="18"/>
  <c r="U142" i="18" s="1"/>
  <c r="R112" i="18"/>
  <c r="U112" i="18" s="1"/>
  <c r="R82" i="18"/>
  <c r="U82" i="18" s="1"/>
  <c r="R54" i="18"/>
  <c r="U54" i="18"/>
  <c r="R27" i="18"/>
  <c r="U27" i="18" s="1"/>
  <c r="R4" i="18"/>
  <c r="U4" i="18" s="1"/>
  <c r="R141" i="18"/>
  <c r="U141" i="18" s="1"/>
  <c r="R111" i="18"/>
  <c r="U111" i="18" s="1"/>
  <c r="R81" i="18"/>
  <c r="U81" i="18" s="1"/>
  <c r="R3" i="18"/>
  <c r="U3" i="18" s="1"/>
  <c r="R139" i="18"/>
  <c r="U139" i="18" s="1"/>
  <c r="R109" i="18"/>
  <c r="U109" i="18" s="1"/>
  <c r="R79" i="18"/>
  <c r="U79" i="18" s="1"/>
  <c r="R52" i="18"/>
  <c r="U52" i="18" s="1"/>
  <c r="R25" i="18"/>
  <c r="U25" i="18" s="1"/>
  <c r="R138" i="18"/>
  <c r="U138" i="18" s="1"/>
  <c r="R108" i="18"/>
  <c r="U108" i="18" s="1"/>
  <c r="R78" i="18"/>
  <c r="U78" i="18" s="1"/>
  <c r="R51" i="18"/>
  <c r="U51" i="18" s="1"/>
  <c r="R110" i="18"/>
  <c r="U110" i="18" s="1"/>
  <c r="R137" i="18"/>
  <c r="U137" i="18"/>
  <c r="R107" i="18"/>
  <c r="U107" i="18"/>
  <c r="R77" i="18"/>
  <c r="U77" i="18" s="1"/>
  <c r="R50" i="18"/>
  <c r="U50" i="18" s="1"/>
  <c r="R136" i="18"/>
  <c r="U136" i="18" s="1"/>
  <c r="R106" i="18"/>
  <c r="U106" i="18" s="1"/>
  <c r="R76" i="18"/>
  <c r="U76" i="18" s="1"/>
  <c r="R23" i="18"/>
  <c r="U23" i="18" s="1"/>
  <c r="R80" i="18"/>
  <c r="U80" i="18" s="1"/>
  <c r="R135" i="18"/>
  <c r="U135" i="18" s="1"/>
  <c r="R105" i="18"/>
  <c r="U105" i="18" s="1"/>
  <c r="R75" i="18"/>
  <c r="U75" i="18" s="1"/>
  <c r="R22" i="18"/>
  <c r="U22" i="18" s="1"/>
  <c r="R140" i="18"/>
  <c r="U140" i="18" s="1"/>
  <c r="R134" i="18"/>
  <c r="U134" i="18" s="1"/>
  <c r="R104" i="18"/>
  <c r="U104" i="18" s="1"/>
  <c r="R74" i="18"/>
  <c r="U74" i="18" s="1"/>
  <c r="R48" i="18"/>
  <c r="U48" i="18" s="1"/>
  <c r="R133" i="18"/>
  <c r="U133" i="18" s="1"/>
  <c r="R103" i="18"/>
  <c r="U103" i="18" s="1"/>
  <c r="R73" i="18"/>
  <c r="U73" i="18" s="1"/>
  <c r="U47" i="18"/>
  <c r="R47" i="18"/>
  <c r="R102" i="18"/>
  <c r="U102" i="18" s="1"/>
  <c r="R46" i="18"/>
  <c r="U46" i="18" s="1"/>
  <c r="R20" i="18"/>
  <c r="U20" i="18" s="1"/>
  <c r="R45" i="18"/>
  <c r="U45" i="18"/>
  <c r="R19" i="18"/>
  <c r="U19" i="18" s="1"/>
  <c r="R131" i="18"/>
  <c r="U131" i="18" s="1"/>
  <c r="R71" i="18"/>
  <c r="U71" i="18" s="1"/>
  <c r="R44" i="18"/>
  <c r="U44" i="18" s="1"/>
  <c r="R18" i="18"/>
  <c r="U18" i="18" s="1"/>
  <c r="R132" i="18"/>
  <c r="U132" i="18" s="1"/>
  <c r="R130" i="18"/>
  <c r="U130" i="18" s="1"/>
  <c r="R100" i="18"/>
  <c r="U100" i="18" s="1"/>
  <c r="R70" i="18"/>
  <c r="U70" i="18" s="1"/>
  <c r="R43" i="18"/>
  <c r="U43" i="18" s="1"/>
  <c r="R129" i="18"/>
  <c r="U129" i="18" s="1"/>
  <c r="R99" i="18"/>
  <c r="U99" i="18" s="1"/>
  <c r="R69" i="18"/>
  <c r="U69" i="18" s="1"/>
  <c r="R42" i="18"/>
  <c r="U42" i="18" s="1"/>
  <c r="R128" i="18"/>
  <c r="U128" i="18" s="1"/>
  <c r="R98" i="18"/>
  <c r="U98" i="18" s="1"/>
  <c r="R41" i="18"/>
  <c r="U41" i="18" s="1"/>
  <c r="R127" i="18"/>
  <c r="U127" i="18"/>
  <c r="R97" i="18"/>
  <c r="U97" i="18" s="1"/>
  <c r="R68" i="18"/>
  <c r="U68" i="18" s="1"/>
  <c r="R126" i="18"/>
  <c r="U126" i="18"/>
  <c r="R96" i="18"/>
  <c r="U96" i="18"/>
  <c r="R67" i="18"/>
  <c r="U67" i="18" s="1"/>
  <c r="R15" i="18"/>
  <c r="U15" i="18" s="1"/>
  <c r="R125" i="18"/>
  <c r="U125" i="18"/>
  <c r="R95" i="18"/>
  <c r="U95" i="18" s="1"/>
  <c r="R66" i="18"/>
  <c r="U66" i="18"/>
  <c r="R39" i="18"/>
  <c r="U39" i="18" s="1"/>
  <c r="R14" i="18"/>
  <c r="U14" i="18" s="1"/>
  <c r="R124" i="18"/>
  <c r="U124" i="18" s="1"/>
  <c r="R94" i="18"/>
  <c r="U94" i="18" s="1"/>
  <c r="R38" i="18"/>
  <c r="U38" i="18" s="1"/>
  <c r="R13" i="18"/>
  <c r="U13" i="18" s="1"/>
  <c r="R123" i="18"/>
  <c r="U123" i="18" s="1"/>
  <c r="R93" i="18"/>
  <c r="U93" i="18" s="1"/>
  <c r="R37" i="18"/>
  <c r="R122" i="18"/>
  <c r="U122" i="18" s="1"/>
  <c r="R92" i="18"/>
  <c r="U92" i="18" s="1"/>
  <c r="R64" i="18"/>
  <c r="U64" i="18" s="1"/>
  <c r="R151" i="18"/>
  <c r="U151" i="18" s="1"/>
  <c r="R121" i="18"/>
  <c r="U121" i="18" s="1"/>
  <c r="R91" i="18"/>
  <c r="U91" i="18" s="1"/>
  <c r="R63" i="18"/>
  <c r="U63" i="18" s="1"/>
  <c r="R36" i="18"/>
  <c r="U36" i="18" s="1"/>
  <c r="R11" i="18"/>
  <c r="U11" i="18" s="1"/>
  <c r="R150" i="18"/>
  <c r="U150" i="18" s="1"/>
  <c r="R120" i="18"/>
  <c r="U120" i="18" s="1"/>
  <c r="R90" i="18"/>
  <c r="U90" i="18" s="1"/>
  <c r="R62" i="18"/>
  <c r="U62" i="18"/>
  <c r="R35" i="18"/>
  <c r="U35" i="18" s="1"/>
  <c r="U119" i="18"/>
  <c r="R119" i="18"/>
  <c r="U89" i="18"/>
  <c r="R89" i="18"/>
  <c r="R61" i="18"/>
  <c r="U61" i="18" s="1"/>
  <c r="R34" i="18"/>
  <c r="U34" i="18" s="1"/>
  <c r="O33" i="18" a="1"/>
  <c r="O33" i="18" s="1"/>
  <c r="O16" i="18" a="1"/>
  <c r="O16" i="18" s="1"/>
  <c r="O15" i="18" a="1"/>
  <c r="O15" i="18" s="1"/>
  <c r="O47" i="18" a="1"/>
  <c r="O47" i="18" s="1"/>
  <c r="O31" i="18" a="1"/>
  <c r="O31" i="18" s="1"/>
  <c r="O14" i="18" a="1"/>
  <c r="O14" i="18" s="1"/>
  <c r="O30" i="18" a="1"/>
  <c r="O30" i="18" s="1"/>
  <c r="R149" i="18"/>
  <c r="U149" i="18" s="1"/>
  <c r="R117" i="18"/>
  <c r="U117" i="18" s="1"/>
  <c r="R85" i="18"/>
  <c r="U85" i="18" s="1"/>
  <c r="R53" i="18"/>
  <c r="U53" i="18" s="1"/>
  <c r="R21" i="18"/>
  <c r="U21" i="18" s="1"/>
  <c r="O13" i="18" a="1"/>
  <c r="O13" i="18" s="1"/>
  <c r="O29" i="18" a="1"/>
  <c r="O29" i="18" s="1"/>
  <c r="U101" i="18"/>
  <c r="U37" i="18"/>
  <c r="U5" i="18"/>
  <c r="O12" i="18" a="1"/>
  <c r="O12" i="18" s="1"/>
  <c r="O28" i="18" a="1"/>
  <c r="O28" i="18" s="1"/>
  <c r="O11" i="18" a="1"/>
  <c r="O11" i="18" s="1"/>
  <c r="O27" i="18" a="1"/>
  <c r="O27" i="18" s="1"/>
  <c r="O10" i="18" a="1"/>
  <c r="O10" i="18" s="1"/>
  <c r="O26" i="18" a="1"/>
  <c r="O26" i="18" s="1"/>
  <c r="O9" i="18" a="1"/>
  <c r="O9" i="18" s="1"/>
  <c r="O25" i="18" a="1"/>
  <c r="O25" i="18" s="1"/>
  <c r="O24" i="18" a="1"/>
  <c r="O24" i="18" s="1"/>
  <c r="O8" i="18" a="1"/>
  <c r="O8" i="18" s="1"/>
  <c r="O7" i="18" a="1"/>
  <c r="O7" i="18" s="1"/>
  <c r="O23" i="18" a="1"/>
  <c r="O23" i="18" s="1"/>
  <c r="O6" i="18" a="1"/>
  <c r="O6" i="18" s="1"/>
  <c r="O22" i="18" a="1"/>
  <c r="O22" i="18" s="1"/>
  <c r="O5" i="18" a="1"/>
  <c r="O5" i="18" s="1"/>
  <c r="O21" i="18" a="1"/>
  <c r="O21" i="18" s="1"/>
  <c r="O4" i="18" a="1"/>
  <c r="O4" i="18" s="1"/>
  <c r="O20" i="18" a="1"/>
  <c r="O20" i="18" s="1"/>
  <c r="O3" i="18" a="1"/>
  <c r="O3" i="18" s="1"/>
  <c r="O19" i="18" a="1"/>
  <c r="O19" i="18" s="1"/>
  <c r="Y157" i="17"/>
  <c r="Q157" i="17" s="1"/>
  <c r="W157" i="17" s="1"/>
  <c r="Q203" i="17"/>
  <c r="W203" i="17" s="1"/>
  <c r="Y87" i="17"/>
  <c r="Q87" i="17" s="1"/>
  <c r="W87" i="17" s="1"/>
  <c r="N131" i="17" a="1"/>
  <c r="N131" i="17" s="1"/>
  <c r="N82" i="17" a="1"/>
  <c r="N82" i="17" s="1"/>
  <c r="Y110" i="17"/>
  <c r="Q110" i="17" s="1"/>
  <c r="W110" i="17" s="1"/>
  <c r="Y60" i="17"/>
  <c r="Q60" i="17" s="1"/>
  <c r="W60" i="17" s="1"/>
  <c r="N139" i="17" a="1"/>
  <c r="N139" i="17" s="1"/>
  <c r="N111" i="17" a="1"/>
  <c r="N111" i="17" s="1"/>
  <c r="N53" i="17" a="1"/>
  <c r="N53" i="17" s="1"/>
  <c r="N46" i="17" a="1"/>
  <c r="N46" i="17" s="1"/>
  <c r="N163" i="17" a="1"/>
  <c r="N163" i="17" s="1"/>
  <c r="N130" i="17" a="1"/>
  <c r="N130" i="17" s="1"/>
  <c r="N81" i="17" a="1"/>
  <c r="N81" i="17" s="1"/>
  <c r="Q195" i="17"/>
  <c r="O11" i="17" a="1"/>
  <c r="O11" i="17" s="1"/>
  <c r="N129" i="17" a="1"/>
  <c r="N129" i="17" s="1"/>
  <c r="N68" i="17" a="1"/>
  <c r="N68" i="17" s="1"/>
  <c r="Y199" i="17"/>
  <c r="Q199" i="17" s="1"/>
  <c r="W199" i="17" s="1"/>
  <c r="O10" i="17" a="1"/>
  <c r="O10" i="17" s="1"/>
  <c r="N161" i="17" a="1"/>
  <c r="N161" i="17" s="1"/>
  <c r="N127" i="17" a="1"/>
  <c r="N127" i="17" s="1"/>
  <c r="N44" i="17" a="1"/>
  <c r="N44" i="17" s="1"/>
  <c r="Q131" i="17"/>
  <c r="W131" i="17" s="1"/>
  <c r="Y15" i="17"/>
  <c r="Q15" i="17" s="1"/>
  <c r="W15" i="17" s="1"/>
  <c r="O187" i="17" a="1"/>
  <c r="O187" i="17" s="1"/>
  <c r="N126" i="17" a="1"/>
  <c r="N126" i="17" s="1"/>
  <c r="Y81" i="17"/>
  <c r="Q81" i="17" s="1"/>
  <c r="W81" i="17" s="1"/>
  <c r="N125" i="17" a="1"/>
  <c r="N125" i="17" s="1"/>
  <c r="N107" i="17" a="1"/>
  <c r="N107" i="17" s="1"/>
  <c r="N194" i="17" a="1"/>
  <c r="N194" i="17" s="1"/>
  <c r="N42" i="17" a="1"/>
  <c r="N42" i="17" s="1"/>
  <c r="Y32" i="17"/>
  <c r="Q32" i="17" s="1"/>
  <c r="W32" i="17" s="1"/>
  <c r="Y182" i="17"/>
  <c r="N106" i="17" a="1"/>
  <c r="N106" i="17" s="1"/>
  <c r="N79" i="17" a="1"/>
  <c r="N79" i="17" s="1"/>
  <c r="N74" i="17" a="1"/>
  <c r="N74" i="17" s="1"/>
  <c r="O35" i="17" a="1"/>
  <c r="O35" i="17" s="1"/>
  <c r="O182" i="17" a="1"/>
  <c r="O182" i="17" s="1"/>
  <c r="N207" i="17" a="1"/>
  <c r="N207" i="17" s="1"/>
  <c r="N123" i="17" a="1"/>
  <c r="N123" i="17" s="1"/>
  <c r="O7" i="17" a="1"/>
  <c r="O7" i="17" s="1"/>
  <c r="N157" i="17" a="1"/>
  <c r="N157" i="17" s="1"/>
  <c r="N201" i="17" a="1"/>
  <c r="N201" i="17" s="1"/>
  <c r="Y206" i="17"/>
  <c r="Y56" i="17"/>
  <c r="Q56" i="17" s="1"/>
  <c r="W56" i="17" s="1"/>
  <c r="O33" i="17" a="1"/>
  <c r="O33" i="17" s="1"/>
  <c r="Q33" i="17" s="1"/>
  <c r="W33" i="17" s="1"/>
  <c r="O6" i="17" a="1"/>
  <c r="O6" i="17" s="1"/>
  <c r="N156" i="17" a="1"/>
  <c r="N156" i="17" s="1"/>
  <c r="Q181" i="17"/>
  <c r="W181" i="17" s="1"/>
  <c r="Y150" i="17"/>
  <c r="Q150" i="17" s="1"/>
  <c r="W150" i="17" s="1"/>
  <c r="Q10" i="17"/>
  <c r="W10" i="17" s="1"/>
  <c r="O5" i="17" a="1"/>
  <c r="O5" i="17" s="1"/>
  <c r="N155" i="17" a="1"/>
  <c r="N155" i="17" s="1"/>
  <c r="N119" i="17" a="1"/>
  <c r="N119" i="17" s="1"/>
  <c r="Y55" i="17"/>
  <c r="Q9" i="17"/>
  <c r="W9" i="17" s="1"/>
  <c r="O4" i="17" a="1"/>
  <c r="O4" i="17" s="1"/>
  <c r="Q4" i="17" s="1"/>
  <c r="W4" i="17" s="1"/>
  <c r="N154" i="17" a="1"/>
  <c r="N154" i="17" s="1"/>
  <c r="N117" i="17" a="1"/>
  <c r="N117" i="17" s="1"/>
  <c r="O31" i="17" a="1"/>
  <c r="O31" i="17" s="1"/>
  <c r="O3" i="17" a="1"/>
  <c r="O3" i="17" s="1"/>
  <c r="N153" i="17" a="1"/>
  <c r="N153" i="17" s="1"/>
  <c r="N116" i="17" a="1"/>
  <c r="N116" i="17" s="1"/>
  <c r="O30" i="17" a="1"/>
  <c r="O30" i="17" s="1"/>
  <c r="O2" i="17" a="1"/>
  <c r="O2" i="17" s="1"/>
  <c r="N152" i="17" a="1"/>
  <c r="N152" i="17" s="1"/>
  <c r="N200" i="17" a="1"/>
  <c r="N200" i="17" s="1"/>
  <c r="O29" i="17" a="1"/>
  <c r="O29" i="17" s="1"/>
  <c r="N181" i="17" a="1"/>
  <c r="N181" i="17" s="1"/>
  <c r="N206" i="17" a="1"/>
  <c r="N206" i="17" s="1"/>
  <c r="N115" i="17" a="1"/>
  <c r="N115" i="17" s="1"/>
  <c r="Y170" i="17"/>
  <c r="Q30" i="17"/>
  <c r="W30" i="17" s="1"/>
  <c r="Q7" i="17"/>
  <c r="W7" i="17" s="1"/>
  <c r="O83" i="17" a="1"/>
  <c r="O83" i="17" s="1"/>
  <c r="O55" i="17" a="1"/>
  <c r="O55" i="17" s="1"/>
  <c r="O28" i="17" a="1"/>
  <c r="O28" i="17" s="1"/>
  <c r="Q28" i="17" s="1"/>
  <c r="W28" i="17" s="1"/>
  <c r="N180" i="17" a="1"/>
  <c r="N180" i="17" s="1"/>
  <c r="N151" i="17" a="1"/>
  <c r="N151" i="17" s="1"/>
  <c r="N179" i="17" a="1"/>
  <c r="N179" i="17" s="1"/>
  <c r="N148" i="17" a="1"/>
  <c r="N148" i="17" s="1"/>
  <c r="N113" i="17" a="1"/>
  <c r="N113" i="17" s="1"/>
  <c r="Y25" i="17"/>
  <c r="Q25" i="17" s="1"/>
  <c r="W25" i="17" s="1"/>
  <c r="Y169" i="17"/>
  <c r="Q169" i="17" s="1"/>
  <c r="W169" i="17" s="1"/>
  <c r="Q104" i="17"/>
  <c r="W104" i="17" s="1"/>
  <c r="Y5" i="17"/>
  <c r="N178" i="17" a="1"/>
  <c r="N178" i="17" s="1"/>
  <c r="N147" i="17" a="1"/>
  <c r="N147" i="17" s="1"/>
  <c r="N112" i="17" a="1"/>
  <c r="N112" i="17" s="1"/>
  <c r="Y27" i="17"/>
  <c r="Q27" i="17" s="1"/>
  <c r="W27" i="17" s="1"/>
  <c r="N177" i="17" a="1"/>
  <c r="N177" i="17" s="1"/>
  <c r="N146" i="17" a="1"/>
  <c r="N146" i="17" s="1"/>
  <c r="N110" i="17" a="1"/>
  <c r="N110" i="17" s="1"/>
  <c r="Q14" i="17"/>
  <c r="W14" i="17" s="1"/>
  <c r="O25" i="17" a="1"/>
  <c r="O25" i="17" s="1"/>
  <c r="N176" i="17" a="1"/>
  <c r="N176" i="17" s="1"/>
  <c r="N205" i="17" a="1"/>
  <c r="N205" i="17" s="1"/>
  <c r="N199" i="17" a="1"/>
  <c r="N199" i="17" s="1"/>
  <c r="Q3" i="17"/>
  <c r="W3" i="17" s="1"/>
  <c r="N210" i="17" a="1"/>
  <c r="N210" i="17" s="1"/>
  <c r="N145" i="17" a="1"/>
  <c r="N145" i="17" s="1"/>
  <c r="N109" i="17" a="1"/>
  <c r="N109" i="17" s="1"/>
  <c r="Y68" i="17"/>
  <c r="Q68" i="17" s="1"/>
  <c r="W68" i="17" s="1"/>
  <c r="Q2" i="17"/>
  <c r="W2" i="17" s="1"/>
  <c r="N175" i="17" a="1"/>
  <c r="N175" i="17" s="1"/>
  <c r="N142" i="17" a="1"/>
  <c r="N142" i="17" s="1"/>
  <c r="N108" i="17" a="1"/>
  <c r="N108" i="17" s="1"/>
  <c r="Y48" i="17"/>
  <c r="Q48" i="17" s="1"/>
  <c r="W48" i="17" s="1"/>
  <c r="N141" i="17" a="1"/>
  <c r="N141" i="17" s="1"/>
  <c r="N104" i="17" a="1"/>
  <c r="N104" i="17" s="1"/>
  <c r="Y20" i="17"/>
  <c r="Q20" i="17" s="1"/>
  <c r="W20" i="17" s="1"/>
  <c r="N22" i="17" a="1"/>
  <c r="N22" i="17" s="1"/>
  <c r="Y70" i="17"/>
  <c r="N173" i="17" a="1"/>
  <c r="N173" i="17" s="1"/>
  <c r="N140" i="17" a="1"/>
  <c r="N140" i="17" s="1"/>
  <c r="N198" i="17" a="1"/>
  <c r="N198" i="17" s="1"/>
  <c r="N172" i="17" a="1"/>
  <c r="N172" i="17" s="1"/>
  <c r="N204" i="17" a="1"/>
  <c r="N204" i="17" s="1"/>
  <c r="N103" i="17" a="1"/>
  <c r="N103" i="17" s="1"/>
  <c r="N195" i="17" a="1"/>
  <c r="N195" i="17" s="1"/>
  <c r="Y62" i="17"/>
  <c r="Q62" i="17" s="1"/>
  <c r="W62" i="17" s="1"/>
  <c r="N171" i="17" a="1"/>
  <c r="N171" i="17" s="1"/>
  <c r="N138" i="17" a="1"/>
  <c r="N138" i="17" s="1"/>
  <c r="N102" i="17" a="1"/>
  <c r="N102" i="17" s="1"/>
  <c r="Y116" i="17"/>
  <c r="Q116" i="17" s="1"/>
  <c r="W116" i="17" s="1"/>
  <c r="O18" i="17" a="1"/>
  <c r="O18" i="17" s="1"/>
  <c r="N209" i="17" a="1"/>
  <c r="N209" i="17" s="1"/>
  <c r="N137" i="17" a="1"/>
  <c r="N137" i="17" s="1"/>
  <c r="N101" i="17" a="1"/>
  <c r="N101" i="17" s="1"/>
  <c r="N169" i="17" a="1"/>
  <c r="N169" i="17" s="1"/>
  <c r="N136" i="17" a="1"/>
  <c r="N136" i="17" s="1"/>
  <c r="N97" i="17" a="1"/>
  <c r="N97" i="17" s="1"/>
  <c r="Y192" i="17"/>
  <c r="Q192" i="17" s="1"/>
  <c r="W192" i="17" s="1"/>
  <c r="Y21" i="17"/>
  <c r="O16" i="17" a="1"/>
  <c r="O16" i="17" s="1"/>
  <c r="Q16" i="17" s="1"/>
  <c r="W16" i="17" s="1"/>
  <c r="N168" i="17" a="1"/>
  <c r="N168" i="17" s="1"/>
  <c r="N135" i="17" a="1"/>
  <c r="N135" i="17" s="1"/>
  <c r="N94" i="17" a="1"/>
  <c r="N94" i="17" s="1"/>
  <c r="Q166" i="17"/>
  <c r="W166" i="17" s="1"/>
  <c r="Y136" i="17"/>
  <c r="Q136" i="17" s="1"/>
  <c r="W136" i="17" s="1"/>
  <c r="O70" i="17" a="1"/>
  <c r="O70" i="17" s="1"/>
  <c r="N167" i="17" a="1"/>
  <c r="N167" i="17" s="1"/>
  <c r="N134" i="17" a="1"/>
  <c r="N134" i="17" s="1"/>
  <c r="Q83" i="17"/>
  <c r="W83" i="17" s="1"/>
  <c r="O69" i="17" a="1"/>
  <c r="O69" i="17" s="1"/>
  <c r="Q69" i="17" s="1"/>
  <c r="W69" i="17" s="1"/>
  <c r="O43" i="17" a="1"/>
  <c r="O43" i="17" s="1"/>
  <c r="Q43" i="17" s="1"/>
  <c r="W43" i="17" s="1"/>
  <c r="Q64" i="17"/>
  <c r="W64" i="17" s="1"/>
  <c r="N165" i="17" a="1"/>
  <c r="N165" i="17" s="1"/>
  <c r="Y138" i="17"/>
  <c r="Q138" i="17" s="1"/>
  <c r="W138" i="17" s="1"/>
  <c r="Y135" i="17"/>
  <c r="Q135" i="17" s="1"/>
  <c r="W135" i="17" s="1"/>
  <c r="Y109" i="17"/>
  <c r="Q109" i="17" s="1"/>
  <c r="W109" i="17" s="1"/>
  <c r="Y6" i="17"/>
  <c r="Q6" i="17" s="1"/>
  <c r="W6" i="17" s="1"/>
  <c r="Y54" i="17"/>
  <c r="Q54" i="17" s="1"/>
  <c r="W54" i="17" s="1"/>
  <c r="Y29" i="17"/>
  <c r="Q29" i="17" s="1"/>
  <c r="W29" i="17" s="1"/>
  <c r="Y101" i="17"/>
  <c r="Q101" i="17" s="1"/>
  <c r="W101" i="17" s="1"/>
  <c r="Q205" i="17"/>
  <c r="W205" i="17" s="1"/>
  <c r="Y165" i="17"/>
  <c r="Q165" i="17" s="1"/>
  <c r="W165" i="17" s="1"/>
  <c r="Y89" i="17"/>
  <c r="Q89" i="17" s="1"/>
  <c r="W89" i="17" s="1"/>
  <c r="Q90" i="17"/>
  <c r="W90" i="17" s="1"/>
  <c r="Y191" i="17"/>
  <c r="Q191" i="17" s="1"/>
  <c r="W191" i="17" s="1"/>
  <c r="Y61" i="17"/>
  <c r="Q61" i="17" s="1"/>
  <c r="W61" i="17" s="1"/>
  <c r="Y151" i="17"/>
  <c r="Q151" i="17" s="1"/>
  <c r="W151" i="17" s="1"/>
  <c r="Y35" i="17"/>
  <c r="Q35" i="17" s="1"/>
  <c r="W35" i="17" s="1"/>
  <c r="Q17" i="17"/>
  <c r="W17" i="17" s="1"/>
  <c r="N56" i="17" a="1"/>
  <c r="N56" i="17" s="1"/>
  <c r="O23" i="17" a="1"/>
  <c r="O23" i="17" s="1"/>
  <c r="Q23" i="17" s="1"/>
  <c r="W23" i="17" s="1"/>
  <c r="N211" i="17" a="1"/>
  <c r="N211" i="17" s="1"/>
  <c r="N118" i="17" a="1"/>
  <c r="N118" i="17" s="1"/>
  <c r="N96" i="17" a="1"/>
  <c r="N96" i="17" s="1"/>
  <c r="N193" i="17" a="1"/>
  <c r="N193" i="17" s="1"/>
  <c r="N71" i="17" a="1"/>
  <c r="N71" i="17" s="1"/>
  <c r="N41" i="17" a="1"/>
  <c r="N41" i="17" s="1"/>
  <c r="Y129" i="17"/>
  <c r="Q129" i="17" s="1"/>
  <c r="W129" i="17" s="1"/>
  <c r="N95" i="17" a="1"/>
  <c r="N95" i="17" s="1"/>
  <c r="N39" i="17" a="1"/>
  <c r="N39" i="17" s="1"/>
  <c r="N70" i="17" a="1"/>
  <c r="N70" i="17" s="1"/>
  <c r="N38" i="17" a="1"/>
  <c r="N38" i="17" s="1"/>
  <c r="Q171" i="17"/>
  <c r="W171" i="17" s="1"/>
  <c r="N69" i="17" a="1"/>
  <c r="N69" i="17" s="1"/>
  <c r="N25" i="17" a="1"/>
  <c r="N25" i="17" s="1"/>
  <c r="N187" i="17" a="1"/>
  <c r="N187" i="17" s="1"/>
  <c r="N9" i="17" a="1"/>
  <c r="N9" i="17" s="1"/>
  <c r="Q51" i="17"/>
  <c r="W51" i="17" s="1"/>
  <c r="Y108" i="17"/>
  <c r="Q108" i="17" s="1"/>
  <c r="W108" i="17" s="1"/>
  <c r="N192" i="17" a="1"/>
  <c r="N192" i="17" s="1"/>
  <c r="N36" i="17" a="1"/>
  <c r="N36" i="17" s="1"/>
  <c r="N67" i="17" a="1"/>
  <c r="N67" i="17" s="1"/>
  <c r="N35" i="17" a="1"/>
  <c r="N35" i="17" s="1"/>
  <c r="Y31" i="17"/>
  <c r="Q31" i="17" s="1"/>
  <c r="W31" i="17" s="1"/>
  <c r="N66" i="17" a="1"/>
  <c r="N66" i="17" s="1"/>
  <c r="N34" i="17" a="1"/>
  <c r="N34" i="17" s="1"/>
  <c r="N133" i="17" a="1"/>
  <c r="N133" i="17" s="1"/>
  <c r="N91" i="17" a="1"/>
  <c r="N91" i="17" s="1"/>
  <c r="N33" i="17" a="1"/>
  <c r="N33" i="17" s="1"/>
  <c r="Y144" i="17"/>
  <c r="Q144" i="17" s="1"/>
  <c r="W144" i="17" s="1"/>
  <c r="Y11" i="17"/>
  <c r="Q11" i="17" s="1"/>
  <c r="W11" i="17" s="1"/>
  <c r="N90" i="17" a="1"/>
  <c r="N90" i="17" s="1"/>
  <c r="N65" i="17" a="1"/>
  <c r="N65" i="17" s="1"/>
  <c r="N31" i="17" a="1"/>
  <c r="N31" i="17" s="1"/>
  <c r="Y86" i="17"/>
  <c r="Q86" i="17" s="1"/>
  <c r="W86" i="17" s="1"/>
  <c r="N89" i="17" a="1"/>
  <c r="N89" i="17" s="1"/>
  <c r="N63" i="17" a="1"/>
  <c r="N63" i="17" s="1"/>
  <c r="N30" i="17" a="1"/>
  <c r="N30" i="17" s="1"/>
  <c r="Q66" i="17"/>
  <c r="W66" i="17" s="1"/>
  <c r="Q163" i="17"/>
  <c r="W163" i="17" s="1"/>
  <c r="Y142" i="17"/>
  <c r="Q142" i="17" s="1"/>
  <c r="W142" i="17" s="1"/>
  <c r="N88" i="17" a="1"/>
  <c r="N88" i="17" s="1"/>
  <c r="N191" i="17" a="1"/>
  <c r="N191" i="17" s="1"/>
  <c r="N28" i="17" a="1"/>
  <c r="N28" i="17" s="1"/>
  <c r="Q206" i="17"/>
  <c r="W206" i="17" s="1"/>
  <c r="N87" i="17" a="1"/>
  <c r="N87" i="17" s="1"/>
  <c r="N61" i="17" a="1"/>
  <c r="N61" i="17" s="1"/>
  <c r="N27" i="17" a="1"/>
  <c r="N27" i="17" s="1"/>
  <c r="Y124" i="17"/>
  <c r="Q124" i="17" s="1"/>
  <c r="W124" i="17" s="1"/>
  <c r="Y84" i="17"/>
  <c r="Q84" i="17" s="1"/>
  <c r="W84" i="17" s="1"/>
  <c r="N86" i="17" a="1"/>
  <c r="N86" i="17" s="1"/>
  <c r="N60" i="17" a="1"/>
  <c r="N60" i="17" s="1"/>
  <c r="N26" i="17" a="1"/>
  <c r="N26" i="17" s="1"/>
  <c r="Y103" i="17"/>
  <c r="Q103" i="17" s="1"/>
  <c r="W103" i="17" s="1"/>
  <c r="Q45" i="17"/>
  <c r="W45" i="17" s="1"/>
  <c r="Y26" i="17"/>
  <c r="Q26" i="17" s="1"/>
  <c r="W26" i="17" s="1"/>
  <c r="O170" i="17" a="1"/>
  <c r="O170" i="17" s="1"/>
  <c r="Q170" i="17" s="1"/>
  <c r="W170" i="17" s="1"/>
  <c r="O122" i="17" a="1"/>
  <c r="O122" i="17" s="1"/>
  <c r="Q122" i="17" s="1"/>
  <c r="W122" i="17" s="1"/>
  <c r="O99" i="17" a="1"/>
  <c r="O99" i="17" s="1"/>
  <c r="Q99" i="17" s="1"/>
  <c r="W99" i="17" s="1"/>
  <c r="O79" i="17" a="1"/>
  <c r="O79" i="17" s="1"/>
  <c r="Q79" i="17" s="1"/>
  <c r="W79" i="17" s="1"/>
  <c r="O183" i="17" a="1"/>
  <c r="O183" i="17" s="1"/>
  <c r="Q183" i="17" s="1"/>
  <c r="W183" i="17" s="1"/>
  <c r="N170" i="17" a="1"/>
  <c r="N170" i="17" s="1"/>
  <c r="N24" i="17" a="1"/>
  <c r="N24" i="17" s="1"/>
  <c r="Y164" i="17"/>
  <c r="Q164" i="17" s="1"/>
  <c r="W164" i="17" s="1"/>
  <c r="Y143" i="17"/>
  <c r="Q143" i="17" s="1"/>
  <c r="W143" i="17" s="1"/>
  <c r="Y141" i="17"/>
  <c r="Q141" i="17" s="1"/>
  <c r="W141" i="17" s="1"/>
  <c r="Y102" i="17"/>
  <c r="Q102" i="17" s="1"/>
  <c r="W102" i="17" s="1"/>
  <c r="N150" i="17" a="1"/>
  <c r="N150" i="17" s="1"/>
  <c r="N128" i="17" a="1"/>
  <c r="N128" i="17" s="1"/>
  <c r="N85" i="17" a="1"/>
  <c r="N85" i="17" s="1"/>
  <c r="N59" i="17" a="1"/>
  <c r="N59" i="17" s="1"/>
  <c r="N149" i="17" a="1"/>
  <c r="N149" i="17" s="1"/>
  <c r="N202" i="17" a="1"/>
  <c r="N202" i="17" s="1"/>
  <c r="N105" i="17" a="1"/>
  <c r="N105" i="17" s="1"/>
  <c r="N84" i="17" a="1"/>
  <c r="N84" i="17" s="1"/>
  <c r="N20" i="17" a="1"/>
  <c r="N20" i="17" s="1"/>
  <c r="N83" i="17" a="1"/>
  <c r="N83" i="17" s="1"/>
  <c r="N58" i="17" a="1"/>
  <c r="N58" i="17" s="1"/>
  <c r="N184" i="17" a="1"/>
  <c r="N184" i="17" s="1"/>
  <c r="Q119" i="17"/>
  <c r="W119" i="17" s="1"/>
  <c r="Q158" i="17"/>
  <c r="W158" i="17" s="1"/>
  <c r="N190" i="17" a="1"/>
  <c r="N190" i="17" s="1"/>
  <c r="N18" i="17" a="1"/>
  <c r="N18" i="17" s="1"/>
  <c r="N55" i="17" a="1"/>
  <c r="N55" i="17" s="1"/>
  <c r="N183" i="17" a="1"/>
  <c r="N183" i="17" s="1"/>
  <c r="N54" i="17" a="1"/>
  <c r="N54" i="17" s="1"/>
  <c r="N13" i="17" a="1"/>
  <c r="N13" i="17" s="1"/>
  <c r="Q49" i="17"/>
  <c r="W49" i="17" s="1"/>
  <c r="N80" i="17" a="1"/>
  <c r="N80" i="17" s="1"/>
  <c r="N6" i="17" a="1"/>
  <c r="N6" i="17" s="1"/>
  <c r="Q177" i="17"/>
  <c r="W177" i="17" s="1"/>
  <c r="Y197" i="17"/>
  <c r="Q197" i="17" s="1"/>
  <c r="W197" i="17" s="1"/>
  <c r="Y59" i="17"/>
  <c r="Q59" i="17" s="1"/>
  <c r="W59" i="17" s="1"/>
  <c r="N5" i="17" a="1"/>
  <c r="N5" i="17" s="1"/>
  <c r="Q21" i="17"/>
  <c r="W21" i="17" s="1"/>
  <c r="O50" i="17" a="1"/>
  <c r="O50" i="17" s="1"/>
  <c r="Q50" i="17" s="1"/>
  <c r="W50" i="17" s="1"/>
  <c r="N144" i="17" a="1"/>
  <c r="N144" i="17" s="1"/>
  <c r="Q115" i="17"/>
  <c r="W115" i="17" s="1"/>
  <c r="Q78" i="17"/>
  <c r="W78" i="17" s="1"/>
  <c r="N164" i="17" a="1"/>
  <c r="N164" i="17" s="1"/>
  <c r="N122" i="17" a="1"/>
  <c r="N122" i="17" s="1"/>
  <c r="N100" i="17" a="1"/>
  <c r="N100" i="17" s="1"/>
  <c r="N51" i="17" a="1"/>
  <c r="N51" i="17" s="1"/>
  <c r="Q96" i="17"/>
  <c r="W96" i="17" s="1"/>
  <c r="N143" i="17" a="1"/>
  <c r="N143" i="17" s="1"/>
  <c r="N78" i="17" a="1"/>
  <c r="N78" i="17" s="1"/>
  <c r="N50" i="17" a="1"/>
  <c r="N50" i="17" s="1"/>
  <c r="Y178" i="17"/>
  <c r="Q178" i="17" s="1"/>
  <c r="W178" i="17" s="1"/>
  <c r="Q76" i="17"/>
  <c r="W76" i="17" s="1"/>
  <c r="Y184" i="17"/>
  <c r="Q184" i="17" s="1"/>
  <c r="W184" i="17" s="1"/>
  <c r="N99" i="17" a="1"/>
  <c r="N99" i="17" s="1"/>
  <c r="N77" i="17" a="1"/>
  <c r="N77" i="17" s="1"/>
  <c r="N189" i="17" a="1"/>
  <c r="N189" i="17" s="1"/>
  <c r="N121" i="17" a="1"/>
  <c r="N121" i="17" s="1"/>
  <c r="N76" i="17" a="1"/>
  <c r="N76" i="17" s="1"/>
  <c r="N48" i="17" a="1"/>
  <c r="N48" i="17" s="1"/>
  <c r="Y200" i="17"/>
  <c r="Q200" i="17" s="1"/>
  <c r="W200" i="17" s="1"/>
  <c r="Q187" i="17"/>
  <c r="W187" i="17" s="1"/>
  <c r="Y172" i="17"/>
  <c r="Q172" i="17" s="1"/>
  <c r="W172" i="17" s="1"/>
  <c r="N98" i="17" a="1"/>
  <c r="N98" i="17" s="1"/>
  <c r="N75" i="17" a="1"/>
  <c r="N75" i="17" s="1"/>
  <c r="Q112" i="17"/>
  <c r="W112" i="17" s="1"/>
  <c r="Q18" i="17"/>
  <c r="W18" i="17" s="1"/>
  <c r="N197" i="17" a="1"/>
  <c r="N197" i="17" s="1"/>
  <c r="N45" i="17" a="1"/>
  <c r="N45" i="17" s="1"/>
  <c r="Y176" i="17"/>
  <c r="Q176" i="17" s="1"/>
  <c r="W176" i="17" s="1"/>
  <c r="W113" i="17"/>
  <c r="Y67" i="17"/>
  <c r="Q67" i="17" s="1"/>
  <c r="W67" i="17" s="1"/>
  <c r="Y149" i="17"/>
  <c r="Q149" i="17" s="1"/>
  <c r="W149" i="17" s="1"/>
  <c r="W195" i="17"/>
  <c r="Y39" i="17"/>
  <c r="Q39" i="17" s="1"/>
  <c r="W39" i="17" s="1"/>
  <c r="Y201" i="17"/>
  <c r="Q201" i="17" s="1"/>
  <c r="W201" i="17" s="1"/>
  <c r="W58" i="17"/>
  <c r="Y12" i="17"/>
  <c r="Q12" i="17" s="1"/>
  <c r="W12" i="17" s="1"/>
  <c r="Y94" i="17"/>
  <c r="Q94" i="17" s="1"/>
  <c r="W94" i="17" s="1"/>
  <c r="N8" i="17" a="1"/>
  <c r="N8" i="17" s="1"/>
  <c r="N182" i="17" a="1"/>
  <c r="N182" i="17" s="1"/>
  <c r="N7" i="17" a="1"/>
  <c r="N7" i="17" s="1"/>
  <c r="N23" i="17" a="1"/>
  <c r="N23" i="17" s="1"/>
  <c r="N21" i="17" a="1"/>
  <c r="N21" i="17" s="1"/>
  <c r="N52" i="17" a="1"/>
  <c r="N52" i="17" s="1"/>
  <c r="N37" i="17" a="1"/>
  <c r="N37" i="17" s="1"/>
  <c r="N4" i="17" a="1"/>
  <c r="N4" i="17" s="1"/>
  <c r="N19" i="17" a="1"/>
  <c r="N19" i="17" s="1"/>
  <c r="N3" i="17" a="1"/>
  <c r="N3" i="17" s="1"/>
  <c r="N2" i="17" a="1"/>
  <c r="N2" i="17" s="1"/>
  <c r="N49" i="17" a="1"/>
  <c r="N49" i="17" s="1"/>
  <c r="N32" i="17" a="1"/>
  <c r="N32" i="17" s="1"/>
  <c r="N17" i="17" a="1"/>
  <c r="N17" i="17" s="1"/>
  <c r="N64" i="17" a="1"/>
  <c r="N64" i="17" s="1"/>
  <c r="N47" i="17" a="1"/>
  <c r="N47" i="17" s="1"/>
  <c r="N186" i="17" a="1"/>
  <c r="N186" i="17" s="1"/>
  <c r="N16" i="17" a="1"/>
  <c r="N16" i="17" s="1"/>
  <c r="N62" i="17" a="1"/>
  <c r="N62" i="17" s="1"/>
  <c r="N15" i="17" a="1"/>
  <c r="N15" i="17" s="1"/>
  <c r="N14" i="17" a="1"/>
  <c r="N14" i="17" s="1"/>
  <c r="N29" i="17" a="1"/>
  <c r="N29" i="17" s="1"/>
  <c r="N188" i="17" a="1"/>
  <c r="N188" i="17" s="1"/>
  <c r="N12" i="17" a="1"/>
  <c r="N12" i="17" s="1"/>
  <c r="N43" i="17" a="1"/>
  <c r="N43" i="17" s="1"/>
  <c r="N11" i="17" a="1"/>
  <c r="N11" i="17" s="1"/>
  <c r="N73" i="17" a="1"/>
  <c r="N73" i="17" s="1"/>
  <c r="N57" i="17" a="1"/>
  <c r="N57" i="17" s="1"/>
  <c r="N185" i="17" a="1"/>
  <c r="N185" i="17" s="1"/>
  <c r="N10" i="17" a="1"/>
  <c r="N10" i="17" s="1"/>
  <c r="N72" i="17" a="1"/>
  <c r="N72" i="17" s="1"/>
  <c r="N40" i="17" a="1"/>
  <c r="N40" i="17" s="1"/>
  <c r="Q5" i="17" l="1"/>
  <c r="W5" i="17" s="1"/>
  <c r="Q55" i="17"/>
  <c r="W55" i="17" s="1"/>
  <c r="Q70" i="17"/>
  <c r="W70" i="17" s="1"/>
  <c r="Q182" i="17"/>
  <c r="W18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<sst xmlns="http://schemas.openxmlformats.org/spreadsheetml/2006/main" count="3064" uniqueCount="102">
  <si>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</si>
  <si>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</si>
  <si>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</si>
  <si>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</si>
  <si>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</si>
  <si>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</si>
  <si>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</si>
  <si>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</si>
  <si>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</si>
  <si>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</si>
  <si>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</si>
  <si>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</si>
  <si>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</si>
  <si>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</si>
  <si>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</si>
  <si>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</si>
  <si>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</si>
  <si>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</si>
  <si>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</si>
  <si>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</si>
  <si>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</si>
  <si>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</si>
  <si>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</si>
  <si>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</si>
  <si>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</si>
  <si>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</si>
  <si>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</si>
  <si>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</si>
  <si>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</si>
  <si>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</si>
  <si>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</si>
  <si>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</si>
  <si>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</si>
  <si>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</si>
  <si>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</si>
  <si>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</si>
  <si>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</si>
  <si>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</si>
  <si>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</si>
  <si>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</si>
  <si>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</si>
  <si>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</si>
  <si>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</si>
  <si>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</si>
  <si>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</si>
  <si>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</si>
  <si>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</si>
  <si>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</si>
  <si>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</si>
  <si>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</si>
  <si>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</si>
  <si>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</si>
  <si>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</si>
  <si>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</si>
  <si>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</si>
  <si>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</si>
  <si>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</si>
  <si>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</si>
  <si>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</si>
  <si>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</si>
  <si>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</si>
  <si>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</si>
  <si>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</si>
  <si>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</si>
  <si>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</si>
  <si>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</si>
  <si>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</si>
  <si>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</si>
  <si>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20:45:35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</si>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</sst>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077662034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8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4.4754865451219213E-2" maxValue="3"/>
    </cacheField>
    <cacheField name="StDevOfAverage" numFmtId="0">
      <sharedItems containsSemiMixedTypes="0" containsString="0" containsNumber="1" minValue="0" maxValue="0.182199969990323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6.8034586911528527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.18994796885977699" maxValue="3"/>
    </cacheField>
    <cacheField name="SummaryHalfWidth" numFmtId="0">
      <sharedItems containsSemiMixedTypes="0" containsString="0" containsNumber="1" minValue="0" maxValue="6.803458691152852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0777777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077893519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8.012527075057299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15314005412505999"/>
    </cacheField>
    <cacheField name="Maximum" numFmtId="0">
      <sharedItems containsSemiMixedTypes="0" containsString="0" containsNumber="1" minValue="0" maxValue="50.027144327574298"/>
    </cacheField>
    <cacheField name="NumberObservations" numFmtId="0">
      <sharedItems containsSemiMixedTypes="0" containsString="0" containsNumber="1" containsInteger="1" minValue="69" maxValue="11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6.4663683430156604"/>
    </cacheField>
    <cacheField name="StDevOfAverage" numFmtId="0">
      <sharedItems containsSemiMixedTypes="0" containsString="0" containsNumber="1" minValue="0" maxValue="0.7311621979844622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7302045169293909"/>
    </cacheField>
    <cacheField name="MinimumAverage" numFmtId="0">
      <sharedItems containsSemiMixedTypes="0" containsString="0" containsNumber="1" minValue="0" maxValue="5.1065392037709501"/>
    </cacheField>
    <cacheField name="MaximumAverage" numFmtId="0">
      <sharedItems containsSemiMixedTypes="0" containsString="0" containsNumber="1" minValue="0" maxValue="8.0125270750572994"/>
    </cacheField>
    <cacheField name="OverallMinimum" numFmtId="0">
      <sharedItems containsSemiMixedTypes="0" containsString="0" containsNumber="1" minValue="0" maxValue="4.70655360288674E-4"/>
    </cacheField>
    <cacheField name="OverallMaximum" numFmtId="0">
      <sharedItems containsSemiMixedTypes="0" containsString="0" containsNumber="1" minValue="0" maxValue="50.027144327574298"/>
    </cacheField>
    <cacheField name="AverageNumberObservations" numFmtId="0">
      <sharedItems containsSemiMixedTypes="0" containsString="0" containsNumber="1" minValue="89.2" maxValue="90.033333333333331"/>
    </cacheField>
    <cacheField name="SummaryHalfWidth" numFmtId="0">
      <sharedItems containsSemiMixedTypes="0" containsString="0" containsNumber="1" minValue="0" maxValue="0.27302045169293909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077893519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48961473715994" maxValue="1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34422170660965823" maxValue="90.033333333333331"/>
    </cacheField>
    <cacheField name="StandardDeviation" numFmtId="0">
      <sharedItems containsSemiMixedTypes="0" containsString="0" containsNumber="1" minValue="5.1246736363817387E-2" maxValue="9.38995550403815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135845847073889E-2" maxValue="3.5062670090933432"/>
    </cacheField>
    <cacheField name="Minimum" numFmtId="0">
      <sharedItems containsSemiMixedTypes="0" containsString="0" containsNumber="1" minValue="0.248961473715994" maxValue="71"/>
    </cacheField>
    <cacheField name="Maximum" numFmtId="0">
      <sharedItems containsSemiMixedTypes="0" containsString="0" containsNumber="1" minValue="0.449747634188089" maxValue="1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5078009258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8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93333333333333335" maxValue="89.2"/>
    </cacheField>
    <cacheField name="StandardDeviation" numFmtId="0">
      <sharedItems containsSemiMixedTypes="0" containsString="0" containsNumber="1" minValue="2.0499509385774854" maxValue="9.308505565452950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76546426051785987" maxValue="3.4758531021870596"/>
    </cacheField>
    <cacheField name="Minimum" numFmtId="0">
      <sharedItems containsSemiMixedTypes="0" containsString="0" containsNumber="1" containsInteger="1" minValue="0" maxValue="69"/>
    </cacheField>
    <cacheField name="Maximum" numFmtId="0">
      <sharedItems containsSemiMixedTypes="0" containsString="0" containsNumber="1" containsInteger="1" minValue="8" maxValue="1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5:35"/>
    <n v="1"/>
    <x v="0"/>
    <x v="0"/>
    <x v="0"/>
    <n v="1.0582881673829501"/>
    <n v="2E+20"/>
    <n v="0"/>
    <n v="4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"/>
    <x v="1"/>
    <x v="1"/>
    <x v="1"/>
    <n v="0.34844738640134199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"/>
    <x v="1"/>
    <x v="2"/>
    <x v="1"/>
    <n v="1.04534215920403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"/>
    <x v="2"/>
    <x v="4"/>
    <x v="2"/>
    <n v="1.2946008178922899E-2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"/>
    <x v="0"/>
    <x v="0"/>
    <x v="0"/>
    <n v="1.3631249662490801"/>
    <n v="2E+20"/>
    <n v="0"/>
    <n v="7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"/>
    <x v="1"/>
    <x v="1"/>
    <x v="1"/>
    <n v="0.41027746415607702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"/>
    <x v="1"/>
    <x v="2"/>
    <x v="1"/>
    <n v="1.230832392468230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"/>
    <x v="2"/>
    <x v="4"/>
    <x v="2"/>
    <n v="0.132292573780845"/>
    <n v="2E+20"/>
    <n v="0"/>
    <n v="4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3"/>
    <x v="0"/>
    <x v="0"/>
    <x v="0"/>
    <n v="1.49813393651904"/>
    <n v="2E+20"/>
    <n v="0"/>
    <n v="8"/>
    <n v="2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3"/>
    <x v="1"/>
    <x v="1"/>
    <x v="1"/>
    <n v="0.43606198921975298"/>
    <n v="2E+20"/>
    <n v="0"/>
    <n v="1"/>
    <n v="0.66666666666666696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3"/>
    <x v="1"/>
    <x v="2"/>
    <x v="1"/>
    <n v="1.30818596765926"/>
    <n v="2E+20"/>
    <n v="0"/>
    <n v="3"/>
    <n v="2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3"/>
    <x v="2"/>
    <x v="4"/>
    <x v="2"/>
    <n v="0.18994796885977699"/>
    <n v="2E+20"/>
    <n v="0"/>
    <n v="5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4"/>
    <x v="0"/>
    <x v="0"/>
    <x v="0"/>
    <n v="1.1149416487167401"/>
    <n v="2E+20"/>
    <n v="0"/>
    <n v="4"/>
    <n v="2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4"/>
    <x v="1"/>
    <x v="1"/>
    <x v="1"/>
    <n v="0.36519898558789998"/>
    <n v="2E+20"/>
    <n v="0"/>
    <n v="1"/>
    <n v="0.66666666666666696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4"/>
    <x v="1"/>
    <x v="2"/>
    <x v="1"/>
    <n v="1.0955969567637001"/>
    <n v="2E+20"/>
    <n v="0"/>
    <n v="3"/>
    <n v="2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4"/>
    <x v="2"/>
    <x v="4"/>
    <x v="2"/>
    <n v="1.9344691953034801E-2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5"/>
    <x v="0"/>
    <x v="0"/>
    <x v="0"/>
    <n v="0.95662750204440905"/>
    <n v="2E+20"/>
    <n v="0"/>
    <n v="4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5"/>
    <x v="1"/>
    <x v="1"/>
    <x v="1"/>
    <n v="0.30796496841222198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5"/>
    <x v="1"/>
    <x v="2"/>
    <x v="1"/>
    <n v="0.92389490523666695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5"/>
    <x v="2"/>
    <x v="4"/>
    <x v="2"/>
    <n v="3.2732596807741703E-2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6"/>
    <x v="0"/>
    <x v="0"/>
    <x v="0"/>
    <n v="1.13221024558536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6"/>
    <x v="1"/>
    <x v="1"/>
    <x v="1"/>
    <n v="0.37007936351800702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6"/>
    <x v="1"/>
    <x v="2"/>
    <x v="1"/>
    <n v="1.1102380905540199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6"/>
    <x v="2"/>
    <x v="4"/>
    <x v="2"/>
    <n v="2.1972155031341301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7"/>
    <x v="0"/>
    <x v="0"/>
    <x v="0"/>
    <n v="1.20538270236897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7"/>
    <x v="1"/>
    <x v="1"/>
    <x v="1"/>
    <n v="0.38631188170430197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7"/>
    <x v="1"/>
    <x v="2"/>
    <x v="1"/>
    <n v="1.1589356451129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7"/>
    <x v="2"/>
    <x v="4"/>
    <x v="2"/>
    <n v="4.6447057256059403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8"/>
    <x v="0"/>
    <x v="0"/>
    <x v="0"/>
    <n v="0.93511737924848604"/>
    <n v="2E+20"/>
    <n v="0"/>
    <n v="3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8"/>
    <x v="1"/>
    <x v="1"/>
    <x v="1"/>
    <n v="0.31170579308282897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8"/>
    <x v="1"/>
    <x v="2"/>
    <x v="1"/>
    <n v="0.93511737924848604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8"/>
    <x v="2"/>
    <x v="4"/>
    <x v="2"/>
    <n v="0"/>
    <n v="2E+20"/>
    <n v="0"/>
    <n v="0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9"/>
    <x v="0"/>
    <x v="0"/>
    <x v="0"/>
    <n v="0.90292908706036101"/>
    <n v="2E+20"/>
    <n v="0"/>
    <n v="4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9"/>
    <x v="1"/>
    <x v="1"/>
    <x v="1"/>
    <n v="0.29847891300500701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9"/>
    <x v="1"/>
    <x v="2"/>
    <x v="1"/>
    <n v="0.89543673901501997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9"/>
    <x v="2"/>
    <x v="4"/>
    <x v="2"/>
    <n v="7.4923480453406299E-3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0"/>
    <x v="0"/>
    <x v="0"/>
    <x v="0"/>
    <n v="0.76598088056564295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0"/>
    <x v="1"/>
    <x v="1"/>
    <x v="1"/>
    <n v="0.248961473715994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0"/>
    <x v="1"/>
    <x v="2"/>
    <x v="1"/>
    <n v="0.74688442114798104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0"/>
    <x v="2"/>
    <x v="4"/>
    <x v="2"/>
    <n v="1.9096459417661801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1"/>
    <x v="0"/>
    <x v="0"/>
    <x v="0"/>
    <n v="1.01536219515649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1"/>
    <x v="1"/>
    <x v="1"/>
    <x v="1"/>
    <n v="0.32817845054679201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1"/>
    <x v="1"/>
    <x v="2"/>
    <x v="1"/>
    <n v="0.98453535164037598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1"/>
    <x v="2"/>
    <x v="4"/>
    <x v="2"/>
    <n v="3.0826843516112101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2"/>
    <x v="0"/>
    <x v="0"/>
    <x v="0"/>
    <n v="1.1253313575649799"/>
    <n v="2E+20"/>
    <n v="0"/>
    <n v="8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2"/>
    <x v="1"/>
    <x v="1"/>
    <x v="1"/>
    <n v="0.32122199440086702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2"/>
    <x v="1"/>
    <x v="2"/>
    <x v="1"/>
    <n v="0.9636659832026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2"/>
    <x v="2"/>
    <x v="4"/>
    <x v="2"/>
    <n v="0.16166537436237499"/>
    <n v="2E+20"/>
    <n v="0"/>
    <n v="5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3"/>
    <x v="0"/>
    <x v="0"/>
    <x v="0"/>
    <n v="1.1445374901112499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3"/>
    <x v="1"/>
    <x v="1"/>
    <x v="1"/>
    <n v="0.36984019031718002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3"/>
    <x v="1"/>
    <x v="2"/>
    <x v="1"/>
    <n v="1.109520570951540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3"/>
    <x v="2"/>
    <x v="4"/>
    <x v="2"/>
    <n v="3.5016919159707401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4"/>
    <x v="0"/>
    <x v="0"/>
    <x v="0"/>
    <n v="0.92721076248977596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4"/>
    <x v="1"/>
    <x v="1"/>
    <x v="1"/>
    <n v="0.30654690144963798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4"/>
    <x v="1"/>
    <x v="2"/>
    <x v="1"/>
    <n v="0.91964070434891498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4"/>
    <x v="2"/>
    <x v="4"/>
    <x v="2"/>
    <n v="7.5700581408604502E-3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5"/>
    <x v="0"/>
    <x v="0"/>
    <x v="0"/>
    <n v="0.997379215057141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5"/>
    <x v="1"/>
    <x v="1"/>
    <x v="1"/>
    <n v="0.32660810172420301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5"/>
    <x v="1"/>
    <x v="2"/>
    <x v="1"/>
    <n v="0.97982430517260999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5"/>
    <x v="2"/>
    <x v="4"/>
    <x v="2"/>
    <n v="1.7554909884531199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6"/>
    <x v="0"/>
    <x v="0"/>
    <x v="0"/>
    <n v="1.4188473289960599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6"/>
    <x v="1"/>
    <x v="1"/>
    <x v="1"/>
    <n v="0.449747634188089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6"/>
    <x v="1"/>
    <x v="2"/>
    <x v="1"/>
    <n v="1.34924290256427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6"/>
    <x v="2"/>
    <x v="4"/>
    <x v="2"/>
    <n v="6.9604426431788699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7"/>
    <x v="0"/>
    <x v="0"/>
    <x v="0"/>
    <n v="0.76489143622298805"/>
    <n v="2E+20"/>
    <n v="0"/>
    <n v="4"/>
    <n v="2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7"/>
    <x v="1"/>
    <x v="1"/>
    <x v="1"/>
    <n v="0.25154491117453198"/>
    <n v="2E+20"/>
    <n v="0"/>
    <n v="1"/>
    <n v="0.66666666666666696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7"/>
    <x v="1"/>
    <x v="2"/>
    <x v="1"/>
    <n v="0.754634733523596"/>
    <n v="2E+20"/>
    <n v="0"/>
    <n v="3"/>
    <n v="2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7"/>
    <x v="2"/>
    <x v="4"/>
    <x v="2"/>
    <n v="1.0256702699392E-2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8"/>
    <x v="0"/>
    <x v="0"/>
    <x v="0"/>
    <n v="1.2996104628646701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8"/>
    <x v="1"/>
    <x v="1"/>
    <x v="1"/>
    <n v="0.42324974517414199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8"/>
    <x v="1"/>
    <x v="2"/>
    <x v="1"/>
    <n v="1.26974923552243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8"/>
    <x v="2"/>
    <x v="4"/>
    <x v="2"/>
    <n v="2.98612273422444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19"/>
    <x v="0"/>
    <x v="0"/>
    <x v="0"/>
    <n v="1.0262109722348001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19"/>
    <x v="1"/>
    <x v="1"/>
    <x v="1"/>
    <n v="0.33093965699427802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19"/>
    <x v="1"/>
    <x v="2"/>
    <x v="1"/>
    <n v="0.99281897098283201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19"/>
    <x v="2"/>
    <x v="4"/>
    <x v="2"/>
    <n v="3.33920012519709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0"/>
    <x v="0"/>
    <x v="0"/>
    <x v="0"/>
    <n v="0.88980304491355799"/>
    <n v="2E+20"/>
    <n v="0"/>
    <n v="4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0"/>
    <x v="1"/>
    <x v="1"/>
    <x v="1"/>
    <n v="0.29530527256108702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0"/>
    <x v="1"/>
    <x v="2"/>
    <x v="1"/>
    <n v="0.88591581768326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0"/>
    <x v="2"/>
    <x v="4"/>
    <x v="2"/>
    <n v="3.8872272302968099E-3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1"/>
    <x v="0"/>
    <x v="0"/>
    <x v="0"/>
    <n v="0.88967063056037898"/>
    <n v="2E+20"/>
    <n v="0"/>
    <n v="4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1"/>
    <x v="1"/>
    <x v="1"/>
    <x v="1"/>
    <n v="0.29334034282091898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1"/>
    <x v="1"/>
    <x v="2"/>
    <x v="1"/>
    <n v="0.88002102846275698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1"/>
    <x v="2"/>
    <x v="4"/>
    <x v="2"/>
    <n v="9.6496020976220304E-3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2"/>
    <x v="0"/>
    <x v="0"/>
    <x v="0"/>
    <n v="1.10746888264146"/>
    <n v="2E+20"/>
    <n v="0"/>
    <n v="4"/>
    <n v="2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2"/>
    <x v="1"/>
    <x v="1"/>
    <x v="1"/>
    <n v="0.35377593836318599"/>
    <n v="2E+20"/>
    <n v="0"/>
    <n v="1"/>
    <n v="0.66666666666666696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2"/>
    <x v="1"/>
    <x v="2"/>
    <x v="1"/>
    <n v="1.06132781508956"/>
    <n v="2E+20"/>
    <n v="0"/>
    <n v="3"/>
    <n v="2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2"/>
    <x v="2"/>
    <x v="4"/>
    <x v="2"/>
    <n v="4.6141067551907299E-2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3"/>
    <x v="0"/>
    <x v="0"/>
    <x v="0"/>
    <n v="1.1195685278915899"/>
    <n v="2E+20"/>
    <n v="0"/>
    <n v="6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3"/>
    <x v="1"/>
    <x v="1"/>
    <x v="1"/>
    <n v="0.34661215557886899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3"/>
    <x v="1"/>
    <x v="2"/>
    <x v="1"/>
    <n v="1.03983646673661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3"/>
    <x v="2"/>
    <x v="4"/>
    <x v="2"/>
    <n v="7.9732061154982603E-2"/>
    <n v="2E+20"/>
    <n v="0"/>
    <n v="3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4"/>
    <x v="0"/>
    <x v="0"/>
    <x v="0"/>
    <n v="0.87347519758417203"/>
    <n v="2E+20"/>
    <n v="0"/>
    <n v="4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4"/>
    <x v="1"/>
    <x v="1"/>
    <x v="1"/>
    <n v="0.28991041992266298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4"/>
    <x v="1"/>
    <x v="2"/>
    <x v="1"/>
    <n v="0.86973125976798804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4"/>
    <x v="2"/>
    <x v="4"/>
    <x v="2"/>
    <n v="3.74393781618394E-3"/>
    <n v="2E+20"/>
    <n v="0"/>
    <n v="1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5"/>
    <x v="0"/>
    <x v="0"/>
    <x v="0"/>
    <n v="0.95506796957006501"/>
    <n v="2E+20"/>
    <n v="0"/>
    <n v="5"/>
    <n v="0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5"/>
    <x v="1"/>
    <x v="1"/>
    <x v="1"/>
    <n v="0.31257468305705199"/>
    <n v="2E+20"/>
    <n v="0"/>
    <n v="1"/>
    <n v="0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5"/>
    <x v="1"/>
    <x v="2"/>
    <x v="1"/>
    <n v="0.93772404917115604"/>
    <n v="2E+20"/>
    <n v="0"/>
    <n v="3"/>
    <n v="0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5"/>
    <x v="2"/>
    <x v="4"/>
    <x v="2"/>
    <n v="1.73439203989093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6"/>
    <x v="0"/>
    <x v="0"/>
    <x v="0"/>
    <n v="1.02888007806787"/>
    <n v="2E+20"/>
    <n v="0"/>
    <n v="7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6"/>
    <x v="1"/>
    <x v="1"/>
    <x v="1"/>
    <n v="0.31723283416524001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6"/>
    <x v="1"/>
    <x v="2"/>
    <x v="1"/>
    <n v="0.95169850249571897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6"/>
    <x v="2"/>
    <x v="4"/>
    <x v="2"/>
    <n v="7.7181575572147706E-2"/>
    <n v="2E+20"/>
    <n v="0"/>
    <n v="4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7"/>
    <x v="0"/>
    <x v="0"/>
    <x v="0"/>
    <n v="1.14613684905825"/>
    <n v="2E+20"/>
    <n v="0"/>
    <n v="8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7"/>
    <x v="1"/>
    <x v="1"/>
    <x v="1"/>
    <n v="0.36375375139139399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7"/>
    <x v="1"/>
    <x v="2"/>
    <x v="1"/>
    <n v="1.09126125417418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7"/>
    <x v="2"/>
    <x v="4"/>
    <x v="2"/>
    <n v="5.4875594884067902E-2"/>
    <n v="2E+20"/>
    <n v="0"/>
    <n v="5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8"/>
    <x v="0"/>
    <x v="0"/>
    <x v="0"/>
    <n v="1.15828307940347"/>
    <n v="2E+20"/>
    <n v="0"/>
    <n v="6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8"/>
    <x v="1"/>
    <x v="1"/>
    <x v="1"/>
    <n v="0.37153193351603298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8"/>
    <x v="1"/>
    <x v="2"/>
    <x v="1"/>
    <n v="1.114595800548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8"/>
    <x v="2"/>
    <x v="4"/>
    <x v="2"/>
    <n v="4.3687278855374302E-2"/>
    <n v="2E+20"/>
    <n v="0"/>
    <n v="3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29"/>
    <x v="0"/>
    <x v="0"/>
    <x v="0"/>
    <n v="1.1763132926547999"/>
    <n v="2E+20"/>
    <n v="0"/>
    <n v="6"/>
    <n v="3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29"/>
    <x v="1"/>
    <x v="1"/>
    <x v="1"/>
    <n v="0.36882133921371202"/>
    <n v="2E+20"/>
    <n v="0"/>
    <n v="1"/>
    <n v="1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29"/>
    <x v="1"/>
    <x v="2"/>
    <x v="1"/>
    <n v="1.10646401764114"/>
    <n v="2E+20"/>
    <n v="0"/>
    <n v="3"/>
    <n v="3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29"/>
    <x v="2"/>
    <x v="4"/>
    <x v="2"/>
    <n v="6.9849275013659701E-2"/>
    <n v="2E+20"/>
    <n v="0"/>
    <n v="3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  <r>
    <x v="0"/>
    <s v="2025-02-11 20:45:35"/>
    <n v="30"/>
    <x v="0"/>
    <x v="0"/>
    <x v="0"/>
    <n v="1.32581426962102"/>
    <n v="2E+20"/>
    <n v="0"/>
    <n v="5"/>
    <n v="1"/>
    <n v="0"/>
    <s v="Unnamed ProjectCustomerWIPEntity"/>
    <n v="30"/>
    <n v="1.0774199852801944"/>
    <n v="0.1821999699903237"/>
    <n v="0.95"/>
    <n v="6.8034586911528527E-2"/>
    <n v="0.76489143622298805"/>
    <n v="1.49813393651904"/>
    <n v="6.8034586911528527E-2"/>
  </r>
  <r>
    <x v="0"/>
    <s v="2025-02-11 20:45:35"/>
    <n v="30"/>
    <x v="1"/>
    <x v="1"/>
    <x v="1"/>
    <n v="0.42242672292643302"/>
    <n v="2E+20"/>
    <n v="0"/>
    <n v="1"/>
    <n v="0.33333333333333298"/>
    <n v="0"/>
    <s v="Unnamed ProjectService CounterInstantaneous UtilizationResource"/>
    <n v="30"/>
    <n v="0.34422170660965817"/>
    <n v="5.1246736363817387E-2"/>
    <n v="0.95"/>
    <n v="1.9135845847073889E-2"/>
    <n v="0.248961473715994"/>
    <n v="0.449747634188089"/>
    <n v="1.9135845847073889E-2"/>
  </r>
  <r>
    <x v="0"/>
    <s v="2025-02-11 20:45:35"/>
    <n v="30"/>
    <x v="1"/>
    <x v="2"/>
    <x v="1"/>
    <n v="1.2672801687793001"/>
    <n v="2E+20"/>
    <n v="0"/>
    <n v="3"/>
    <n v="1"/>
    <n v="0"/>
    <s v="Unnamed ProjectService CounterNumber BusyResource"/>
    <n v="30"/>
    <n v="1.0326651198289747"/>
    <n v="0.15374020909145517"/>
    <n v="0.95"/>
    <n v="5.740753754122279E-2"/>
    <n v="0.74688442114798104"/>
    <n v="1.34924290256427"/>
    <n v="5.740753754122279E-2"/>
  </r>
  <r>
    <x v="0"/>
    <s v="2025-02-11 20:45:35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0:45:35"/>
    <n v="30"/>
    <x v="2"/>
    <x v="4"/>
    <x v="2"/>
    <n v="5.8534100841718499E-2"/>
    <n v="2E+20"/>
    <n v="0"/>
    <n v="2"/>
    <n v="0"/>
    <n v="0"/>
    <s v="Unnamed ProjectService Process.QueueNumber WaitingQueue"/>
    <n v="30"/>
    <n v="4.4754865451219213E-2"/>
    <n v="4.6197267690837436E-2"/>
    <n v="0.95"/>
    <n v="1.7250343257215396E-2"/>
    <n v="0"/>
    <n v="0.18994796885977699"/>
    <n v="1.725034325721539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5:35"/>
    <n v="1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"/>
    <x v="0"/>
    <x v="2"/>
    <x v="0"/>
    <n v="7.0277336065881499"/>
    <n v="2E+20"/>
    <n v="1.8606074784770499E-2"/>
    <n v="30.8870424995606"/>
    <n v="8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"/>
    <x v="0"/>
    <x v="4"/>
    <x v="0"/>
    <n v="6.9414268853953303"/>
    <n v="2E+20"/>
    <n v="1.8606074784770499E-2"/>
    <n v="30.8870424995606"/>
    <n v="8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"/>
    <x v="0"/>
    <x v="5"/>
    <x v="0"/>
    <n v="8.6306721192819597E-2"/>
    <n v="2E+20"/>
    <n v="0"/>
    <n v="4.4495297618125296"/>
    <n v="8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"/>
    <x v="0"/>
    <x v="2"/>
    <x v="0"/>
    <n v="7.2772448222527304"/>
    <n v="2E+20"/>
    <n v="0.15314005412505999"/>
    <n v="48.495393425748297"/>
    <n v="100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"/>
    <x v="0"/>
    <x v="4"/>
    <x v="0"/>
    <n v="6.5628649238361598"/>
    <n v="2E+20"/>
    <n v="0.14778678313598401"/>
    <n v="48.495393425748297"/>
    <n v="100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"/>
    <x v="0"/>
    <x v="5"/>
    <x v="0"/>
    <n v="0.71437989841656502"/>
    <n v="2E+20"/>
    <n v="0"/>
    <n v="12.8230075605272"/>
    <n v="100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3"/>
    <x v="0"/>
    <x v="0"/>
    <x v="0"/>
    <n v="0"/>
    <n v="2E+20"/>
    <n v="0"/>
    <n v="0"/>
    <n v="108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"/>
    <x v="0"/>
    <x v="1"/>
    <x v="0"/>
    <n v="0"/>
    <n v="2E+20"/>
    <n v="0"/>
    <n v="0"/>
    <n v="108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"/>
    <x v="0"/>
    <x v="2"/>
    <x v="0"/>
    <n v="7.3405231657709296"/>
    <n v="2E+20"/>
    <n v="2.4592924466618499E-2"/>
    <n v="41.259492022109399"/>
    <n v="108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3"/>
    <x v="0"/>
    <x v="3"/>
    <x v="0"/>
    <n v="0"/>
    <n v="2E+20"/>
    <n v="0"/>
    <n v="0"/>
    <n v="108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"/>
    <x v="0"/>
    <x v="4"/>
    <x v="0"/>
    <n v="6.39078332147204"/>
    <n v="2E+20"/>
    <n v="2.4592924466618499E-2"/>
    <n v="41.259492022109399"/>
    <n v="108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3"/>
    <x v="0"/>
    <x v="5"/>
    <x v="0"/>
    <n v="0.94973984429888703"/>
    <n v="2E+20"/>
    <n v="0"/>
    <n v="13.894302129953299"/>
    <n v="108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4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4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4"/>
    <x v="0"/>
    <x v="2"/>
    <x v="0"/>
    <n v="6.3605089601508604"/>
    <n v="2E+20"/>
    <n v="2.7538564767951398E-2"/>
    <n v="31.377380661824098"/>
    <n v="92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4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4"/>
    <x v="0"/>
    <x v="4"/>
    <x v="0"/>
    <n v="6.2579097961546397"/>
    <n v="2E+20"/>
    <n v="2.7538564767951398E-2"/>
    <n v="31.377380661824098"/>
    <n v="92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4"/>
    <x v="0"/>
    <x v="5"/>
    <x v="0"/>
    <n v="0.102599163996227"/>
    <n v="2E+20"/>
    <n v="0"/>
    <n v="4.25707296902696"/>
    <n v="92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5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5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5"/>
    <x v="0"/>
    <x v="2"/>
    <x v="0"/>
    <n v="5.3810296989998001"/>
    <n v="2E+20"/>
    <n v="2.9978162838915499E-2"/>
    <n v="28.4890252327938"/>
    <n v="96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5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5"/>
    <x v="0"/>
    <x v="4"/>
    <x v="0"/>
    <n v="5.1969088419562501"/>
    <n v="2E+20"/>
    <n v="2.9978162838915499E-2"/>
    <n v="26.194848684943501"/>
    <n v="96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5"/>
    <x v="0"/>
    <x v="5"/>
    <x v="0"/>
    <n v="0.184120857043547"/>
    <n v="2E+20"/>
    <n v="0"/>
    <n v="6.1408431075599301"/>
    <n v="96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6"/>
    <x v="0"/>
    <x v="2"/>
    <x v="0"/>
    <n v="6.4357213959589004"/>
    <n v="2E+20"/>
    <n v="1.50201233692542E-2"/>
    <n v="37.231140819516099"/>
    <n v="95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6"/>
    <x v="0"/>
    <x v="4"/>
    <x v="0"/>
    <n v="6.3108270410439102"/>
    <n v="2E+20"/>
    <n v="1.50201233692542E-2"/>
    <n v="37.231140819516099"/>
    <n v="95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6"/>
    <x v="0"/>
    <x v="5"/>
    <x v="0"/>
    <n v="0.124894354914993"/>
    <n v="2E+20"/>
    <n v="0"/>
    <n v="2.99613906314136"/>
    <n v="95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7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7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7"/>
    <x v="0"/>
    <x v="2"/>
    <x v="0"/>
    <n v="7.1312180654792803"/>
    <n v="2E+20"/>
    <n v="0.13196452103449"/>
    <n v="27.569080581382"/>
    <n v="9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7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7"/>
    <x v="0"/>
    <x v="4"/>
    <x v="0"/>
    <n v="6.8555981652784901"/>
    <n v="2E+20"/>
    <n v="0.13196452103449"/>
    <n v="27.569080581382"/>
    <n v="9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7"/>
    <x v="0"/>
    <x v="5"/>
    <x v="0"/>
    <n v="0.27561990020079202"/>
    <n v="2E+20"/>
    <n v="0"/>
    <n v="6.5658027409620798"/>
    <n v="9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8"/>
    <x v="0"/>
    <x v="0"/>
    <x v="0"/>
    <n v="0"/>
    <n v="2E+20"/>
    <n v="0"/>
    <n v="0"/>
    <n v="72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8"/>
    <x v="0"/>
    <x v="1"/>
    <x v="0"/>
    <n v="0"/>
    <n v="2E+20"/>
    <n v="0"/>
    <n v="0"/>
    <n v="72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8"/>
    <x v="0"/>
    <x v="2"/>
    <x v="0"/>
    <n v="7.0133803443636404"/>
    <n v="2E+20"/>
    <n v="0.10254458026111"/>
    <n v="43.866370327314101"/>
    <n v="72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8"/>
    <x v="0"/>
    <x v="3"/>
    <x v="0"/>
    <n v="0"/>
    <n v="2E+20"/>
    <n v="0"/>
    <n v="0"/>
    <n v="72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8"/>
    <x v="0"/>
    <x v="4"/>
    <x v="0"/>
    <n v="7.0133803443636404"/>
    <n v="2E+20"/>
    <n v="0.10254458026111"/>
    <n v="43.866370327314101"/>
    <n v="72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8"/>
    <x v="0"/>
    <x v="5"/>
    <x v="0"/>
    <n v="0"/>
    <n v="2E+20"/>
    <n v="0"/>
    <n v="0"/>
    <n v="72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9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9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9"/>
    <x v="0"/>
    <x v="2"/>
    <x v="0"/>
    <n v="5.5015394340733099"/>
    <n v="2E+20"/>
    <n v="5.8367589094416403E-2"/>
    <n v="26.451779107450999"/>
    <n v="86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9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9"/>
    <x v="0"/>
    <x v="4"/>
    <x v="0"/>
    <n v="5.4544944579746604"/>
    <n v="2E+20"/>
    <n v="5.8367589094416403E-2"/>
    <n v="26.451779107450999"/>
    <n v="86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9"/>
    <x v="0"/>
    <x v="5"/>
    <x v="0"/>
    <n v="4.7044976098650403E-2"/>
    <n v="2E+20"/>
    <n v="0"/>
    <n v="2.4570845827856198"/>
    <n v="86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0"/>
    <x v="0"/>
    <x v="2"/>
    <x v="0"/>
    <n v="5.1065392037709501"/>
    <n v="2E+20"/>
    <n v="5.8243262214659801E-2"/>
    <n v="24.398704361954302"/>
    <n v="8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0"/>
    <x v="0"/>
    <x v="4"/>
    <x v="0"/>
    <n v="4.9792294743198697"/>
    <n v="2E+20"/>
    <n v="5.8243262214659801E-2"/>
    <n v="24.398704361954302"/>
    <n v="8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0"/>
    <x v="0"/>
    <x v="5"/>
    <x v="0"/>
    <n v="0.12730972945107899"/>
    <n v="2E+20"/>
    <n v="0"/>
    <n v="5.0666039601639499"/>
    <n v="8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1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1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1"/>
    <x v="0"/>
    <x v="2"/>
    <x v="0"/>
    <n v="5.8329317594096102"/>
    <n v="2E+20"/>
    <n v="1.9843138656142401E-2"/>
    <n v="23.870674652258"/>
    <n v="94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1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1"/>
    <x v="0"/>
    <x v="4"/>
    <x v="0"/>
    <n v="5.6558413817638602"/>
    <n v="2E+20"/>
    <n v="1.9843138656142401E-2"/>
    <n v="23.870674652258"/>
    <n v="94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1"/>
    <x v="0"/>
    <x v="5"/>
    <x v="0"/>
    <n v="0.17709037764575"/>
    <n v="2E+20"/>
    <n v="0"/>
    <n v="8.4609108090532992"/>
    <n v="94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2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2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2"/>
    <x v="0"/>
    <x v="2"/>
    <x v="0"/>
    <n v="7.2342730129176998"/>
    <n v="2E+20"/>
    <n v="2.4083119921954201E-2"/>
    <n v="30.458632819567601"/>
    <n v="84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2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2"/>
    <x v="0"/>
    <x v="4"/>
    <x v="0"/>
    <n v="6.1949956063024301"/>
    <n v="2E+20"/>
    <n v="2.4083119921954201E-2"/>
    <n v="30.458632819567601"/>
    <n v="84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2"/>
    <x v="0"/>
    <x v="5"/>
    <x v="0"/>
    <n v="1.0392774066152699"/>
    <n v="2E+20"/>
    <n v="0"/>
    <n v="16.124525851722701"/>
    <n v="84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3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3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3"/>
    <x v="0"/>
    <x v="2"/>
    <x v="0"/>
    <n v="6.6118860078362696"/>
    <n v="2E+20"/>
    <n v="5.2225565622222803E-2"/>
    <n v="31.5852264413091"/>
    <n v="93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3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3"/>
    <x v="0"/>
    <x v="4"/>
    <x v="0"/>
    <n v="6.40856196110248"/>
    <n v="2E+20"/>
    <n v="5.2225565622222803E-2"/>
    <n v="31.5852264413091"/>
    <n v="93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3"/>
    <x v="0"/>
    <x v="5"/>
    <x v="0"/>
    <n v="0.20332404673378501"/>
    <n v="2E+20"/>
    <n v="0"/>
    <n v="2.9108139443508998"/>
    <n v="93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4"/>
    <x v="0"/>
    <x v="2"/>
    <x v="0"/>
    <n v="5.4986966889117204"/>
    <n v="2E+20"/>
    <n v="0.14485853144051899"/>
    <n v="24.995229898067102"/>
    <n v="9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4"/>
    <x v="0"/>
    <x v="4"/>
    <x v="0"/>
    <n v="5.4537754647791399"/>
    <n v="2E+20"/>
    <n v="0.14485853144051899"/>
    <n v="24.995229898067102"/>
    <n v="9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4"/>
    <x v="0"/>
    <x v="5"/>
    <x v="0"/>
    <n v="4.4921224132578499E-2"/>
    <n v="2E+20"/>
    <n v="0"/>
    <n v="1.2472277477364699"/>
    <n v="9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5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5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5"/>
    <x v="0"/>
    <x v="2"/>
    <x v="0"/>
    <n v="6.26261367594019"/>
    <n v="2E+20"/>
    <n v="0.142604820454309"/>
    <n v="35.860144357960003"/>
    <n v="86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5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5"/>
    <x v="0"/>
    <x v="4"/>
    <x v="0"/>
    <n v="6.1523851720140597"/>
    <n v="2E+20"/>
    <n v="0.142604820454309"/>
    <n v="35.860144357960003"/>
    <n v="86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5"/>
    <x v="0"/>
    <x v="5"/>
    <x v="0"/>
    <n v="0.110228503926126"/>
    <n v="2E+20"/>
    <n v="0"/>
    <n v="3.8206562369725199"/>
    <n v="86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6"/>
    <x v="0"/>
    <x v="2"/>
    <x v="0"/>
    <n v="8.0125270750572994"/>
    <n v="2E+20"/>
    <n v="1.33917828320591E-2"/>
    <n v="38.877026438244798"/>
    <n v="95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6"/>
    <x v="0"/>
    <x v="4"/>
    <x v="0"/>
    <n v="7.6168808616555497"/>
    <n v="2E+20"/>
    <n v="1.33917828320591E-2"/>
    <n v="38.877026438244798"/>
    <n v="95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6"/>
    <x v="0"/>
    <x v="5"/>
    <x v="0"/>
    <n v="0.39564621340174599"/>
    <n v="2E+20"/>
    <n v="0"/>
    <n v="5.9316083813827696"/>
    <n v="95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7"/>
    <x v="0"/>
    <x v="0"/>
    <x v="0"/>
    <n v="0"/>
    <n v="2E+20"/>
    <n v="0"/>
    <n v="0"/>
    <n v="69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7"/>
    <x v="0"/>
    <x v="1"/>
    <x v="0"/>
    <n v="0"/>
    <n v="2E+20"/>
    <n v="0"/>
    <n v="0"/>
    <n v="69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7"/>
    <x v="0"/>
    <x v="2"/>
    <x v="0"/>
    <n v="5.7880523521310998"/>
    <n v="2E+20"/>
    <n v="0.11752848635853801"/>
    <n v="22.923040176226099"/>
    <n v="69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7"/>
    <x v="0"/>
    <x v="3"/>
    <x v="0"/>
    <n v="0"/>
    <n v="2E+20"/>
    <n v="0"/>
    <n v="0"/>
    <n v="69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7"/>
    <x v="0"/>
    <x v="4"/>
    <x v="0"/>
    <n v="5.7077825049184696"/>
    <n v="2E+20"/>
    <n v="0.11752848635853801"/>
    <n v="22.923040176226099"/>
    <n v="69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7"/>
    <x v="0"/>
    <x v="5"/>
    <x v="0"/>
    <n v="8.0269847212632903E-2"/>
    <n v="2E+20"/>
    <n v="0"/>
    <n v="2.6520428653955399"/>
    <n v="69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8"/>
    <x v="0"/>
    <x v="0"/>
    <x v="0"/>
    <n v="0"/>
    <n v="2E+20"/>
    <n v="0"/>
    <n v="0"/>
    <n v="100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8"/>
    <x v="0"/>
    <x v="1"/>
    <x v="0"/>
    <n v="0"/>
    <n v="2E+20"/>
    <n v="0"/>
    <n v="0"/>
    <n v="100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8"/>
    <x v="0"/>
    <x v="2"/>
    <x v="0"/>
    <n v="6.9199623103913703"/>
    <n v="2E+20"/>
    <n v="0.10146397354577601"/>
    <n v="32.078317306559804"/>
    <n v="100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8"/>
    <x v="0"/>
    <x v="3"/>
    <x v="0"/>
    <n v="0"/>
    <n v="2E+20"/>
    <n v="0"/>
    <n v="0"/>
    <n v="100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8"/>
    <x v="0"/>
    <x v="4"/>
    <x v="0"/>
    <n v="6.7587116827432503"/>
    <n v="2E+20"/>
    <n v="0.10146397354577601"/>
    <n v="32.078317306559804"/>
    <n v="100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8"/>
    <x v="0"/>
    <x v="5"/>
    <x v="0"/>
    <n v="0.16125062764812001"/>
    <n v="2E+20"/>
    <n v="0"/>
    <n v="4.4079349209642897"/>
    <n v="100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9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9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9"/>
    <x v="0"/>
    <x v="2"/>
    <x v="0"/>
    <n v="6.6765533133348596"/>
    <n v="2E+20"/>
    <n v="4.8047917915141599E-3"/>
    <n v="28.545245176123"/>
    <n v="83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19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19"/>
    <x v="0"/>
    <x v="4"/>
    <x v="0"/>
    <n v="6.4593041485629996"/>
    <n v="2E+20"/>
    <n v="4.8047917915141599E-3"/>
    <n v="28.545245176123"/>
    <n v="83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19"/>
    <x v="0"/>
    <x v="5"/>
    <x v="0"/>
    <n v="0.21724916477185899"/>
    <n v="2E+20"/>
    <n v="0"/>
    <n v="4.7665481218963901"/>
    <n v="83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0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0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0"/>
    <x v="0"/>
    <x v="2"/>
    <x v="0"/>
    <n v="5.6881582493854497"/>
    <n v="2E+20"/>
    <n v="3.8756899513714402E-2"/>
    <n v="50.027144327574298"/>
    <n v="84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0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0"/>
    <x v="0"/>
    <x v="4"/>
    <x v="0"/>
    <n v="5.6631689314763998"/>
    <n v="2E+20"/>
    <n v="3.8756899513714402E-2"/>
    <n v="50.027144327574298"/>
    <n v="84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0"/>
    <x v="0"/>
    <x v="5"/>
    <x v="0"/>
    <n v="2.4989317909050901E-2"/>
    <n v="2E+20"/>
    <n v="0"/>
    <n v="1.099644473548"/>
    <n v="84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1"/>
    <x v="0"/>
    <x v="2"/>
    <x v="0"/>
    <n v="5.1658294677699397"/>
    <n v="2E+20"/>
    <n v="4.9277035966781603E-2"/>
    <n v="25.3720099776605"/>
    <n v="93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1"/>
    <x v="0"/>
    <x v="4"/>
    <x v="0"/>
    <n v="5.1097995201063302"/>
    <n v="2E+20"/>
    <n v="4.9277035966781603E-2"/>
    <n v="25.3720099776605"/>
    <n v="93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1"/>
    <x v="0"/>
    <x v="5"/>
    <x v="0"/>
    <n v="5.6029947663611801E-2"/>
    <n v="2E+20"/>
    <n v="0"/>
    <n v="4.1599544068930099"/>
    <n v="93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2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2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2"/>
    <x v="0"/>
    <x v="2"/>
    <x v="0"/>
    <n v="7.3282056148100798"/>
    <n v="2E+20"/>
    <n v="1.885819205188E-2"/>
    <n v="24.179005152274399"/>
    <n v="8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2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2"/>
    <x v="0"/>
    <x v="4"/>
    <x v="0"/>
    <n v="7.0205984977973603"/>
    <n v="2E+20"/>
    <n v="1.885819205188E-2"/>
    <n v="24.179005152274399"/>
    <n v="8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2"/>
    <x v="0"/>
    <x v="5"/>
    <x v="0"/>
    <n v="0.30760711701271498"/>
    <n v="2E+20"/>
    <n v="0"/>
    <n v="9.6793682639254595"/>
    <n v="8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3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3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3"/>
    <x v="0"/>
    <x v="2"/>
    <x v="0"/>
    <n v="6.5007204845318096"/>
    <n v="2E+20"/>
    <n v="9.8328394748250503E-3"/>
    <n v="25.093982503440301"/>
    <n v="93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3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3"/>
    <x v="0"/>
    <x v="4"/>
    <x v="0"/>
    <n v="6.03776012943836"/>
    <n v="2E+20"/>
    <n v="9.8328394748250503E-3"/>
    <n v="25.093982503440301"/>
    <n v="93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3"/>
    <x v="0"/>
    <x v="5"/>
    <x v="0"/>
    <n v="0.46296035509344702"/>
    <n v="2E+20"/>
    <n v="0"/>
    <n v="7.5359461918169499"/>
    <n v="93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4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4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4"/>
    <x v="0"/>
    <x v="2"/>
    <x v="0"/>
    <n v="6.3842348312903496"/>
    <n v="2E+20"/>
    <n v="8.5107045961223093E-2"/>
    <n v="29.649478321517801"/>
    <n v="73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4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4"/>
    <x v="0"/>
    <x v="4"/>
    <x v="0"/>
    <n v="6.3565399488144596"/>
    <n v="2E+20"/>
    <n v="8.5107045961223093E-2"/>
    <n v="29.649478321517801"/>
    <n v="73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4"/>
    <x v="0"/>
    <x v="5"/>
    <x v="0"/>
    <n v="2.76948824758812E-2"/>
    <n v="2E+20"/>
    <n v="0"/>
    <n v="1.32750215019107"/>
    <n v="73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5"/>
    <x v="0"/>
    <x v="2"/>
    <x v="0"/>
    <n v="5.8606443587254002"/>
    <n v="2E+20"/>
    <n v="6.7703950669511003E-3"/>
    <n v="27.4944428996601"/>
    <n v="88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5"/>
    <x v="0"/>
    <x v="4"/>
    <x v="0"/>
    <n v="5.7542157562775502"/>
    <n v="2E+20"/>
    <n v="6.7703950669511003E-3"/>
    <n v="27.4944428996601"/>
    <n v="88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5"/>
    <x v="0"/>
    <x v="5"/>
    <x v="0"/>
    <n v="0.106428602447853"/>
    <n v="2E+20"/>
    <n v="0"/>
    <n v="5.2658504152593899"/>
    <n v="88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6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6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6"/>
    <x v="0"/>
    <x v="2"/>
    <x v="0"/>
    <n v="6.7704011730608702"/>
    <n v="2E+20"/>
    <n v="4.70655360288674E-4"/>
    <n v="29.1703671153534"/>
    <n v="82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6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6"/>
    <x v="0"/>
    <x v="4"/>
    <x v="0"/>
    <n v="6.2621322607564904"/>
    <n v="2E+20"/>
    <n v="4.70655360288674E-4"/>
    <n v="29.1703671153534"/>
    <n v="82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6"/>
    <x v="0"/>
    <x v="5"/>
    <x v="0"/>
    <n v="0.50826891230438698"/>
    <n v="2E+20"/>
    <n v="0"/>
    <n v="5.6825219428342297"/>
    <n v="82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7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7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7"/>
    <x v="0"/>
    <x v="2"/>
    <x v="0"/>
    <n v="6.9462465764971002"/>
    <n v="2E+20"/>
    <n v="0.13649003882324001"/>
    <n v="47.934129115973299"/>
    <n v="89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7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7"/>
    <x v="0"/>
    <x v="4"/>
    <x v="0"/>
    <n v="6.6132935288859001"/>
    <n v="2E+20"/>
    <n v="0.13649003882324001"/>
    <n v="45.403368714254398"/>
    <n v="89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7"/>
    <x v="0"/>
    <x v="5"/>
    <x v="0"/>
    <n v="0.33295304761119898"/>
    <n v="2E+20"/>
    <n v="0"/>
    <n v="3.5829480478650502"/>
    <n v="89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8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8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8"/>
    <x v="0"/>
    <x v="2"/>
    <x v="0"/>
    <n v="6.3783027526077998"/>
    <n v="2E+20"/>
    <n v="0.13160607841552999"/>
    <n v="47.544333081164297"/>
    <n v="98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8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8"/>
    <x v="0"/>
    <x v="4"/>
    <x v="0"/>
    <n v="6.1375769303434904"/>
    <n v="2E+20"/>
    <n v="0.13160607841552999"/>
    <n v="47.544333081164297"/>
    <n v="98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8"/>
    <x v="0"/>
    <x v="5"/>
    <x v="0"/>
    <n v="0.240725822264307"/>
    <n v="2E+20"/>
    <n v="0"/>
    <n v="8.7763864849678193"/>
    <n v="98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29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9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9"/>
    <x v="0"/>
    <x v="2"/>
    <x v="0"/>
    <n v="6.8908371709561802"/>
    <n v="2E+20"/>
    <n v="2.7257076698560902E-2"/>
    <n v="41.378206066220301"/>
    <n v="91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29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29"/>
    <x v="0"/>
    <x v="4"/>
    <x v="0"/>
    <n v="6.4763469675784204"/>
    <n v="2E+20"/>
    <n v="2.7257076698560902E-2"/>
    <n v="41.378206066220301"/>
    <n v="91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29"/>
    <x v="0"/>
    <x v="5"/>
    <x v="0"/>
    <n v="0.41449020337776099"/>
    <n v="2E+20"/>
    <n v="0"/>
    <n v="5.6431170430288402"/>
    <n v="91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30"/>
    <x v="0"/>
    <x v="0"/>
    <x v="0"/>
    <n v="0"/>
    <n v="2E+20"/>
    <n v="0"/>
    <n v="0"/>
    <n v="107"/>
    <s v="Unnamed ProjectCustomerNVA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0"/>
    <x v="0"/>
    <x v="1"/>
    <x v="0"/>
    <n v="0"/>
    <n v="2E+20"/>
    <n v="0"/>
    <n v="0"/>
    <n v="107"/>
    <s v="Unnamed ProjectCustomerOth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0"/>
    <x v="0"/>
    <x v="2"/>
    <x v="0"/>
    <n v="6.6645347174961902"/>
    <n v="2E+20"/>
    <n v="4.8110882322674797E-2"/>
    <n v="29.770601732401499"/>
    <n v="107"/>
    <s v="Unnamed ProjectCustomerTotal TimeEntity"/>
    <n v="30"/>
    <n v="6.4663683430156604"/>
    <n v="0.73116219798446225"/>
    <n v="0.95"/>
    <n v="0.27302045169293909"/>
    <n v="5.1065392037709501"/>
    <n v="8.0125270750572994"/>
    <n v="4.70655360288674E-4"/>
    <n v="50.027144327574298"/>
    <n v="89.2"/>
    <n v="0.27302045169293909"/>
    <n v="30"/>
    <n v="1"/>
  </r>
  <r>
    <x v="0"/>
    <s v="2025-02-11 20:45:35"/>
    <n v="30"/>
    <x v="0"/>
    <x v="3"/>
    <x v="0"/>
    <n v="0"/>
    <n v="2E+20"/>
    <n v="0"/>
    <n v="0"/>
    <n v="107"/>
    <s v="Unnamed ProjectCustomerTransfer TimeEntity"/>
    <n v="30"/>
    <n v="0"/>
    <n v="0"/>
    <n v="0.95"/>
    <n v="0"/>
    <n v="0"/>
    <n v="0"/>
    <n v="0"/>
    <n v="0"/>
    <n v="89.2"/>
    <n v="0"/>
    <n v="30"/>
    <n v="1"/>
  </r>
  <r>
    <x v="0"/>
    <s v="2025-02-11 20:45:35"/>
    <n v="30"/>
    <x v="0"/>
    <x v="4"/>
    <x v="0"/>
    <n v="6.3707996131214903"/>
    <n v="2E+20"/>
    <n v="4.8110882322674797E-2"/>
    <n v="29.770601732401499"/>
    <n v="107"/>
    <s v="Unnamed ProjectCustomerVA TimeEntity"/>
    <n v="30"/>
    <n v="6.2057964706744482"/>
    <n v="0.61833483574945536"/>
    <n v="0.95"/>
    <n v="0.23089002224015842"/>
    <n v="4.9792294743198697"/>
    <n v="7.6168808616555497"/>
    <n v="4.70655360288674E-4"/>
    <n v="50.027144327574298"/>
    <n v="89.2"/>
    <n v="0.23089002224015842"/>
    <n v="30"/>
    <n v="1"/>
  </r>
  <r>
    <x v="0"/>
    <s v="2025-02-11 20:45:35"/>
    <n v="30"/>
    <x v="0"/>
    <x v="5"/>
    <x v="0"/>
    <n v="0.29373510437470302"/>
    <n v="2E+20"/>
    <n v="0"/>
    <n v="4.4687886393627103"/>
    <n v="107"/>
    <s v="Unnamed ProjectCustomerWait TimeEntity"/>
    <n v="30"/>
    <n v="0.26057187234121143"/>
    <n v="0.25933997838124573"/>
    <n v="0.95"/>
    <n v="9.6839139434270138E-2"/>
    <n v="0"/>
    <n v="1.0392774066152699"/>
    <n v="0"/>
    <n v="16.124525851722701"/>
    <n v="89.2"/>
    <n v="9.6839139434270138E-2"/>
    <n v="30"/>
    <n v="1"/>
  </r>
  <r>
    <x v="0"/>
    <s v="2025-02-11 20:45:35"/>
    <n v="1"/>
    <x v="1"/>
    <x v="6"/>
    <x v="1"/>
    <n v="8.5254200202663305E-2"/>
    <n v="2E+20"/>
    <n v="0"/>
    <n v="4.4495297618125296"/>
    <n v="82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"/>
    <x v="1"/>
    <x v="6"/>
    <x v="1"/>
    <n v="0.70730683011541096"/>
    <n v="2E+20"/>
    <n v="0"/>
    <n v="12.8230075605272"/>
    <n v="101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3"/>
    <x v="1"/>
    <x v="6"/>
    <x v="1"/>
    <n v="0.93247184712981601"/>
    <n v="2E+20"/>
    <n v="0"/>
    <n v="13.894302129953299"/>
    <n v="110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4"/>
    <x v="1"/>
    <x v="6"/>
    <x v="1"/>
    <n v="0.111129081432327"/>
    <n v="2E+20"/>
    <n v="0"/>
    <n v="4.25707296902696"/>
    <n v="9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5"/>
    <x v="1"/>
    <x v="6"/>
    <x v="1"/>
    <n v="0.184120857043547"/>
    <n v="2E+20"/>
    <n v="0"/>
    <n v="6.1408431075599301"/>
    <n v="96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6"/>
    <x v="1"/>
    <x v="6"/>
    <x v="1"/>
    <n v="0.124894354914993"/>
    <n v="2E+20"/>
    <n v="0"/>
    <n v="2.99613906314136"/>
    <n v="95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7"/>
    <x v="1"/>
    <x v="6"/>
    <x v="1"/>
    <n v="0.27262403172034899"/>
    <n v="2E+20"/>
    <n v="0"/>
    <n v="6.5658027409620798"/>
    <n v="92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8"/>
    <x v="1"/>
    <x v="6"/>
    <x v="1"/>
    <n v="0"/>
    <n v="2E+20"/>
    <n v="0"/>
    <n v="0"/>
    <n v="72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9"/>
    <x v="1"/>
    <x v="6"/>
    <x v="1"/>
    <n v="4.6504229246941801E-2"/>
    <n v="2E+20"/>
    <n v="0"/>
    <n v="2.4570845827856198"/>
    <n v="87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0"/>
    <x v="1"/>
    <x v="6"/>
    <x v="1"/>
    <n v="0.12730972945107899"/>
    <n v="2E+20"/>
    <n v="0"/>
    <n v="5.0666039601639499"/>
    <n v="81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1"/>
    <x v="1"/>
    <x v="6"/>
    <x v="1"/>
    <n v="0.17709037764575"/>
    <n v="2E+20"/>
    <n v="0"/>
    <n v="8.4609108090532992"/>
    <n v="9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2"/>
    <x v="1"/>
    <x v="6"/>
    <x v="1"/>
    <n v="1.0392774066152699"/>
    <n v="2E+20"/>
    <n v="0"/>
    <n v="16.124525851722701"/>
    <n v="8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3"/>
    <x v="1"/>
    <x v="6"/>
    <x v="1"/>
    <n v="0.201161024960021"/>
    <n v="2E+20"/>
    <n v="0"/>
    <n v="2.9108139443508998"/>
    <n v="9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4"/>
    <x v="1"/>
    <x v="6"/>
    <x v="1"/>
    <n v="4.4432949957224403E-2"/>
    <n v="2E+20"/>
    <n v="0"/>
    <n v="1.2472277477364699"/>
    <n v="92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5"/>
    <x v="1"/>
    <x v="6"/>
    <x v="1"/>
    <n v="0.110228503926126"/>
    <n v="2E+20"/>
    <n v="0"/>
    <n v="3.8206562369725199"/>
    <n v="86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6"/>
    <x v="1"/>
    <x v="6"/>
    <x v="1"/>
    <n v="0.39152489867881202"/>
    <n v="2E+20"/>
    <n v="0"/>
    <n v="5.9316083813827696"/>
    <n v="96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7"/>
    <x v="1"/>
    <x v="6"/>
    <x v="1"/>
    <n v="7.8008724755938993E-2"/>
    <n v="2E+20"/>
    <n v="0"/>
    <n v="2.6520428653955399"/>
    <n v="71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8"/>
    <x v="1"/>
    <x v="6"/>
    <x v="1"/>
    <n v="0.15965408678031701"/>
    <n v="2E+20"/>
    <n v="0"/>
    <n v="4.4079349209642897"/>
    <n v="101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19"/>
    <x v="1"/>
    <x v="6"/>
    <x v="1"/>
    <n v="0.21724916477185899"/>
    <n v="2E+20"/>
    <n v="0"/>
    <n v="4.7665481218963901"/>
    <n v="83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0"/>
    <x v="1"/>
    <x v="6"/>
    <x v="1"/>
    <n v="2.46953259336503E-2"/>
    <n v="2E+20"/>
    <n v="0"/>
    <n v="1.099644473548"/>
    <n v="85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1"/>
    <x v="1"/>
    <x v="6"/>
    <x v="1"/>
    <n v="5.6029947663611801E-2"/>
    <n v="2E+20"/>
    <n v="0"/>
    <n v="4.1599544068930099"/>
    <n v="93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2"/>
    <x v="1"/>
    <x v="6"/>
    <x v="1"/>
    <n v="0.30019489732566201"/>
    <n v="2E+20"/>
    <n v="0"/>
    <n v="9.6793682639254595"/>
    <n v="83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3"/>
    <x v="1"/>
    <x v="6"/>
    <x v="1"/>
    <n v="0.46296035509344702"/>
    <n v="2E+20"/>
    <n v="0"/>
    <n v="7.5359461918169499"/>
    <n v="93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4"/>
    <x v="1"/>
    <x v="6"/>
    <x v="1"/>
    <n v="2.7320627307288198E-2"/>
    <n v="2E+20"/>
    <n v="0"/>
    <n v="1.32750215019107"/>
    <n v="7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5"/>
    <x v="1"/>
    <x v="6"/>
    <x v="1"/>
    <n v="0.106428602447853"/>
    <n v="2E+20"/>
    <n v="0"/>
    <n v="5.2658504152593899"/>
    <n v="88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6"/>
    <x v="1"/>
    <x v="6"/>
    <x v="1"/>
    <n v="0.50214519046939499"/>
    <n v="2E+20"/>
    <n v="0"/>
    <n v="5.6825219428342297"/>
    <n v="83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7"/>
    <x v="1"/>
    <x v="6"/>
    <x v="1"/>
    <n v="0.32925356930440802"/>
    <n v="2E+20"/>
    <n v="0"/>
    <n v="3.5829480478650502"/>
    <n v="90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8"/>
    <x v="1"/>
    <x v="6"/>
    <x v="1"/>
    <n v="0.23829424830204199"/>
    <n v="2E+20"/>
    <n v="0"/>
    <n v="8.7763864849678193"/>
    <n v="99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29"/>
    <x v="1"/>
    <x v="6"/>
    <x v="1"/>
    <n v="0.40126179263166201"/>
    <n v="2E+20"/>
    <n v="0"/>
    <n v="5.6431170430288402"/>
    <n v="94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  <r>
    <x v="0"/>
    <s v="2025-02-11 20:45:35"/>
    <n v="30"/>
    <x v="1"/>
    <x v="6"/>
    <x v="1"/>
    <n v="0.29267050420859297"/>
    <n v="2E+20"/>
    <n v="0"/>
    <n v="4.4687886393627103"/>
    <n v="108"/>
    <s v="Unnamed ProjectService Process.QueueWaiting TimeQueue"/>
    <n v="30"/>
    <n v="0.25838324533453522"/>
    <n v="0.25671226678241804"/>
    <n v="0.95"/>
    <n v="9.5857935797637434E-2"/>
    <n v="0"/>
    <n v="1.0392774066152699"/>
    <n v="0"/>
    <n v="16.124525851722701"/>
    <n v="90.033333333333331"/>
    <n v="9.5857935797637434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5:35"/>
    <n v="1"/>
    <x v="0"/>
    <x v="0"/>
    <x v="0"/>
    <n v="82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"/>
    <x v="1"/>
    <x v="1"/>
    <x v="0"/>
    <n v="8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"/>
    <x v="2"/>
    <x v="2"/>
    <x v="1"/>
    <n v="82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"/>
    <x v="3"/>
    <x v="3"/>
    <x v="1"/>
    <n v="0.348447386401341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"/>
    <x v="4"/>
    <x v="1"/>
    <x v="2"/>
    <n v="8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"/>
    <x v="0"/>
    <x v="0"/>
    <x v="0"/>
    <n v="101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"/>
    <x v="1"/>
    <x v="1"/>
    <x v="0"/>
    <n v="100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"/>
    <x v="2"/>
    <x v="2"/>
    <x v="1"/>
    <n v="101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"/>
    <x v="3"/>
    <x v="3"/>
    <x v="1"/>
    <n v="0.410277464156077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"/>
    <x v="4"/>
    <x v="1"/>
    <x v="2"/>
    <n v="100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3"/>
    <x v="0"/>
    <x v="0"/>
    <x v="0"/>
    <n v="110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3"/>
    <x v="1"/>
    <x v="1"/>
    <x v="0"/>
    <n v="108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3"/>
    <x v="2"/>
    <x v="2"/>
    <x v="1"/>
    <n v="110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3"/>
    <x v="3"/>
    <x v="3"/>
    <x v="1"/>
    <n v="0.436061989219752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3"/>
    <x v="4"/>
    <x v="1"/>
    <x v="2"/>
    <n v="108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4"/>
    <x v="0"/>
    <x v="0"/>
    <x v="0"/>
    <n v="9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4"/>
    <x v="1"/>
    <x v="1"/>
    <x v="0"/>
    <n v="92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4"/>
    <x v="2"/>
    <x v="2"/>
    <x v="1"/>
    <n v="9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4"/>
    <x v="3"/>
    <x v="3"/>
    <x v="1"/>
    <n v="0.365198985587900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4"/>
    <x v="4"/>
    <x v="1"/>
    <x v="2"/>
    <n v="92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5"/>
    <x v="0"/>
    <x v="0"/>
    <x v="0"/>
    <n v="96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5"/>
    <x v="1"/>
    <x v="1"/>
    <x v="0"/>
    <n v="96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5"/>
    <x v="2"/>
    <x v="2"/>
    <x v="1"/>
    <n v="96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5"/>
    <x v="3"/>
    <x v="3"/>
    <x v="1"/>
    <n v="0.307964968412221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5"/>
    <x v="4"/>
    <x v="1"/>
    <x v="2"/>
    <n v="96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6"/>
    <x v="0"/>
    <x v="0"/>
    <x v="0"/>
    <n v="95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6"/>
    <x v="1"/>
    <x v="1"/>
    <x v="0"/>
    <n v="95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6"/>
    <x v="2"/>
    <x v="2"/>
    <x v="1"/>
    <n v="95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6"/>
    <x v="3"/>
    <x v="3"/>
    <x v="1"/>
    <n v="0.370079363518007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6"/>
    <x v="4"/>
    <x v="1"/>
    <x v="2"/>
    <n v="95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7"/>
    <x v="0"/>
    <x v="0"/>
    <x v="0"/>
    <n v="92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7"/>
    <x v="1"/>
    <x v="1"/>
    <x v="0"/>
    <n v="9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7"/>
    <x v="2"/>
    <x v="2"/>
    <x v="1"/>
    <n v="92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7"/>
    <x v="3"/>
    <x v="3"/>
    <x v="1"/>
    <n v="0.38631188170430197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7"/>
    <x v="4"/>
    <x v="1"/>
    <x v="2"/>
    <n v="9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8"/>
    <x v="0"/>
    <x v="0"/>
    <x v="0"/>
    <n v="72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8"/>
    <x v="1"/>
    <x v="1"/>
    <x v="0"/>
    <n v="72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8"/>
    <x v="2"/>
    <x v="2"/>
    <x v="1"/>
    <n v="72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8"/>
    <x v="3"/>
    <x v="3"/>
    <x v="1"/>
    <n v="0.31170579308282897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8"/>
    <x v="4"/>
    <x v="1"/>
    <x v="2"/>
    <n v="72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9"/>
    <x v="0"/>
    <x v="0"/>
    <x v="0"/>
    <n v="87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9"/>
    <x v="1"/>
    <x v="1"/>
    <x v="0"/>
    <n v="86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9"/>
    <x v="2"/>
    <x v="2"/>
    <x v="1"/>
    <n v="87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9"/>
    <x v="3"/>
    <x v="3"/>
    <x v="1"/>
    <n v="0.29847891300500701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9"/>
    <x v="4"/>
    <x v="1"/>
    <x v="2"/>
    <n v="86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0"/>
    <x v="0"/>
    <x v="0"/>
    <x v="0"/>
    <n v="81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0"/>
    <x v="1"/>
    <x v="1"/>
    <x v="0"/>
    <n v="8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0"/>
    <x v="2"/>
    <x v="2"/>
    <x v="1"/>
    <n v="81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0"/>
    <x v="3"/>
    <x v="3"/>
    <x v="1"/>
    <n v="0.248961473715994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0"/>
    <x v="4"/>
    <x v="1"/>
    <x v="2"/>
    <n v="8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1"/>
    <x v="0"/>
    <x v="0"/>
    <x v="0"/>
    <n v="9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1"/>
    <x v="1"/>
    <x v="1"/>
    <x v="0"/>
    <n v="94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1"/>
    <x v="2"/>
    <x v="2"/>
    <x v="1"/>
    <n v="9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1"/>
    <x v="3"/>
    <x v="3"/>
    <x v="1"/>
    <n v="0.32817845054679201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1"/>
    <x v="4"/>
    <x v="1"/>
    <x v="2"/>
    <n v="94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2"/>
    <x v="0"/>
    <x v="0"/>
    <x v="0"/>
    <n v="8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2"/>
    <x v="1"/>
    <x v="1"/>
    <x v="0"/>
    <n v="84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2"/>
    <x v="2"/>
    <x v="2"/>
    <x v="1"/>
    <n v="8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2"/>
    <x v="3"/>
    <x v="3"/>
    <x v="1"/>
    <n v="0.321221994400867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2"/>
    <x v="4"/>
    <x v="1"/>
    <x v="2"/>
    <n v="84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3"/>
    <x v="0"/>
    <x v="0"/>
    <x v="0"/>
    <n v="9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3"/>
    <x v="1"/>
    <x v="1"/>
    <x v="0"/>
    <n v="93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3"/>
    <x v="2"/>
    <x v="2"/>
    <x v="1"/>
    <n v="9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3"/>
    <x v="3"/>
    <x v="3"/>
    <x v="1"/>
    <n v="0.369840190317180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3"/>
    <x v="4"/>
    <x v="1"/>
    <x v="2"/>
    <n v="93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4"/>
    <x v="0"/>
    <x v="0"/>
    <x v="0"/>
    <n v="92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4"/>
    <x v="1"/>
    <x v="1"/>
    <x v="0"/>
    <n v="9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4"/>
    <x v="2"/>
    <x v="2"/>
    <x v="1"/>
    <n v="92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4"/>
    <x v="3"/>
    <x v="3"/>
    <x v="1"/>
    <n v="0.306546901449637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4"/>
    <x v="4"/>
    <x v="1"/>
    <x v="2"/>
    <n v="9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5"/>
    <x v="0"/>
    <x v="0"/>
    <x v="0"/>
    <n v="86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5"/>
    <x v="1"/>
    <x v="1"/>
    <x v="0"/>
    <n v="86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5"/>
    <x v="2"/>
    <x v="2"/>
    <x v="1"/>
    <n v="86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5"/>
    <x v="3"/>
    <x v="3"/>
    <x v="1"/>
    <n v="0.32660810172420301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5"/>
    <x v="4"/>
    <x v="1"/>
    <x v="2"/>
    <n v="86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6"/>
    <x v="0"/>
    <x v="0"/>
    <x v="0"/>
    <n v="96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6"/>
    <x v="1"/>
    <x v="1"/>
    <x v="0"/>
    <n v="95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6"/>
    <x v="2"/>
    <x v="2"/>
    <x v="1"/>
    <n v="96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6"/>
    <x v="3"/>
    <x v="3"/>
    <x v="1"/>
    <n v="0.44974763418808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6"/>
    <x v="4"/>
    <x v="1"/>
    <x v="2"/>
    <n v="95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7"/>
    <x v="0"/>
    <x v="0"/>
    <x v="0"/>
    <n v="71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7"/>
    <x v="1"/>
    <x v="1"/>
    <x v="0"/>
    <n v="69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7"/>
    <x v="2"/>
    <x v="2"/>
    <x v="1"/>
    <n v="71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7"/>
    <x v="3"/>
    <x v="3"/>
    <x v="1"/>
    <n v="0.251544911174531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7"/>
    <x v="4"/>
    <x v="1"/>
    <x v="2"/>
    <n v="69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8"/>
    <x v="0"/>
    <x v="0"/>
    <x v="0"/>
    <n v="101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8"/>
    <x v="1"/>
    <x v="1"/>
    <x v="0"/>
    <n v="100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8"/>
    <x v="2"/>
    <x v="2"/>
    <x v="1"/>
    <n v="101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8"/>
    <x v="3"/>
    <x v="3"/>
    <x v="1"/>
    <n v="0.423249745174142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8"/>
    <x v="4"/>
    <x v="1"/>
    <x v="2"/>
    <n v="100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19"/>
    <x v="0"/>
    <x v="0"/>
    <x v="0"/>
    <n v="83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19"/>
    <x v="1"/>
    <x v="1"/>
    <x v="0"/>
    <n v="83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19"/>
    <x v="2"/>
    <x v="2"/>
    <x v="1"/>
    <n v="83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19"/>
    <x v="3"/>
    <x v="3"/>
    <x v="1"/>
    <n v="0.330939656994277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19"/>
    <x v="4"/>
    <x v="1"/>
    <x v="2"/>
    <n v="83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0"/>
    <x v="0"/>
    <x v="0"/>
    <x v="0"/>
    <n v="85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0"/>
    <x v="1"/>
    <x v="1"/>
    <x v="0"/>
    <n v="84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0"/>
    <x v="2"/>
    <x v="2"/>
    <x v="1"/>
    <n v="85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0"/>
    <x v="3"/>
    <x v="3"/>
    <x v="1"/>
    <n v="0.295305272561087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0"/>
    <x v="4"/>
    <x v="1"/>
    <x v="2"/>
    <n v="84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1"/>
    <x v="0"/>
    <x v="0"/>
    <x v="0"/>
    <n v="93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1"/>
    <x v="1"/>
    <x v="1"/>
    <x v="0"/>
    <n v="93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1"/>
    <x v="2"/>
    <x v="2"/>
    <x v="1"/>
    <n v="93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1"/>
    <x v="3"/>
    <x v="3"/>
    <x v="1"/>
    <n v="0.293340342820918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1"/>
    <x v="4"/>
    <x v="1"/>
    <x v="2"/>
    <n v="93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2"/>
    <x v="0"/>
    <x v="0"/>
    <x v="0"/>
    <n v="83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2"/>
    <x v="1"/>
    <x v="1"/>
    <x v="0"/>
    <n v="8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2"/>
    <x v="2"/>
    <x v="2"/>
    <x v="1"/>
    <n v="83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2"/>
    <x v="3"/>
    <x v="3"/>
    <x v="1"/>
    <n v="0.353775938363185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2"/>
    <x v="4"/>
    <x v="1"/>
    <x v="2"/>
    <n v="8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3"/>
    <x v="0"/>
    <x v="0"/>
    <x v="0"/>
    <n v="93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3"/>
    <x v="1"/>
    <x v="1"/>
    <x v="0"/>
    <n v="93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3"/>
    <x v="2"/>
    <x v="2"/>
    <x v="1"/>
    <n v="93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3"/>
    <x v="3"/>
    <x v="3"/>
    <x v="1"/>
    <n v="0.346612155578868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3"/>
    <x v="4"/>
    <x v="1"/>
    <x v="2"/>
    <n v="93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4"/>
    <x v="0"/>
    <x v="0"/>
    <x v="0"/>
    <n v="7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4"/>
    <x v="1"/>
    <x v="1"/>
    <x v="0"/>
    <n v="73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4"/>
    <x v="2"/>
    <x v="2"/>
    <x v="1"/>
    <n v="7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4"/>
    <x v="3"/>
    <x v="3"/>
    <x v="1"/>
    <n v="0.289910419922662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4"/>
    <x v="4"/>
    <x v="1"/>
    <x v="2"/>
    <n v="73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5"/>
    <x v="0"/>
    <x v="0"/>
    <x v="0"/>
    <n v="88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5"/>
    <x v="1"/>
    <x v="1"/>
    <x v="0"/>
    <n v="88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5"/>
    <x v="2"/>
    <x v="2"/>
    <x v="1"/>
    <n v="88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5"/>
    <x v="3"/>
    <x v="3"/>
    <x v="1"/>
    <n v="0.312574683057051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5"/>
    <x v="4"/>
    <x v="1"/>
    <x v="2"/>
    <n v="88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6"/>
    <x v="0"/>
    <x v="0"/>
    <x v="0"/>
    <n v="83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6"/>
    <x v="1"/>
    <x v="1"/>
    <x v="0"/>
    <n v="82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6"/>
    <x v="2"/>
    <x v="2"/>
    <x v="1"/>
    <n v="83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6"/>
    <x v="3"/>
    <x v="3"/>
    <x v="1"/>
    <n v="0.31723283416524001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6"/>
    <x v="4"/>
    <x v="1"/>
    <x v="2"/>
    <n v="82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7"/>
    <x v="0"/>
    <x v="0"/>
    <x v="0"/>
    <n v="90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7"/>
    <x v="1"/>
    <x v="1"/>
    <x v="0"/>
    <n v="89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7"/>
    <x v="2"/>
    <x v="2"/>
    <x v="1"/>
    <n v="90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7"/>
    <x v="3"/>
    <x v="3"/>
    <x v="1"/>
    <n v="0.36375375139139399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7"/>
    <x v="4"/>
    <x v="1"/>
    <x v="2"/>
    <n v="89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8"/>
    <x v="0"/>
    <x v="0"/>
    <x v="0"/>
    <n v="99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8"/>
    <x v="1"/>
    <x v="1"/>
    <x v="0"/>
    <n v="98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8"/>
    <x v="2"/>
    <x v="2"/>
    <x v="1"/>
    <n v="99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8"/>
    <x v="3"/>
    <x v="3"/>
    <x v="1"/>
    <n v="0.37153193351603298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8"/>
    <x v="4"/>
    <x v="1"/>
    <x v="2"/>
    <n v="98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29"/>
    <x v="0"/>
    <x v="0"/>
    <x v="0"/>
    <n v="94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29"/>
    <x v="1"/>
    <x v="1"/>
    <x v="0"/>
    <n v="91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29"/>
    <x v="2"/>
    <x v="2"/>
    <x v="1"/>
    <n v="94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29"/>
    <x v="3"/>
    <x v="3"/>
    <x v="1"/>
    <n v="0.368821339213713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29"/>
    <x v="4"/>
    <x v="1"/>
    <x v="2"/>
    <n v="91"/>
    <n v="0"/>
    <s v="Unnamed ProjectSystem.NumberOutNumber OutSystem"/>
    <n v="30"/>
    <n v="89.2"/>
    <n v="9.3085055654529505"/>
    <n v="0.95"/>
    <n v="3.4758531021870596"/>
    <n v="69"/>
    <n v="108"/>
  </r>
  <r>
    <x v="0"/>
    <s v="2025-02-11 20:45:35"/>
    <n v="30"/>
    <x v="0"/>
    <x v="0"/>
    <x v="0"/>
    <n v="108"/>
    <n v="0"/>
    <s v="Unnamed ProjectCustomer.NumberInNumber InEntity"/>
    <n v="30"/>
    <n v="90.033333333333331"/>
    <n v="9.3899555040381504"/>
    <n v="0.95"/>
    <n v="3.5062670090933432"/>
    <n v="71"/>
    <n v="110"/>
  </r>
  <r>
    <x v="0"/>
    <s v="2025-02-11 20:45:35"/>
    <n v="30"/>
    <x v="1"/>
    <x v="1"/>
    <x v="0"/>
    <n v="107"/>
    <n v="0"/>
    <s v="Unnamed ProjectCustomer.NumberOutNumber OutEntity"/>
    <n v="30"/>
    <n v="89.2"/>
    <n v="9.3085055654529505"/>
    <n v="0.95"/>
    <n v="3.4758531021870596"/>
    <n v="69"/>
    <n v="108"/>
  </r>
  <r>
    <x v="0"/>
    <s v="2025-02-11 20:45:35"/>
    <n v="30"/>
    <x v="2"/>
    <x v="2"/>
    <x v="1"/>
    <n v="108"/>
    <n v="0"/>
    <s v="Unnamed ProjectService Counter.NumberSeizedTotal Number SeizedResource"/>
    <n v="30"/>
    <n v="90.033333333333331"/>
    <n v="9.3899555040381504"/>
    <n v="0.95"/>
    <n v="3.5062670090933432"/>
    <n v="71"/>
    <n v="110"/>
  </r>
  <r>
    <x v="0"/>
    <s v="2025-02-11 20:45:35"/>
    <n v="30"/>
    <x v="3"/>
    <x v="3"/>
    <x v="1"/>
    <n v="0.42242672292643302"/>
    <n v="0"/>
    <s v="Unnamed ProjectService Counter.ScheduledUtilizationScheduled UtilizationResource"/>
    <n v="30"/>
    <n v="0.34422170660965823"/>
    <n v="5.1246736363817387E-2"/>
    <n v="0.95"/>
    <n v="1.9135845847073889E-2"/>
    <n v="0.248961473715994"/>
    <n v="0.449747634188089"/>
  </r>
  <r>
    <x v="0"/>
    <s v="2025-02-11 20:45:35"/>
    <n v="30"/>
    <x v="4"/>
    <x v="1"/>
    <x v="2"/>
    <n v="107"/>
    <n v="0"/>
    <s v="Unnamed ProjectSystem.NumberOutNumber OutSystem"/>
    <n v="30"/>
    <n v="89.2"/>
    <n v="9.3085055654529505"/>
    <n v="0.95"/>
    <n v="3.4758531021870596"/>
    <n v="69"/>
    <n v="10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5:35"/>
    <n v="1"/>
    <x v="0"/>
    <x v="0"/>
    <x v="0"/>
    <n v="8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"/>
    <x v="0"/>
    <x v="0"/>
    <x v="0"/>
    <n v="100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"/>
    <x v="1"/>
    <x v="0"/>
    <x v="0"/>
    <n v="6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3"/>
    <x v="0"/>
    <x v="0"/>
    <x v="0"/>
    <n v="108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3"/>
    <x v="1"/>
    <x v="0"/>
    <x v="0"/>
    <n v="8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4"/>
    <x v="0"/>
    <x v="0"/>
    <x v="0"/>
    <n v="92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4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5"/>
    <x v="0"/>
    <x v="0"/>
    <x v="0"/>
    <n v="96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5"/>
    <x v="1"/>
    <x v="0"/>
    <x v="0"/>
    <n v="1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6"/>
    <x v="0"/>
    <x v="0"/>
    <x v="0"/>
    <n v="95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6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7"/>
    <x v="0"/>
    <x v="0"/>
    <x v="0"/>
    <n v="9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7"/>
    <x v="1"/>
    <x v="0"/>
    <x v="0"/>
    <n v="1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8"/>
    <x v="0"/>
    <x v="0"/>
    <x v="0"/>
    <n v="72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8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9"/>
    <x v="0"/>
    <x v="0"/>
    <x v="0"/>
    <n v="86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9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0"/>
    <x v="0"/>
    <x v="0"/>
    <x v="0"/>
    <n v="8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0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1"/>
    <x v="0"/>
    <x v="0"/>
    <x v="0"/>
    <n v="94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1"/>
    <x v="1"/>
    <x v="0"/>
    <x v="0"/>
    <n v="1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2"/>
    <x v="0"/>
    <x v="0"/>
    <x v="0"/>
    <n v="84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2"/>
    <x v="1"/>
    <x v="0"/>
    <x v="0"/>
    <n v="6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3"/>
    <x v="0"/>
    <x v="0"/>
    <x v="0"/>
    <n v="93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3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4"/>
    <x v="0"/>
    <x v="0"/>
    <x v="0"/>
    <n v="9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4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5"/>
    <x v="0"/>
    <x v="0"/>
    <x v="0"/>
    <n v="86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5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6"/>
    <x v="0"/>
    <x v="0"/>
    <x v="0"/>
    <n v="95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6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7"/>
    <x v="0"/>
    <x v="0"/>
    <x v="0"/>
    <n v="69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7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8"/>
    <x v="0"/>
    <x v="0"/>
    <x v="0"/>
    <n v="100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8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19"/>
    <x v="0"/>
    <x v="0"/>
    <x v="0"/>
    <n v="83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19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0"/>
    <x v="0"/>
    <x v="0"/>
    <x v="0"/>
    <n v="84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0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1"/>
    <x v="0"/>
    <x v="0"/>
    <x v="0"/>
    <n v="93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1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2"/>
    <x v="0"/>
    <x v="0"/>
    <x v="0"/>
    <n v="8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2"/>
    <x v="1"/>
    <x v="0"/>
    <x v="0"/>
    <n v="2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3"/>
    <x v="0"/>
    <x v="0"/>
    <x v="0"/>
    <n v="93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3"/>
    <x v="1"/>
    <x v="0"/>
    <x v="0"/>
    <n v="2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4"/>
    <x v="0"/>
    <x v="0"/>
    <x v="0"/>
    <n v="73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4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5"/>
    <x v="0"/>
    <x v="0"/>
    <x v="0"/>
    <n v="88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5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6"/>
    <x v="0"/>
    <x v="0"/>
    <x v="0"/>
    <n v="82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6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7"/>
    <x v="0"/>
    <x v="0"/>
    <x v="0"/>
    <n v="89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7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8"/>
    <x v="0"/>
    <x v="0"/>
    <x v="0"/>
    <n v="98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8"/>
    <x v="1"/>
    <x v="0"/>
    <x v="0"/>
    <n v="1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29"/>
    <x v="0"/>
    <x v="0"/>
    <x v="0"/>
    <n v="91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29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  <r>
    <x v="0"/>
    <s v="2025-02-11 20:45:35"/>
    <n v="30"/>
    <x v="0"/>
    <x v="0"/>
    <x v="0"/>
    <n v="107"/>
    <s v="Unnamed Projectcustomer servedCountUser Specified"/>
    <n v="30"/>
    <n v="89.2"/>
    <n v="9.3085055654529505"/>
    <n v="0.95"/>
    <n v="3.4758531021870596"/>
    <n v="69"/>
    <n v="108"/>
  </r>
  <r>
    <x v="0"/>
    <s v="2025-02-11 20:45:35"/>
    <n v="30"/>
    <x v="1"/>
    <x v="0"/>
    <x v="0"/>
    <n v="0"/>
    <s v="Unnamed Projectwaiting time over 6minsCountUser Specified"/>
    <n v="30"/>
    <n v="0.93333333333333335"/>
    <n v="2.0499509385774854"/>
    <n v="0.95"/>
    <n v="0.76546426051785987"/>
    <n v="0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89.2</v>
      </c>
      <c r="O3" t="s">
        <v>66</v>
      </c>
      <c r="P3" t="s">
        <v>69</v>
      </c>
      <c r="Q3" t="s">
        <v>80</v>
      </c>
      <c r="R3" t="s">
        <v>71</v>
      </c>
      <c r="S3" s="5">
        <v>1.0774199852801944</v>
      </c>
      <c r="T3" s="5">
        <v>6.8034586911528527E-2</v>
      </c>
      <c r="U3" s="5">
        <v>0.1821999699903237</v>
      </c>
      <c r="V3" s="5">
        <v>0.76489143622298805</v>
      </c>
      <c r="W3" s="5">
        <v>1.49813393651904</v>
      </c>
      <c r="X3" s="5">
        <v>0</v>
      </c>
      <c r="Y3" s="5">
        <v>8</v>
      </c>
      <c r="AA3" t="s">
        <v>66</v>
      </c>
      <c r="AB3" t="s">
        <v>87</v>
      </c>
      <c r="AC3" t="s">
        <v>88</v>
      </c>
      <c r="AD3" t="s">
        <v>89</v>
      </c>
      <c r="AE3" s="5">
        <v>89.2</v>
      </c>
      <c r="AF3" s="5">
        <v>3.4758531021870596</v>
      </c>
      <c r="AG3" s="5">
        <v>9.3085055654529505</v>
      </c>
      <c r="AH3" s="5">
        <v>69</v>
      </c>
      <c r="AI3" s="5">
        <v>108</v>
      </c>
      <c r="AK3" t="s">
        <v>66</v>
      </c>
      <c r="AL3" t="s">
        <v>99</v>
      </c>
      <c r="AM3" t="s">
        <v>94</v>
      </c>
      <c r="AN3" t="s">
        <v>100</v>
      </c>
      <c r="AO3" s="5">
        <v>89.2</v>
      </c>
      <c r="AP3" s="5">
        <v>3.4758531021870596</v>
      </c>
      <c r="AQ3" s="5">
        <v>9.3085055654529505</v>
      </c>
      <c r="AR3" s="5">
        <v>69</v>
      </c>
      <c r="AS3" s="5">
        <v>108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89.2</v>
      </c>
      <c r="P4" t="s">
        <v>81</v>
      </c>
      <c r="Q4" t="s">
        <v>82</v>
      </c>
      <c r="R4" t="s">
        <v>83</v>
      </c>
      <c r="S4" s="5">
        <v>0.34422170660965817</v>
      </c>
      <c r="T4" s="5">
        <v>1.9135845847073889E-2</v>
      </c>
      <c r="U4" s="5">
        <v>5.1246736363817387E-2</v>
      </c>
      <c r="V4" s="5">
        <v>0.248961473715994</v>
      </c>
      <c r="W4" s="5">
        <v>0.449747634188089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0.93333333333333335</v>
      </c>
      <c r="AF4" s="5">
        <v>0.76546426051785987</v>
      </c>
      <c r="AG4" s="5">
        <v>2.0499509385774854</v>
      </c>
      <c r="AH4" s="5">
        <v>0</v>
      </c>
      <c r="AI4" s="5">
        <v>8</v>
      </c>
      <c r="AL4" t="s">
        <v>91</v>
      </c>
      <c r="AM4" t="s">
        <v>92</v>
      </c>
      <c r="AN4" t="s">
        <v>71</v>
      </c>
      <c r="AO4" s="5">
        <v>90.033333333333331</v>
      </c>
      <c r="AP4" s="5">
        <v>3.5062670090933432</v>
      </c>
      <c r="AQ4" s="5">
        <v>9.3899555040381504</v>
      </c>
      <c r="AR4" s="5">
        <v>71</v>
      </c>
      <c r="AS4" s="5">
        <v>110</v>
      </c>
    </row>
    <row r="5" spans="1:52" x14ac:dyDescent="0.3">
      <c r="C5" t="s">
        <v>73</v>
      </c>
      <c r="D5" t="s">
        <v>71</v>
      </c>
      <c r="E5" s="5">
        <v>6.4663683430156604</v>
      </c>
      <c r="F5" s="5">
        <v>1</v>
      </c>
      <c r="G5" s="5">
        <v>0.27302045169293909</v>
      </c>
      <c r="H5" s="5">
        <v>0.73116219798446225</v>
      </c>
      <c r="I5" s="5">
        <v>5.1065392037709501</v>
      </c>
      <c r="J5" s="5">
        <v>8.0125270750572994</v>
      </c>
      <c r="K5" s="5">
        <v>4.70655360288674E-4</v>
      </c>
      <c r="L5" s="5">
        <v>50.027144327574298</v>
      </c>
      <c r="M5" s="5">
        <v>89.2</v>
      </c>
      <c r="Q5" t="s">
        <v>84</v>
      </c>
      <c r="R5" t="s">
        <v>83</v>
      </c>
      <c r="S5" s="5">
        <v>1.0326651198289747</v>
      </c>
      <c r="T5" s="5">
        <v>5.740753754122279E-2</v>
      </c>
      <c r="U5" s="5">
        <v>0.15374020909145517</v>
      </c>
      <c r="V5" s="5">
        <v>0.74688442114798104</v>
      </c>
      <c r="W5" s="5">
        <v>1.34924290256427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89.2</v>
      </c>
      <c r="AP5" s="5">
        <v>3.4758531021870596</v>
      </c>
      <c r="AQ5" s="5">
        <v>9.3085055654529505</v>
      </c>
      <c r="AR5" s="5">
        <v>69</v>
      </c>
      <c r="AS5" s="5">
        <v>108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89.2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90.033333333333331</v>
      </c>
      <c r="AP6" s="5">
        <v>3.5062670090933432</v>
      </c>
      <c r="AQ6" s="5">
        <v>9.3899555040381504</v>
      </c>
      <c r="AR6" s="5">
        <v>71</v>
      </c>
      <c r="AS6" s="5">
        <v>110</v>
      </c>
    </row>
    <row r="7" spans="1:52" x14ac:dyDescent="0.3">
      <c r="C7" t="s">
        <v>75</v>
      </c>
      <c r="D7" t="s">
        <v>71</v>
      </c>
      <c r="E7" s="5">
        <v>6.2057964706744482</v>
      </c>
      <c r="F7" s="5">
        <v>1</v>
      </c>
      <c r="G7" s="5">
        <v>0.23089002224015842</v>
      </c>
      <c r="H7" s="5">
        <v>0.61833483574945536</v>
      </c>
      <c r="I7" s="5">
        <v>4.9792294743198697</v>
      </c>
      <c r="J7" s="5">
        <v>7.6168808616555497</v>
      </c>
      <c r="K7" s="5">
        <v>4.70655360288674E-4</v>
      </c>
      <c r="L7" s="5">
        <v>50.027144327574298</v>
      </c>
      <c r="M7" s="5">
        <v>89.2</v>
      </c>
      <c r="P7" t="s">
        <v>77</v>
      </c>
      <c r="Q7" t="s">
        <v>86</v>
      </c>
      <c r="R7" t="s">
        <v>79</v>
      </c>
      <c r="S7" s="5">
        <v>4.4754865451219213E-2</v>
      </c>
      <c r="T7" s="5">
        <v>1.7250343257215396E-2</v>
      </c>
      <c r="U7" s="5">
        <v>4.6197267690837436E-2</v>
      </c>
      <c r="V7" s="5">
        <v>0</v>
      </c>
      <c r="W7" s="5">
        <v>0.18994796885977699</v>
      </c>
      <c r="X7" s="5">
        <v>0</v>
      </c>
      <c r="Y7" s="5">
        <v>5</v>
      </c>
      <c r="AL7" t="s">
        <v>97</v>
      </c>
      <c r="AM7" t="s">
        <v>98</v>
      </c>
      <c r="AN7" t="s">
        <v>83</v>
      </c>
      <c r="AO7" s="5">
        <v>0.34422170660965823</v>
      </c>
      <c r="AP7" s="5">
        <v>1.9135845847073889E-2</v>
      </c>
      <c r="AQ7" s="5">
        <v>5.1246736363817387E-2</v>
      </c>
      <c r="AR7" s="5">
        <v>0.248961473715994</v>
      </c>
      <c r="AS7" s="5">
        <v>0.449747634188089</v>
      </c>
    </row>
    <row r="8" spans="1:52" x14ac:dyDescent="0.3">
      <c r="C8" t="s">
        <v>76</v>
      </c>
      <c r="D8" t="s">
        <v>71</v>
      </c>
      <c r="E8" s="5">
        <v>0.26057187234121143</v>
      </c>
      <c r="F8" s="5">
        <v>1</v>
      </c>
      <c r="G8" s="5">
        <v>9.6839139434270138E-2</v>
      </c>
      <c r="H8" s="5">
        <v>0.25933997838124573</v>
      </c>
      <c r="I8" s="5">
        <v>0</v>
      </c>
      <c r="J8" s="5">
        <v>1.0392774066152699</v>
      </c>
      <c r="K8" s="5">
        <v>0</v>
      </c>
      <c r="L8" s="5">
        <v>16.124525851722701</v>
      </c>
      <c r="M8" s="5">
        <v>89.2</v>
      </c>
    </row>
    <row r="9" spans="1:52" x14ac:dyDescent="0.3">
      <c r="B9" t="s">
        <v>77</v>
      </c>
      <c r="C9" t="s">
        <v>78</v>
      </c>
      <c r="D9" t="s">
        <v>79</v>
      </c>
      <c r="E9" s="5">
        <v>0.25838324533453522</v>
      </c>
      <c r="F9" s="5">
        <v>1</v>
      </c>
      <c r="G9" s="5">
        <v>9.5857935797637434E-2</v>
      </c>
      <c r="H9" s="5">
        <v>0.25671226678241804</v>
      </c>
      <c r="I9" s="5">
        <v>0</v>
      </c>
      <c r="J9" s="5">
        <v>1.0392774066152699</v>
      </c>
      <c r="K9" s="5">
        <v>0</v>
      </c>
      <c r="L9" s="5">
        <v>16.124525851722701</v>
      </c>
      <c r="M9" s="5">
        <v>90.033333333333331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81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89.2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81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89.2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7.0277336065881499</v>
      </c>
      <c r="H4">
        <v>2E+20</v>
      </c>
      <c r="I4">
        <v>1.8606074784770499E-2</v>
      </c>
      <c r="J4">
        <v>30.8870424995606</v>
      </c>
      <c r="K4">
        <v>81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6.4663683430156604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5.1065392037709501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8.0125270750572994</v>
      </c>
      <c r="T4" cm="1">
        <f t="array" ref="T4">MIN(IF((DiscreteStatsTable[GroupByKey]=DiscreteStatsTable[[#This Row],[GroupByKey]]),(DiscreteStatsTable[GroupByKey]=DiscreteStatsTable[[#This Row],[GroupByKey]])*DiscreteStatsTable[Minimum]))</f>
        <v>4.70655360288674E-4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50.027144327574298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89.2</v>
      </c>
      <c r="W4">
        <f>IF((DiscreteStatsTable[[#This Row],[RepsRequested]]&gt;1),DiscreteStatsTable[[#This Row],[HalfWidth]],DiscreteStatsTable[[#This Row],[BatchMeansHalfWidth]])</f>
        <v>0.27302045169293909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81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89.2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6.9414268853953303</v>
      </c>
      <c r="H6">
        <v>2E+20</v>
      </c>
      <c r="I6">
        <v>1.8606074784770499E-2</v>
      </c>
      <c r="J6">
        <v>30.8870424995606</v>
      </c>
      <c r="K6">
        <v>81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6.2057964706744482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4.9792294743198697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7.6168808616555497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4.70655360288674E-4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50.027144327574298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89.2</v>
      </c>
      <c r="W6">
        <f>IF((DiscreteStatsTable[[#This Row],[RepsRequested]]&gt;1),DiscreteStatsTable[[#This Row],[HalfWidth]],DiscreteStatsTable[[#This Row],[BatchMeansHalfWidth]])</f>
        <v>0.23089002224015842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8.6306721192819597E-2</v>
      </c>
      <c r="H7">
        <v>2E+20</v>
      </c>
      <c r="I7">
        <v>0</v>
      </c>
      <c r="J7">
        <v>4.4495297618125296</v>
      </c>
      <c r="K7">
        <v>81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0.26057187234121143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1.0392774066152699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16.124525851722701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89.2</v>
      </c>
      <c r="W7">
        <f>IF((DiscreteStatsTable[[#This Row],[RepsRequested]]&gt;1),DiscreteStatsTable[[#This Row],[HalfWidth]],DiscreteStatsTable[[#This Row],[BatchMeansHalfWidth]])</f>
        <v>9.6839139434270138E-2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100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89.2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100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89.2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7.2772448222527304</v>
      </c>
      <c r="H10">
        <v>2E+20</v>
      </c>
      <c r="I10">
        <v>0.15314005412505999</v>
      </c>
      <c r="J10">
        <v>48.495393425748297</v>
      </c>
      <c r="K10">
        <v>100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6.4663683430156604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5.1065392037709501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8.0125270750572994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4.70655360288674E-4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50.027144327574298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89.2</v>
      </c>
      <c r="W10">
        <f>IF((DiscreteStatsTable[[#This Row],[RepsRequested]]&gt;1),DiscreteStatsTable[[#This Row],[HalfWidth]],DiscreteStatsTable[[#This Row],[BatchMeansHalfWidth]])</f>
        <v>0.27302045169293909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100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89.2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6.5628649238361598</v>
      </c>
      <c r="H12">
        <v>2E+20</v>
      </c>
      <c r="I12">
        <v>0.14778678313598401</v>
      </c>
      <c r="J12">
        <v>48.495393425748297</v>
      </c>
      <c r="K12">
        <v>100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6.2057964706744482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4.9792294743198697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7.6168808616555497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4.70655360288674E-4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50.027144327574298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89.2</v>
      </c>
      <c r="W12">
        <f>IF((DiscreteStatsTable[[#This Row],[RepsRequested]]&gt;1),DiscreteStatsTable[[#This Row],[HalfWidth]],DiscreteStatsTable[[#This Row],[BatchMeansHalfWidth]])</f>
        <v>0.23089002224015842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0.71437989841656502</v>
      </c>
      <c r="H13">
        <v>2E+20</v>
      </c>
      <c r="I13">
        <v>0</v>
      </c>
      <c r="J13">
        <v>12.8230075605272</v>
      </c>
      <c r="K13">
        <v>100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0.26057187234121143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1.0392774066152699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16.124525851722701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89.2</v>
      </c>
      <c r="W13">
        <f>IF((DiscreteStatsTable[[#This Row],[RepsRequested]]&gt;1),DiscreteStatsTable[[#This Row],[HalfWidth]],DiscreteStatsTable[[#This Row],[BatchMeansHalfWidth]])</f>
        <v>9.6839139434270138E-2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108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89.2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108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89.2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7.3405231657709296</v>
      </c>
      <c r="H16">
        <v>2E+20</v>
      </c>
      <c r="I16">
        <v>2.4592924466618499E-2</v>
      </c>
      <c r="J16">
        <v>41.259492022109399</v>
      </c>
      <c r="K16">
        <v>108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6.4663683430156604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5.1065392037709501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8.0125270750572994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4.70655360288674E-4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50.027144327574298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89.2</v>
      </c>
      <c r="W16">
        <f>IF((DiscreteStatsTable[[#This Row],[RepsRequested]]&gt;1),DiscreteStatsTable[[#This Row],[HalfWidth]],DiscreteStatsTable[[#This Row],[BatchMeansHalfWidth]])</f>
        <v>0.27302045169293909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108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89.2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6.39078332147204</v>
      </c>
      <c r="H18">
        <v>2E+20</v>
      </c>
      <c r="I18">
        <v>2.4592924466618499E-2</v>
      </c>
      <c r="J18">
        <v>41.259492022109399</v>
      </c>
      <c r="K18">
        <v>108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6.2057964706744482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4.9792294743198697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7.6168808616555497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4.70655360288674E-4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50.027144327574298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89.2</v>
      </c>
      <c r="W18">
        <f>IF((DiscreteStatsTable[[#This Row],[RepsRequested]]&gt;1),DiscreteStatsTable[[#This Row],[HalfWidth]],DiscreteStatsTable[[#This Row],[BatchMeansHalfWidth]])</f>
        <v>0.23089002224015842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0.94973984429888703</v>
      </c>
      <c r="H19">
        <v>2E+20</v>
      </c>
      <c r="I19">
        <v>0</v>
      </c>
      <c r="J19">
        <v>13.894302129953299</v>
      </c>
      <c r="K19">
        <v>108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0.26057187234121143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1.0392774066152699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16.124525851722701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89.2</v>
      </c>
      <c r="W19">
        <f>IF((DiscreteStatsTable[[#This Row],[RepsRequested]]&gt;1),DiscreteStatsTable[[#This Row],[HalfWidth]],DiscreteStatsTable[[#This Row],[BatchMeansHalfWidth]])</f>
        <v>9.6839139434270138E-2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92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89.2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92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89.2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6.3605089601508604</v>
      </c>
      <c r="H22">
        <v>2E+20</v>
      </c>
      <c r="I22">
        <v>2.7538564767951398E-2</v>
      </c>
      <c r="J22">
        <v>31.377380661824098</v>
      </c>
      <c r="K22">
        <v>92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6.4663683430156604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5.1065392037709501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8.0125270750572994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4.70655360288674E-4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50.027144327574298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89.2</v>
      </c>
      <c r="W22">
        <f>IF((DiscreteStatsTable[[#This Row],[RepsRequested]]&gt;1),DiscreteStatsTable[[#This Row],[HalfWidth]],DiscreteStatsTable[[#This Row],[BatchMeansHalfWidth]])</f>
        <v>0.27302045169293909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92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89.2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6.2579097961546397</v>
      </c>
      <c r="H24">
        <v>2E+20</v>
      </c>
      <c r="I24">
        <v>2.7538564767951398E-2</v>
      </c>
      <c r="J24">
        <v>31.377380661824098</v>
      </c>
      <c r="K24">
        <v>92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6.2057964706744482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4.9792294743198697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7.6168808616555497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4.70655360288674E-4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50.027144327574298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89.2</v>
      </c>
      <c r="W24">
        <f>IF((DiscreteStatsTable[[#This Row],[RepsRequested]]&gt;1),DiscreteStatsTable[[#This Row],[HalfWidth]],DiscreteStatsTable[[#This Row],[BatchMeansHalfWidth]])</f>
        <v>0.23089002224015842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0.102599163996227</v>
      </c>
      <c r="H25">
        <v>2E+20</v>
      </c>
      <c r="I25">
        <v>0</v>
      </c>
      <c r="J25">
        <v>4.25707296902696</v>
      </c>
      <c r="K25">
        <v>92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0.26057187234121143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1.0392774066152699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16.124525851722701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89.2</v>
      </c>
      <c r="W25">
        <f>IF((DiscreteStatsTable[[#This Row],[RepsRequested]]&gt;1),DiscreteStatsTable[[#This Row],[HalfWidth]],DiscreteStatsTable[[#This Row],[BatchMeansHalfWidth]])</f>
        <v>9.6839139434270138E-2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89.2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89.2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5.3810296989998001</v>
      </c>
      <c r="H28">
        <v>2E+20</v>
      </c>
      <c r="I28">
        <v>2.9978162838915499E-2</v>
      </c>
      <c r="J28">
        <v>28.4890252327938</v>
      </c>
      <c r="K28">
        <v>96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6.4663683430156604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5.1065392037709501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8.0125270750572994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4.70655360288674E-4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50.027144327574298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89.2</v>
      </c>
      <c r="W28">
        <f>IF((DiscreteStatsTable[[#This Row],[RepsRequested]]&gt;1),DiscreteStatsTable[[#This Row],[HalfWidth]],DiscreteStatsTable[[#This Row],[BatchMeansHalfWidth]])</f>
        <v>0.27302045169293909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89.2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5.1969088419562501</v>
      </c>
      <c r="H30">
        <v>2E+20</v>
      </c>
      <c r="I30">
        <v>2.9978162838915499E-2</v>
      </c>
      <c r="J30">
        <v>26.194848684943501</v>
      </c>
      <c r="K30">
        <v>96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6.2057964706744482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4.9792294743198697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7.6168808616555497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4.70655360288674E-4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50.027144327574298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89.2</v>
      </c>
      <c r="W30">
        <f>IF((DiscreteStatsTable[[#This Row],[RepsRequested]]&gt;1),DiscreteStatsTable[[#This Row],[HalfWidth]],DiscreteStatsTable[[#This Row],[BatchMeansHalfWidth]])</f>
        <v>0.23089002224015842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0.184120857043547</v>
      </c>
      <c r="H31">
        <v>2E+20</v>
      </c>
      <c r="I31">
        <v>0</v>
      </c>
      <c r="J31">
        <v>6.1408431075599301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0.26057187234121143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1.0392774066152699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16.124525851722701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89.2</v>
      </c>
      <c r="W31">
        <f>IF((DiscreteStatsTable[[#This Row],[RepsRequested]]&gt;1),DiscreteStatsTable[[#This Row],[HalfWidth]],DiscreteStatsTable[[#This Row],[BatchMeansHalfWidth]])</f>
        <v>9.6839139434270138E-2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89.2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89.2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6.4357213959589004</v>
      </c>
      <c r="H34">
        <v>2E+20</v>
      </c>
      <c r="I34">
        <v>1.50201233692542E-2</v>
      </c>
      <c r="J34">
        <v>37.231140819516099</v>
      </c>
      <c r="K34">
        <v>95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6.4663683430156604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5.1065392037709501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8.0125270750572994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4.70655360288674E-4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50.027144327574298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89.2</v>
      </c>
      <c r="W34">
        <f>IF((DiscreteStatsTable[[#This Row],[RepsRequested]]&gt;1),DiscreteStatsTable[[#This Row],[HalfWidth]],DiscreteStatsTable[[#This Row],[BatchMeansHalfWidth]])</f>
        <v>0.27302045169293909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89.2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6.3108270410439102</v>
      </c>
      <c r="H36">
        <v>2E+20</v>
      </c>
      <c r="I36">
        <v>1.50201233692542E-2</v>
      </c>
      <c r="J36">
        <v>37.231140819516099</v>
      </c>
      <c r="K36">
        <v>95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6.2057964706744482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4.9792294743198697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7.6168808616555497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4.70655360288674E-4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50.027144327574298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89.2</v>
      </c>
      <c r="W36">
        <f>IF((DiscreteStatsTable[[#This Row],[RepsRequested]]&gt;1),DiscreteStatsTable[[#This Row],[HalfWidth]],DiscreteStatsTable[[#This Row],[BatchMeansHalfWidth]])</f>
        <v>0.23089002224015842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0.124894354914993</v>
      </c>
      <c r="H37">
        <v>2E+20</v>
      </c>
      <c r="I37">
        <v>0</v>
      </c>
      <c r="J37">
        <v>2.99613906314136</v>
      </c>
      <c r="K37">
        <v>95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0.26057187234121143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1.0392774066152699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16.124525851722701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89.2</v>
      </c>
      <c r="W37">
        <f>IF((DiscreteStatsTable[[#This Row],[RepsRequested]]&gt;1),DiscreteStatsTable[[#This Row],[HalfWidth]],DiscreteStatsTable[[#This Row],[BatchMeansHalfWidth]])</f>
        <v>9.6839139434270138E-2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91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89.2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91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89.2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7.1312180654792803</v>
      </c>
      <c r="H40">
        <v>2E+20</v>
      </c>
      <c r="I40">
        <v>0.13196452103449</v>
      </c>
      <c r="J40">
        <v>27.569080581382</v>
      </c>
      <c r="K40">
        <v>91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6.4663683430156604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5.1065392037709501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8.0125270750572994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4.70655360288674E-4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50.027144327574298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89.2</v>
      </c>
      <c r="W40">
        <f>IF((DiscreteStatsTable[[#This Row],[RepsRequested]]&gt;1),DiscreteStatsTable[[#This Row],[HalfWidth]],DiscreteStatsTable[[#This Row],[BatchMeansHalfWidth]])</f>
        <v>0.27302045169293909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91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89.2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6.8555981652784901</v>
      </c>
      <c r="H42">
        <v>2E+20</v>
      </c>
      <c r="I42">
        <v>0.13196452103449</v>
      </c>
      <c r="J42">
        <v>27.569080581382</v>
      </c>
      <c r="K42">
        <v>91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6.2057964706744482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4.9792294743198697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7.6168808616555497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4.70655360288674E-4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50.027144327574298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89.2</v>
      </c>
      <c r="W42">
        <f>IF((DiscreteStatsTable[[#This Row],[RepsRequested]]&gt;1),DiscreteStatsTable[[#This Row],[HalfWidth]],DiscreteStatsTable[[#This Row],[BatchMeansHalfWidth]])</f>
        <v>0.23089002224015842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0.27561990020079202</v>
      </c>
      <c r="H43">
        <v>2E+20</v>
      </c>
      <c r="I43">
        <v>0</v>
      </c>
      <c r="J43">
        <v>6.5658027409620798</v>
      </c>
      <c r="K43">
        <v>91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0.26057187234121143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1.0392774066152699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16.124525851722701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89.2</v>
      </c>
      <c r="W43">
        <f>IF((DiscreteStatsTable[[#This Row],[RepsRequested]]&gt;1),DiscreteStatsTable[[#This Row],[HalfWidth]],DiscreteStatsTable[[#This Row],[BatchMeansHalfWidth]])</f>
        <v>9.6839139434270138E-2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72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89.2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72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89.2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7.0133803443636404</v>
      </c>
      <c r="H46">
        <v>2E+20</v>
      </c>
      <c r="I46">
        <v>0.10254458026111</v>
      </c>
      <c r="J46">
        <v>43.866370327314101</v>
      </c>
      <c r="K46">
        <v>72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6.4663683430156604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5.1065392037709501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8.0125270750572994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4.70655360288674E-4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50.027144327574298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89.2</v>
      </c>
      <c r="W46">
        <f>IF((DiscreteStatsTable[[#This Row],[RepsRequested]]&gt;1),DiscreteStatsTable[[#This Row],[HalfWidth]],DiscreteStatsTable[[#This Row],[BatchMeansHalfWidth]])</f>
        <v>0.27302045169293909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72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89.2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7.0133803443636404</v>
      </c>
      <c r="H48">
        <v>2E+20</v>
      </c>
      <c r="I48">
        <v>0.10254458026111</v>
      </c>
      <c r="J48">
        <v>43.866370327314101</v>
      </c>
      <c r="K48">
        <v>72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6.2057964706744482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4.9792294743198697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7.6168808616555497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4.70655360288674E-4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50.027144327574298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89.2</v>
      </c>
      <c r="W48">
        <f>IF((DiscreteStatsTable[[#This Row],[RepsRequested]]&gt;1),DiscreteStatsTable[[#This Row],[HalfWidth]],DiscreteStatsTable[[#This Row],[BatchMeansHalfWidth]])</f>
        <v>0.23089002224015842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72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0.26057187234121143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1.0392774066152699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16.124525851722701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89.2</v>
      </c>
      <c r="W49">
        <f>IF((DiscreteStatsTable[[#This Row],[RepsRequested]]&gt;1),DiscreteStatsTable[[#This Row],[HalfWidth]],DiscreteStatsTable[[#This Row],[BatchMeansHalfWidth]])</f>
        <v>9.6839139434270138E-2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86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89.2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86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89.2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5.5015394340733099</v>
      </c>
      <c r="H52">
        <v>2E+20</v>
      </c>
      <c r="I52">
        <v>5.8367589094416403E-2</v>
      </c>
      <c r="J52">
        <v>26.451779107450999</v>
      </c>
      <c r="K52">
        <v>86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6.4663683430156604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5.1065392037709501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8.0125270750572994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4.70655360288674E-4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50.027144327574298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89.2</v>
      </c>
      <c r="W52">
        <f>IF((DiscreteStatsTable[[#This Row],[RepsRequested]]&gt;1),DiscreteStatsTable[[#This Row],[HalfWidth]],DiscreteStatsTable[[#This Row],[BatchMeansHalfWidth]])</f>
        <v>0.27302045169293909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86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89.2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5.4544944579746604</v>
      </c>
      <c r="H54">
        <v>2E+20</v>
      </c>
      <c r="I54">
        <v>5.8367589094416403E-2</v>
      </c>
      <c r="J54">
        <v>26.451779107450999</v>
      </c>
      <c r="K54">
        <v>86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6.2057964706744482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4.9792294743198697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7.6168808616555497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4.70655360288674E-4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50.027144327574298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89.2</v>
      </c>
      <c r="W54">
        <f>IF((DiscreteStatsTable[[#This Row],[RepsRequested]]&gt;1),DiscreteStatsTable[[#This Row],[HalfWidth]],DiscreteStatsTable[[#This Row],[BatchMeansHalfWidth]])</f>
        <v>0.23089002224015842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4.7044976098650403E-2</v>
      </c>
      <c r="H55">
        <v>2E+20</v>
      </c>
      <c r="I55">
        <v>0</v>
      </c>
      <c r="J55">
        <v>2.4570845827856198</v>
      </c>
      <c r="K55">
        <v>86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0.26057187234121143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1.0392774066152699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16.124525851722701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89.2</v>
      </c>
      <c r="W55">
        <f>IF((DiscreteStatsTable[[#This Row],[RepsRequested]]&gt;1),DiscreteStatsTable[[#This Row],[HalfWidth]],DiscreteStatsTable[[#This Row],[BatchMeansHalfWidth]])</f>
        <v>9.6839139434270138E-2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89.2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89.2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5.1065392037709501</v>
      </c>
      <c r="H58">
        <v>2E+20</v>
      </c>
      <c r="I58">
        <v>5.8243262214659801E-2</v>
      </c>
      <c r="J58">
        <v>24.398704361954302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6.4663683430156604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5.1065392037709501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8.0125270750572994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4.70655360288674E-4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50.027144327574298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89.2</v>
      </c>
      <c r="W58">
        <f>IF((DiscreteStatsTable[[#This Row],[RepsRequested]]&gt;1),DiscreteStatsTable[[#This Row],[HalfWidth]],DiscreteStatsTable[[#This Row],[BatchMeansHalfWidth]])</f>
        <v>0.27302045169293909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89.2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4.9792294743198697</v>
      </c>
      <c r="H60">
        <v>2E+20</v>
      </c>
      <c r="I60">
        <v>5.8243262214659801E-2</v>
      </c>
      <c r="J60">
        <v>24.398704361954302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6.2057964706744482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4.9792294743198697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7.6168808616555497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4.70655360288674E-4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50.027144327574298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89.2</v>
      </c>
      <c r="W60">
        <f>IF((DiscreteStatsTable[[#This Row],[RepsRequested]]&gt;1),DiscreteStatsTable[[#This Row],[HalfWidth]],DiscreteStatsTable[[#This Row],[BatchMeansHalfWidth]])</f>
        <v>0.23089002224015842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0.12730972945107899</v>
      </c>
      <c r="H61">
        <v>2E+20</v>
      </c>
      <c r="I61">
        <v>0</v>
      </c>
      <c r="J61">
        <v>5.0666039601639499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0.26057187234121143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1.0392774066152699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16.124525851722701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89.2</v>
      </c>
      <c r="W61">
        <f>IF((DiscreteStatsTable[[#This Row],[RepsRequested]]&gt;1),DiscreteStatsTable[[#This Row],[HalfWidth]],DiscreteStatsTable[[#This Row],[BatchMeansHalfWidth]])</f>
        <v>9.6839139434270138E-2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94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89.2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94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89.2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5.8329317594096102</v>
      </c>
      <c r="H64">
        <v>2E+20</v>
      </c>
      <c r="I64">
        <v>1.9843138656142401E-2</v>
      </c>
      <c r="J64">
        <v>23.870674652258</v>
      </c>
      <c r="K64">
        <v>94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6.4663683430156604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5.1065392037709501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8.0125270750572994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4.70655360288674E-4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50.027144327574298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89.2</v>
      </c>
      <c r="W64">
        <f>IF((DiscreteStatsTable[[#This Row],[RepsRequested]]&gt;1),DiscreteStatsTable[[#This Row],[HalfWidth]],DiscreteStatsTable[[#This Row],[BatchMeansHalfWidth]])</f>
        <v>0.27302045169293909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94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89.2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5.6558413817638602</v>
      </c>
      <c r="H66">
        <v>2E+20</v>
      </c>
      <c r="I66">
        <v>1.9843138656142401E-2</v>
      </c>
      <c r="J66">
        <v>23.870674652258</v>
      </c>
      <c r="K66">
        <v>94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6.2057964706744482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4.9792294743198697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7.6168808616555497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4.70655360288674E-4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50.027144327574298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89.2</v>
      </c>
      <c r="W66">
        <f>IF((DiscreteStatsTable[[#This Row],[RepsRequested]]&gt;1),DiscreteStatsTable[[#This Row],[HalfWidth]],DiscreteStatsTable[[#This Row],[BatchMeansHalfWidth]])</f>
        <v>0.23089002224015842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0.17709037764575</v>
      </c>
      <c r="H67">
        <v>2E+20</v>
      </c>
      <c r="I67">
        <v>0</v>
      </c>
      <c r="J67">
        <v>8.4609108090532992</v>
      </c>
      <c r="K67">
        <v>94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0.26057187234121143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1.0392774066152699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16.124525851722701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89.2</v>
      </c>
      <c r="W67">
        <f>IF((DiscreteStatsTable[[#This Row],[RepsRequested]]&gt;1),DiscreteStatsTable[[#This Row],[HalfWidth]],DiscreteStatsTable[[#This Row],[BatchMeansHalfWidth]])</f>
        <v>9.6839139434270138E-2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89.2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89.2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7.2342730129176998</v>
      </c>
      <c r="H70">
        <v>2E+20</v>
      </c>
      <c r="I70">
        <v>2.4083119921954201E-2</v>
      </c>
      <c r="J70">
        <v>30.458632819567601</v>
      </c>
      <c r="K70">
        <v>84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6.4663683430156604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5.1065392037709501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8.0125270750572994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4.70655360288674E-4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50.027144327574298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89.2</v>
      </c>
      <c r="W70">
        <f>IF((DiscreteStatsTable[[#This Row],[RepsRequested]]&gt;1),DiscreteStatsTable[[#This Row],[HalfWidth]],DiscreteStatsTable[[#This Row],[BatchMeansHalfWidth]])</f>
        <v>0.27302045169293909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89.2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6.1949956063024301</v>
      </c>
      <c r="H72">
        <v>2E+20</v>
      </c>
      <c r="I72">
        <v>2.4083119921954201E-2</v>
      </c>
      <c r="J72">
        <v>30.458632819567601</v>
      </c>
      <c r="K72">
        <v>84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6.2057964706744482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4.9792294743198697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7.6168808616555497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4.70655360288674E-4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50.027144327574298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89.2</v>
      </c>
      <c r="W72">
        <f>IF((DiscreteStatsTable[[#This Row],[RepsRequested]]&gt;1),DiscreteStatsTable[[#This Row],[HalfWidth]],DiscreteStatsTable[[#This Row],[BatchMeansHalfWidth]])</f>
        <v>0.23089002224015842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1.0392774066152699</v>
      </c>
      <c r="H73">
        <v>2E+20</v>
      </c>
      <c r="I73">
        <v>0</v>
      </c>
      <c r="J73">
        <v>16.124525851722701</v>
      </c>
      <c r="K73">
        <v>84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0.26057187234121143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1.0392774066152699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16.124525851722701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89.2</v>
      </c>
      <c r="W73">
        <f>IF((DiscreteStatsTable[[#This Row],[RepsRequested]]&gt;1),DiscreteStatsTable[[#This Row],[HalfWidth]],DiscreteStatsTable[[#This Row],[BatchMeansHalfWidth]])</f>
        <v>9.6839139434270138E-2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93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89.2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93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89.2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6.6118860078362696</v>
      </c>
      <c r="H76">
        <v>2E+20</v>
      </c>
      <c r="I76">
        <v>5.2225565622222803E-2</v>
      </c>
      <c r="J76">
        <v>31.5852264413091</v>
      </c>
      <c r="K76">
        <v>93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6.4663683430156604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5.1065392037709501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8.0125270750572994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4.70655360288674E-4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50.027144327574298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89.2</v>
      </c>
      <c r="W76">
        <f>IF((DiscreteStatsTable[[#This Row],[RepsRequested]]&gt;1),DiscreteStatsTable[[#This Row],[HalfWidth]],DiscreteStatsTable[[#This Row],[BatchMeansHalfWidth]])</f>
        <v>0.27302045169293909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93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89.2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6.40856196110248</v>
      </c>
      <c r="H78">
        <v>2E+20</v>
      </c>
      <c r="I78">
        <v>5.2225565622222803E-2</v>
      </c>
      <c r="J78">
        <v>31.5852264413091</v>
      </c>
      <c r="K78">
        <v>93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6.2057964706744482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4.9792294743198697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7.6168808616555497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4.70655360288674E-4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50.027144327574298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89.2</v>
      </c>
      <c r="W78">
        <f>IF((DiscreteStatsTable[[#This Row],[RepsRequested]]&gt;1),DiscreteStatsTable[[#This Row],[HalfWidth]],DiscreteStatsTable[[#This Row],[BatchMeansHalfWidth]])</f>
        <v>0.23089002224015842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0.20332404673378501</v>
      </c>
      <c r="H79">
        <v>2E+20</v>
      </c>
      <c r="I79">
        <v>0</v>
      </c>
      <c r="J79">
        <v>2.9108139443508998</v>
      </c>
      <c r="K79">
        <v>93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0.26057187234121143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1.0392774066152699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16.124525851722701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89.2</v>
      </c>
      <c r="W79">
        <f>IF((DiscreteStatsTable[[#This Row],[RepsRequested]]&gt;1),DiscreteStatsTable[[#This Row],[HalfWidth]],DiscreteStatsTable[[#This Row],[BatchMeansHalfWidth]])</f>
        <v>9.6839139434270138E-2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89.2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89.2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5.4986966889117204</v>
      </c>
      <c r="H82">
        <v>2E+20</v>
      </c>
      <c r="I82">
        <v>0.14485853144051899</v>
      </c>
      <c r="J82">
        <v>24.995229898067102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6.4663683430156604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5.1065392037709501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8.0125270750572994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4.70655360288674E-4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50.027144327574298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89.2</v>
      </c>
      <c r="W82">
        <f>IF((DiscreteStatsTable[[#This Row],[RepsRequested]]&gt;1),DiscreteStatsTable[[#This Row],[HalfWidth]],DiscreteStatsTable[[#This Row],[BatchMeansHalfWidth]])</f>
        <v>0.27302045169293909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89.2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5.4537754647791399</v>
      </c>
      <c r="H84">
        <v>2E+20</v>
      </c>
      <c r="I84">
        <v>0.14485853144051899</v>
      </c>
      <c r="J84">
        <v>24.995229898067102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6.2057964706744482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4.9792294743198697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7.6168808616555497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4.70655360288674E-4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50.027144327574298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89.2</v>
      </c>
      <c r="W84">
        <f>IF((DiscreteStatsTable[[#This Row],[RepsRequested]]&gt;1),DiscreteStatsTable[[#This Row],[HalfWidth]],DiscreteStatsTable[[#This Row],[BatchMeansHalfWidth]])</f>
        <v>0.23089002224015842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4.4921224132578499E-2</v>
      </c>
      <c r="H85">
        <v>2E+20</v>
      </c>
      <c r="I85">
        <v>0</v>
      </c>
      <c r="J85">
        <v>1.2472277477364699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0.26057187234121143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1.0392774066152699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16.124525851722701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89.2</v>
      </c>
      <c r="W85">
        <f>IF((DiscreteStatsTable[[#This Row],[RepsRequested]]&gt;1),DiscreteStatsTable[[#This Row],[HalfWidth]],DiscreteStatsTable[[#This Row],[BatchMeansHalfWidth]])</f>
        <v>9.6839139434270138E-2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89.2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89.2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6.26261367594019</v>
      </c>
      <c r="H88">
        <v>2E+20</v>
      </c>
      <c r="I88">
        <v>0.142604820454309</v>
      </c>
      <c r="J88">
        <v>35.860144357960003</v>
      </c>
      <c r="K88">
        <v>86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6.4663683430156604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5.1065392037709501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8.0125270750572994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4.70655360288674E-4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50.027144327574298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89.2</v>
      </c>
      <c r="W88">
        <f>IF((DiscreteStatsTable[[#This Row],[RepsRequested]]&gt;1),DiscreteStatsTable[[#This Row],[HalfWidth]],DiscreteStatsTable[[#This Row],[BatchMeansHalfWidth]])</f>
        <v>0.27302045169293909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89.2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6.1523851720140597</v>
      </c>
      <c r="H90">
        <v>2E+20</v>
      </c>
      <c r="I90">
        <v>0.142604820454309</v>
      </c>
      <c r="J90">
        <v>35.860144357960003</v>
      </c>
      <c r="K90">
        <v>86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6.2057964706744482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4.9792294743198697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7.6168808616555497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4.70655360288674E-4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50.027144327574298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89.2</v>
      </c>
      <c r="W90">
        <f>IF((DiscreteStatsTable[[#This Row],[RepsRequested]]&gt;1),DiscreteStatsTable[[#This Row],[HalfWidth]],DiscreteStatsTable[[#This Row],[BatchMeansHalfWidth]])</f>
        <v>0.23089002224015842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0.110228503926126</v>
      </c>
      <c r="H91">
        <v>2E+20</v>
      </c>
      <c r="I91">
        <v>0</v>
      </c>
      <c r="J91">
        <v>3.8206562369725199</v>
      </c>
      <c r="K91">
        <v>86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0.26057187234121143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1.0392774066152699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16.124525851722701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89.2</v>
      </c>
      <c r="W91">
        <f>IF((DiscreteStatsTable[[#This Row],[RepsRequested]]&gt;1),DiscreteStatsTable[[#This Row],[HalfWidth]],DiscreteStatsTable[[#This Row],[BatchMeansHalfWidth]])</f>
        <v>9.6839139434270138E-2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89.2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89.2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8.0125270750572994</v>
      </c>
      <c r="H94">
        <v>2E+20</v>
      </c>
      <c r="I94">
        <v>1.33917828320591E-2</v>
      </c>
      <c r="J94">
        <v>38.877026438244798</v>
      </c>
      <c r="K94">
        <v>95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6.4663683430156604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5.1065392037709501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8.0125270750572994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4.70655360288674E-4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50.027144327574298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89.2</v>
      </c>
      <c r="W94">
        <f>IF((DiscreteStatsTable[[#This Row],[RepsRequested]]&gt;1),DiscreteStatsTable[[#This Row],[HalfWidth]],DiscreteStatsTable[[#This Row],[BatchMeansHalfWidth]])</f>
        <v>0.27302045169293909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89.2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7.6168808616555497</v>
      </c>
      <c r="H96">
        <v>2E+20</v>
      </c>
      <c r="I96">
        <v>1.33917828320591E-2</v>
      </c>
      <c r="J96">
        <v>38.877026438244798</v>
      </c>
      <c r="K96">
        <v>95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6.2057964706744482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4.9792294743198697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7.6168808616555497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4.70655360288674E-4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50.027144327574298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89.2</v>
      </c>
      <c r="W96">
        <f>IF((DiscreteStatsTable[[#This Row],[RepsRequested]]&gt;1),DiscreteStatsTable[[#This Row],[HalfWidth]],DiscreteStatsTable[[#This Row],[BatchMeansHalfWidth]])</f>
        <v>0.23089002224015842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0.39564621340174599</v>
      </c>
      <c r="H97">
        <v>2E+20</v>
      </c>
      <c r="I97">
        <v>0</v>
      </c>
      <c r="J97">
        <v>5.9316083813827696</v>
      </c>
      <c r="K97">
        <v>95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0.26057187234121143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1.0392774066152699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16.124525851722701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89.2</v>
      </c>
      <c r="W97">
        <f>IF((DiscreteStatsTable[[#This Row],[RepsRequested]]&gt;1),DiscreteStatsTable[[#This Row],[HalfWidth]],DiscreteStatsTable[[#This Row],[BatchMeansHalfWidth]])</f>
        <v>9.6839139434270138E-2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69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89.2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69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89.2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5.7880523521310998</v>
      </c>
      <c r="H100">
        <v>2E+20</v>
      </c>
      <c r="I100">
        <v>0.11752848635853801</v>
      </c>
      <c r="J100">
        <v>22.923040176226099</v>
      </c>
      <c r="K100">
        <v>69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6.4663683430156604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5.1065392037709501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8.0125270750572994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4.70655360288674E-4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50.027144327574298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89.2</v>
      </c>
      <c r="W100">
        <f>IF((DiscreteStatsTable[[#This Row],[RepsRequested]]&gt;1),DiscreteStatsTable[[#This Row],[HalfWidth]],DiscreteStatsTable[[#This Row],[BatchMeansHalfWidth]])</f>
        <v>0.27302045169293909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69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89.2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5.7077825049184696</v>
      </c>
      <c r="H102">
        <v>2E+20</v>
      </c>
      <c r="I102">
        <v>0.11752848635853801</v>
      </c>
      <c r="J102">
        <v>22.923040176226099</v>
      </c>
      <c r="K102">
        <v>69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6.2057964706744482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4.9792294743198697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7.6168808616555497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4.70655360288674E-4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50.027144327574298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89.2</v>
      </c>
      <c r="W102">
        <f>IF((DiscreteStatsTable[[#This Row],[RepsRequested]]&gt;1),DiscreteStatsTable[[#This Row],[HalfWidth]],DiscreteStatsTable[[#This Row],[BatchMeansHalfWidth]])</f>
        <v>0.23089002224015842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8.0269847212632903E-2</v>
      </c>
      <c r="H103">
        <v>2E+20</v>
      </c>
      <c r="I103">
        <v>0</v>
      </c>
      <c r="J103">
        <v>2.6520428653955399</v>
      </c>
      <c r="K103">
        <v>69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0.26057187234121143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1.0392774066152699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16.124525851722701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89.2</v>
      </c>
      <c r="W103">
        <f>IF((DiscreteStatsTable[[#This Row],[RepsRequested]]&gt;1),DiscreteStatsTable[[#This Row],[HalfWidth]],DiscreteStatsTable[[#This Row],[BatchMeansHalfWidth]])</f>
        <v>9.6839139434270138E-2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100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89.2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100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89.2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6.9199623103913703</v>
      </c>
      <c r="H106">
        <v>2E+20</v>
      </c>
      <c r="I106">
        <v>0.10146397354577601</v>
      </c>
      <c r="J106">
        <v>32.078317306559804</v>
      </c>
      <c r="K106">
        <v>100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6.4663683430156604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5.1065392037709501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8.0125270750572994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4.70655360288674E-4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50.027144327574298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89.2</v>
      </c>
      <c r="W106">
        <f>IF((DiscreteStatsTable[[#This Row],[RepsRequested]]&gt;1),DiscreteStatsTable[[#This Row],[HalfWidth]],DiscreteStatsTable[[#This Row],[BatchMeansHalfWidth]])</f>
        <v>0.27302045169293909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100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89.2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6.7587116827432503</v>
      </c>
      <c r="H108">
        <v>2E+20</v>
      </c>
      <c r="I108">
        <v>0.10146397354577601</v>
      </c>
      <c r="J108">
        <v>32.078317306559804</v>
      </c>
      <c r="K108">
        <v>100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6.2057964706744482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4.9792294743198697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7.6168808616555497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4.70655360288674E-4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50.027144327574298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89.2</v>
      </c>
      <c r="W108">
        <f>IF((DiscreteStatsTable[[#This Row],[RepsRequested]]&gt;1),DiscreteStatsTable[[#This Row],[HalfWidth]],DiscreteStatsTable[[#This Row],[BatchMeansHalfWidth]])</f>
        <v>0.23089002224015842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0.16125062764812001</v>
      </c>
      <c r="H109">
        <v>2E+20</v>
      </c>
      <c r="I109">
        <v>0</v>
      </c>
      <c r="J109">
        <v>4.4079349209642897</v>
      </c>
      <c r="K109">
        <v>100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0.26057187234121143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1.0392774066152699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16.124525851722701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89.2</v>
      </c>
      <c r="W109">
        <f>IF((DiscreteStatsTable[[#This Row],[RepsRequested]]&gt;1),DiscreteStatsTable[[#This Row],[HalfWidth]],DiscreteStatsTable[[#This Row],[BatchMeansHalfWidth]])</f>
        <v>9.6839139434270138E-2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83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89.2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83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89.2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6.6765533133348596</v>
      </c>
      <c r="H112">
        <v>2E+20</v>
      </c>
      <c r="I112">
        <v>4.8047917915141599E-3</v>
      </c>
      <c r="J112">
        <v>28.545245176123</v>
      </c>
      <c r="K112">
        <v>83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6.4663683430156604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5.1065392037709501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8.0125270750572994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4.70655360288674E-4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50.027144327574298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89.2</v>
      </c>
      <c r="W112">
        <f>IF((DiscreteStatsTable[[#This Row],[RepsRequested]]&gt;1),DiscreteStatsTable[[#This Row],[HalfWidth]],DiscreteStatsTable[[#This Row],[BatchMeansHalfWidth]])</f>
        <v>0.27302045169293909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83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89.2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6.4593041485629996</v>
      </c>
      <c r="H114">
        <v>2E+20</v>
      </c>
      <c r="I114">
        <v>4.8047917915141599E-3</v>
      </c>
      <c r="J114">
        <v>28.545245176123</v>
      </c>
      <c r="K114">
        <v>83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6.2057964706744482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4.9792294743198697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7.6168808616555497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4.70655360288674E-4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50.027144327574298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89.2</v>
      </c>
      <c r="W114">
        <f>IF((DiscreteStatsTable[[#This Row],[RepsRequested]]&gt;1),DiscreteStatsTable[[#This Row],[HalfWidth]],DiscreteStatsTable[[#This Row],[BatchMeansHalfWidth]])</f>
        <v>0.23089002224015842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0.21724916477185899</v>
      </c>
      <c r="H115">
        <v>2E+20</v>
      </c>
      <c r="I115">
        <v>0</v>
      </c>
      <c r="J115">
        <v>4.7665481218963901</v>
      </c>
      <c r="K115">
        <v>83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0.26057187234121143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1.0392774066152699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16.124525851722701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89.2</v>
      </c>
      <c r="W115">
        <f>IF((DiscreteStatsTable[[#This Row],[RepsRequested]]&gt;1),DiscreteStatsTable[[#This Row],[HalfWidth]],DiscreteStatsTable[[#This Row],[BatchMeansHalfWidth]])</f>
        <v>9.6839139434270138E-2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84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89.2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84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89.2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5.6881582493854497</v>
      </c>
      <c r="H118">
        <v>2E+20</v>
      </c>
      <c r="I118">
        <v>3.8756899513714402E-2</v>
      </c>
      <c r="J118">
        <v>50.027144327574298</v>
      </c>
      <c r="K118">
        <v>84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6.4663683430156604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5.1065392037709501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8.0125270750572994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4.70655360288674E-4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50.027144327574298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89.2</v>
      </c>
      <c r="W118">
        <f>IF((DiscreteStatsTable[[#This Row],[RepsRequested]]&gt;1),DiscreteStatsTable[[#This Row],[HalfWidth]],DiscreteStatsTable[[#This Row],[BatchMeansHalfWidth]])</f>
        <v>0.27302045169293909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84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89.2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5.6631689314763998</v>
      </c>
      <c r="H120">
        <v>2E+20</v>
      </c>
      <c r="I120">
        <v>3.8756899513714402E-2</v>
      </c>
      <c r="J120">
        <v>50.027144327574298</v>
      </c>
      <c r="K120">
        <v>84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6.2057964706744482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4.9792294743198697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7.6168808616555497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4.70655360288674E-4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50.027144327574298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89.2</v>
      </c>
      <c r="W120">
        <f>IF((DiscreteStatsTable[[#This Row],[RepsRequested]]&gt;1),DiscreteStatsTable[[#This Row],[HalfWidth]],DiscreteStatsTable[[#This Row],[BatchMeansHalfWidth]])</f>
        <v>0.23089002224015842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2.4989317909050901E-2</v>
      </c>
      <c r="H121">
        <v>2E+20</v>
      </c>
      <c r="I121">
        <v>0</v>
      </c>
      <c r="J121">
        <v>1.099644473548</v>
      </c>
      <c r="K121">
        <v>84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0.26057187234121143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1.0392774066152699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16.124525851722701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89.2</v>
      </c>
      <c r="W121">
        <f>IF((DiscreteStatsTable[[#This Row],[RepsRequested]]&gt;1),DiscreteStatsTable[[#This Row],[HalfWidth]],DiscreteStatsTable[[#This Row],[BatchMeansHalfWidth]])</f>
        <v>9.6839139434270138E-2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89.2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89.2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5.1658294677699397</v>
      </c>
      <c r="H124">
        <v>2E+20</v>
      </c>
      <c r="I124">
        <v>4.9277035966781603E-2</v>
      </c>
      <c r="J124">
        <v>25.3720099776605</v>
      </c>
      <c r="K124">
        <v>93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6.4663683430156604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5.1065392037709501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8.0125270750572994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4.70655360288674E-4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50.027144327574298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89.2</v>
      </c>
      <c r="W124" s="5">
        <f>IF((DiscreteStatsTable[[#This Row],[RepsRequested]]&gt;1),DiscreteStatsTable[[#This Row],[HalfWidth]],DiscreteStatsTable[[#This Row],[BatchMeansHalfWidth]])</f>
        <v>0.27302045169293909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93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89.2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5.1097995201063302</v>
      </c>
      <c r="H126">
        <v>2E+20</v>
      </c>
      <c r="I126">
        <v>4.9277035966781603E-2</v>
      </c>
      <c r="J126">
        <v>25.3720099776605</v>
      </c>
      <c r="K126">
        <v>93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6.2057964706744482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4.9792294743198697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7.6168808616555497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4.70655360288674E-4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50.027144327574298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89.2</v>
      </c>
      <c r="W126" s="5">
        <f>IF((DiscreteStatsTable[[#This Row],[RepsRequested]]&gt;1),DiscreteStatsTable[[#This Row],[HalfWidth]],DiscreteStatsTable[[#This Row],[BatchMeansHalfWidth]])</f>
        <v>0.23089002224015842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5.6029947663611801E-2</v>
      </c>
      <c r="H127">
        <v>2E+20</v>
      </c>
      <c r="I127">
        <v>0</v>
      </c>
      <c r="J127">
        <v>4.1599544068930099</v>
      </c>
      <c r="K127">
        <v>93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0.26057187234121143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1.0392774066152699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16.124525851722701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89.2</v>
      </c>
      <c r="W127" s="5">
        <f>IF((DiscreteStatsTable[[#This Row],[RepsRequested]]&gt;1),DiscreteStatsTable[[#This Row],[HalfWidth]],DiscreteStatsTable[[#This Row],[BatchMeansHalfWidth]])</f>
        <v>9.6839139434270138E-2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81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89.2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81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89.2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7.3282056148100798</v>
      </c>
      <c r="H130">
        <v>2E+20</v>
      </c>
      <c r="I130">
        <v>1.885819205188E-2</v>
      </c>
      <c r="J130">
        <v>24.179005152274399</v>
      </c>
      <c r="K130">
        <v>81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6.4663683430156604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5.1065392037709501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8.0125270750572994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4.70655360288674E-4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50.027144327574298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89.2</v>
      </c>
      <c r="W130" s="5">
        <f>IF((DiscreteStatsTable[[#This Row],[RepsRequested]]&gt;1),DiscreteStatsTable[[#This Row],[HalfWidth]],DiscreteStatsTable[[#This Row],[BatchMeansHalfWidth]])</f>
        <v>0.27302045169293909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81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89.2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7.0205984977973603</v>
      </c>
      <c r="H132">
        <v>2E+20</v>
      </c>
      <c r="I132">
        <v>1.885819205188E-2</v>
      </c>
      <c r="J132">
        <v>24.179005152274399</v>
      </c>
      <c r="K132">
        <v>81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6.2057964706744482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4.9792294743198697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7.6168808616555497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4.70655360288674E-4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50.027144327574298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89.2</v>
      </c>
      <c r="W132" s="5">
        <f>IF((DiscreteStatsTable[[#This Row],[RepsRequested]]&gt;1),DiscreteStatsTable[[#This Row],[HalfWidth]],DiscreteStatsTable[[#This Row],[BatchMeansHalfWidth]])</f>
        <v>0.23089002224015842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0.30760711701271498</v>
      </c>
      <c r="H133">
        <v>2E+20</v>
      </c>
      <c r="I133">
        <v>0</v>
      </c>
      <c r="J133">
        <v>9.6793682639254595</v>
      </c>
      <c r="K133">
        <v>81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0.26057187234121143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1.0392774066152699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16.124525851722701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89.2</v>
      </c>
      <c r="W133" s="5">
        <f>IF((DiscreteStatsTable[[#This Row],[RepsRequested]]&gt;1),DiscreteStatsTable[[#This Row],[HalfWidth]],DiscreteStatsTable[[#This Row],[BatchMeansHalfWidth]])</f>
        <v>9.6839139434270138E-2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93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89.2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93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89.2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6.5007204845318096</v>
      </c>
      <c r="H136">
        <v>2E+20</v>
      </c>
      <c r="I136">
        <v>9.8328394748250503E-3</v>
      </c>
      <c r="J136">
        <v>25.093982503440301</v>
      </c>
      <c r="K136">
        <v>93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6.4663683430156604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5.1065392037709501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8.0125270750572994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4.70655360288674E-4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50.027144327574298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89.2</v>
      </c>
      <c r="W136" s="5">
        <f>IF((DiscreteStatsTable[[#This Row],[RepsRequested]]&gt;1),DiscreteStatsTable[[#This Row],[HalfWidth]],DiscreteStatsTable[[#This Row],[BatchMeansHalfWidth]])</f>
        <v>0.27302045169293909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93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89.2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6.03776012943836</v>
      </c>
      <c r="H138">
        <v>2E+20</v>
      </c>
      <c r="I138">
        <v>9.8328394748250503E-3</v>
      </c>
      <c r="J138">
        <v>25.093982503440301</v>
      </c>
      <c r="K138">
        <v>93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6.2057964706744482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4.9792294743198697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7.6168808616555497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4.70655360288674E-4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50.027144327574298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89.2</v>
      </c>
      <c r="W138" s="5">
        <f>IF((DiscreteStatsTable[[#This Row],[RepsRequested]]&gt;1),DiscreteStatsTable[[#This Row],[HalfWidth]],DiscreteStatsTable[[#This Row],[BatchMeansHalfWidth]])</f>
        <v>0.23089002224015842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0.46296035509344702</v>
      </c>
      <c r="H139">
        <v>2E+20</v>
      </c>
      <c r="I139">
        <v>0</v>
      </c>
      <c r="J139">
        <v>7.5359461918169499</v>
      </c>
      <c r="K139">
        <v>93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0.26057187234121143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1.0392774066152699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16.124525851722701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89.2</v>
      </c>
      <c r="W139" s="5">
        <f>IF((DiscreteStatsTable[[#This Row],[RepsRequested]]&gt;1),DiscreteStatsTable[[#This Row],[HalfWidth]],DiscreteStatsTable[[#This Row],[BatchMeansHalfWidth]])</f>
        <v>9.6839139434270138E-2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73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89.2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73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89.2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6.3842348312903496</v>
      </c>
      <c r="H142">
        <v>2E+20</v>
      </c>
      <c r="I142">
        <v>8.5107045961223093E-2</v>
      </c>
      <c r="J142">
        <v>29.649478321517801</v>
      </c>
      <c r="K142">
        <v>73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6.4663683430156604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5.1065392037709501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8.0125270750572994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4.70655360288674E-4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50.027144327574298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89.2</v>
      </c>
      <c r="W142" s="5">
        <f>IF((DiscreteStatsTable[[#This Row],[RepsRequested]]&gt;1),DiscreteStatsTable[[#This Row],[HalfWidth]],DiscreteStatsTable[[#This Row],[BatchMeansHalfWidth]])</f>
        <v>0.27302045169293909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73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89.2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6.3565399488144596</v>
      </c>
      <c r="H144">
        <v>2E+20</v>
      </c>
      <c r="I144">
        <v>8.5107045961223093E-2</v>
      </c>
      <c r="J144">
        <v>29.649478321517801</v>
      </c>
      <c r="K144">
        <v>73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6.2057964706744482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4.9792294743198697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7.6168808616555497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4.70655360288674E-4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50.027144327574298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89.2</v>
      </c>
      <c r="W144" s="5">
        <f>IF((DiscreteStatsTable[[#This Row],[RepsRequested]]&gt;1),DiscreteStatsTable[[#This Row],[HalfWidth]],DiscreteStatsTable[[#This Row],[BatchMeansHalfWidth]])</f>
        <v>0.23089002224015842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2.76948824758812E-2</v>
      </c>
      <c r="H145">
        <v>2E+20</v>
      </c>
      <c r="I145">
        <v>0</v>
      </c>
      <c r="J145">
        <v>1.32750215019107</v>
      </c>
      <c r="K145">
        <v>73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0.26057187234121143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1.0392774066152699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16.124525851722701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89.2</v>
      </c>
      <c r="W145" s="5">
        <f>IF((DiscreteStatsTable[[#This Row],[RepsRequested]]&gt;1),DiscreteStatsTable[[#This Row],[HalfWidth]],DiscreteStatsTable[[#This Row],[BatchMeansHalfWidth]])</f>
        <v>9.6839139434270138E-2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89.2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89.2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5.8606443587254002</v>
      </c>
      <c r="H148">
        <v>2E+20</v>
      </c>
      <c r="I148">
        <v>6.7703950669511003E-3</v>
      </c>
      <c r="J148">
        <v>27.4944428996601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6.4663683430156604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5.1065392037709501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8.0125270750572994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4.70655360288674E-4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50.027144327574298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89.2</v>
      </c>
      <c r="W148" s="5">
        <f>IF((DiscreteStatsTable[[#This Row],[RepsRequested]]&gt;1),DiscreteStatsTable[[#This Row],[HalfWidth]],DiscreteStatsTable[[#This Row],[BatchMeansHalfWidth]])</f>
        <v>0.27302045169293909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89.2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5.7542157562775502</v>
      </c>
      <c r="H150">
        <v>2E+20</v>
      </c>
      <c r="I150">
        <v>6.7703950669511003E-3</v>
      </c>
      <c r="J150">
        <v>27.4944428996601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6.2057964706744482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4.9792294743198697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7.6168808616555497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4.70655360288674E-4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50.027144327574298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89.2</v>
      </c>
      <c r="W150" s="5">
        <f>IF((DiscreteStatsTable[[#This Row],[RepsRequested]]&gt;1),DiscreteStatsTable[[#This Row],[HalfWidth]],DiscreteStatsTable[[#This Row],[BatchMeansHalfWidth]])</f>
        <v>0.23089002224015842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0.106428602447853</v>
      </c>
      <c r="H151">
        <v>2E+20</v>
      </c>
      <c r="I151">
        <v>0</v>
      </c>
      <c r="J151">
        <v>5.2658504152593899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0.26057187234121143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1.0392774066152699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16.124525851722701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89.2</v>
      </c>
      <c r="W151" s="5">
        <f>IF((DiscreteStatsTable[[#This Row],[RepsRequested]]&gt;1),DiscreteStatsTable[[#This Row],[HalfWidth]],DiscreteStatsTable[[#This Row],[BatchMeansHalfWidth]])</f>
        <v>9.6839139434270138E-2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82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89.2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82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89.2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6.7704011730608702</v>
      </c>
      <c r="H154">
        <v>2E+20</v>
      </c>
      <c r="I154">
        <v>4.70655360288674E-4</v>
      </c>
      <c r="J154">
        <v>29.1703671153534</v>
      </c>
      <c r="K154">
        <v>82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6.4663683430156604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5.1065392037709501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8.0125270750572994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4.70655360288674E-4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50.027144327574298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89.2</v>
      </c>
      <c r="W154" s="5">
        <f>IF((DiscreteStatsTable[[#This Row],[RepsRequested]]&gt;1),DiscreteStatsTable[[#This Row],[HalfWidth]],DiscreteStatsTable[[#This Row],[BatchMeansHalfWidth]])</f>
        <v>0.27302045169293909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82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89.2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6.2621322607564904</v>
      </c>
      <c r="H156">
        <v>2E+20</v>
      </c>
      <c r="I156">
        <v>4.70655360288674E-4</v>
      </c>
      <c r="J156">
        <v>29.1703671153534</v>
      </c>
      <c r="K156">
        <v>82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6.2057964706744482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4.9792294743198697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7.6168808616555497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4.70655360288674E-4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50.027144327574298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89.2</v>
      </c>
      <c r="W156" s="5">
        <f>IF((DiscreteStatsTable[[#This Row],[RepsRequested]]&gt;1),DiscreteStatsTable[[#This Row],[HalfWidth]],DiscreteStatsTable[[#This Row],[BatchMeansHalfWidth]])</f>
        <v>0.23089002224015842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0.50826891230438698</v>
      </c>
      <c r="H157">
        <v>2E+20</v>
      </c>
      <c r="I157">
        <v>0</v>
      </c>
      <c r="J157">
        <v>5.6825219428342297</v>
      </c>
      <c r="K157">
        <v>82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0.26057187234121143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1.0392774066152699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16.124525851722701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89.2</v>
      </c>
      <c r="W157" s="5">
        <f>IF((DiscreteStatsTable[[#This Row],[RepsRequested]]&gt;1),DiscreteStatsTable[[#This Row],[HalfWidth]],DiscreteStatsTable[[#This Row],[BatchMeansHalfWidth]])</f>
        <v>9.6839139434270138E-2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89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89.2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89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89.2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6.9462465764971002</v>
      </c>
      <c r="H160">
        <v>2E+20</v>
      </c>
      <c r="I160">
        <v>0.13649003882324001</v>
      </c>
      <c r="J160">
        <v>47.934129115973299</v>
      </c>
      <c r="K160">
        <v>89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6.4663683430156604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5.1065392037709501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8.0125270750572994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4.70655360288674E-4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50.027144327574298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89.2</v>
      </c>
      <c r="W160" s="5">
        <f>IF((DiscreteStatsTable[[#This Row],[RepsRequested]]&gt;1),DiscreteStatsTable[[#This Row],[HalfWidth]],DiscreteStatsTable[[#This Row],[BatchMeansHalfWidth]])</f>
        <v>0.27302045169293909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89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89.2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6.6132935288859001</v>
      </c>
      <c r="H162">
        <v>2E+20</v>
      </c>
      <c r="I162">
        <v>0.13649003882324001</v>
      </c>
      <c r="J162">
        <v>45.403368714254398</v>
      </c>
      <c r="K162">
        <v>89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6.2057964706744482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4.9792294743198697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7.6168808616555497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4.70655360288674E-4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50.027144327574298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89.2</v>
      </c>
      <c r="W162" s="5">
        <f>IF((DiscreteStatsTable[[#This Row],[RepsRequested]]&gt;1),DiscreteStatsTable[[#This Row],[HalfWidth]],DiscreteStatsTable[[#This Row],[BatchMeansHalfWidth]])</f>
        <v>0.23089002224015842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0.33295304761119898</v>
      </c>
      <c r="H163">
        <v>2E+20</v>
      </c>
      <c r="I163">
        <v>0</v>
      </c>
      <c r="J163">
        <v>3.5829480478650502</v>
      </c>
      <c r="K163">
        <v>89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0.26057187234121143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1.0392774066152699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16.124525851722701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89.2</v>
      </c>
      <c r="W163" s="5">
        <f>IF((DiscreteStatsTable[[#This Row],[RepsRequested]]&gt;1),DiscreteStatsTable[[#This Row],[HalfWidth]],DiscreteStatsTable[[#This Row],[BatchMeansHalfWidth]])</f>
        <v>9.6839139434270138E-2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98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89.2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98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89.2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6.3783027526077998</v>
      </c>
      <c r="H166">
        <v>2E+20</v>
      </c>
      <c r="I166">
        <v>0.13160607841552999</v>
      </c>
      <c r="J166">
        <v>47.544333081164297</v>
      </c>
      <c r="K166">
        <v>98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6.4663683430156604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5.1065392037709501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8.0125270750572994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4.70655360288674E-4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50.027144327574298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89.2</v>
      </c>
      <c r="W166" s="5">
        <f>IF((DiscreteStatsTable[[#This Row],[RepsRequested]]&gt;1),DiscreteStatsTable[[#This Row],[HalfWidth]],DiscreteStatsTable[[#This Row],[BatchMeansHalfWidth]])</f>
        <v>0.27302045169293909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98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89.2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6.1375769303434904</v>
      </c>
      <c r="H168">
        <v>2E+20</v>
      </c>
      <c r="I168">
        <v>0.13160607841552999</v>
      </c>
      <c r="J168">
        <v>47.544333081164297</v>
      </c>
      <c r="K168">
        <v>98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6.2057964706744482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4.9792294743198697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7.6168808616555497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4.70655360288674E-4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50.027144327574298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89.2</v>
      </c>
      <c r="W168" s="5">
        <f>IF((DiscreteStatsTable[[#This Row],[RepsRequested]]&gt;1),DiscreteStatsTable[[#This Row],[HalfWidth]],DiscreteStatsTable[[#This Row],[BatchMeansHalfWidth]])</f>
        <v>0.23089002224015842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0.240725822264307</v>
      </c>
      <c r="H169">
        <v>2E+20</v>
      </c>
      <c r="I169">
        <v>0</v>
      </c>
      <c r="J169">
        <v>8.7763864849678193</v>
      </c>
      <c r="K169">
        <v>98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0.26057187234121143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1.0392774066152699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16.124525851722701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89.2</v>
      </c>
      <c r="W169" s="5">
        <f>IF((DiscreteStatsTable[[#This Row],[RepsRequested]]&gt;1),DiscreteStatsTable[[#This Row],[HalfWidth]],DiscreteStatsTable[[#This Row],[BatchMeansHalfWidth]])</f>
        <v>9.6839139434270138E-2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91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89.2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91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89.2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6.8908371709561802</v>
      </c>
      <c r="H172">
        <v>2E+20</v>
      </c>
      <c r="I172">
        <v>2.7257076698560902E-2</v>
      </c>
      <c r="J172">
        <v>41.378206066220301</v>
      </c>
      <c r="K172">
        <v>91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6.4663683430156604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5.1065392037709501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8.0125270750572994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4.70655360288674E-4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50.027144327574298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89.2</v>
      </c>
      <c r="W172" s="5">
        <f>IF((DiscreteStatsTable[[#This Row],[RepsRequested]]&gt;1),DiscreteStatsTable[[#This Row],[HalfWidth]],DiscreteStatsTable[[#This Row],[BatchMeansHalfWidth]])</f>
        <v>0.27302045169293909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91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89.2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6.4763469675784204</v>
      </c>
      <c r="H174">
        <v>2E+20</v>
      </c>
      <c r="I174">
        <v>2.7257076698560902E-2</v>
      </c>
      <c r="J174">
        <v>41.378206066220301</v>
      </c>
      <c r="K174">
        <v>91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6.2057964706744482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4.9792294743198697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7.6168808616555497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4.70655360288674E-4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50.027144327574298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89.2</v>
      </c>
      <c r="W174" s="5">
        <f>IF((DiscreteStatsTable[[#This Row],[RepsRequested]]&gt;1),DiscreteStatsTable[[#This Row],[HalfWidth]],DiscreteStatsTable[[#This Row],[BatchMeansHalfWidth]])</f>
        <v>0.23089002224015842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0.41449020337776099</v>
      </c>
      <c r="H175">
        <v>2E+20</v>
      </c>
      <c r="I175">
        <v>0</v>
      </c>
      <c r="J175">
        <v>5.6431170430288402</v>
      </c>
      <c r="K175">
        <v>91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0.26057187234121143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1.0392774066152699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16.124525851722701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89.2</v>
      </c>
      <c r="W175" s="5">
        <f>IF((DiscreteStatsTable[[#This Row],[RepsRequested]]&gt;1),DiscreteStatsTable[[#This Row],[HalfWidth]],DiscreteStatsTable[[#This Row],[BatchMeansHalfWidth]])</f>
        <v>9.6839139434270138E-2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107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89.2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107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89.2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6.6645347174961902</v>
      </c>
      <c r="H178">
        <v>2E+20</v>
      </c>
      <c r="I178">
        <v>4.8110882322674797E-2</v>
      </c>
      <c r="J178">
        <v>29.770601732401499</v>
      </c>
      <c r="K178">
        <v>107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6.4663683430156604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0.73116219798446225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0.27302045169293909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5.1065392037709501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8.0125270750572994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4.70655360288674E-4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50.027144327574298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89.2</v>
      </c>
      <c r="W178" s="5">
        <f>IF((DiscreteStatsTable[[#This Row],[RepsRequested]]&gt;1),DiscreteStatsTable[[#This Row],[HalfWidth]],DiscreteStatsTable[[#This Row],[BatchMeansHalfWidth]])</f>
        <v>0.27302045169293909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107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89.2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6.3707996131214903</v>
      </c>
      <c r="H180">
        <v>2E+20</v>
      </c>
      <c r="I180">
        <v>4.8110882322674797E-2</v>
      </c>
      <c r="J180">
        <v>29.770601732401499</v>
      </c>
      <c r="K180">
        <v>107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6.2057964706744482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0.61833483574945536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0.23089002224015842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4.9792294743198697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7.6168808616555497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4.70655360288674E-4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50.027144327574298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89.2</v>
      </c>
      <c r="W180" s="5">
        <f>IF((DiscreteStatsTable[[#This Row],[RepsRequested]]&gt;1),DiscreteStatsTable[[#This Row],[HalfWidth]],DiscreteStatsTable[[#This Row],[BatchMeansHalfWidth]])</f>
        <v>0.23089002224015842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0.29373510437470302</v>
      </c>
      <c r="H181">
        <v>2E+20</v>
      </c>
      <c r="I181">
        <v>0</v>
      </c>
      <c r="J181">
        <v>4.4687886393627103</v>
      </c>
      <c r="K181">
        <v>107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0.26057187234121143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0.25933997838124573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9.6839139434270138E-2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1.0392774066152699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16.124525851722701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89.2</v>
      </c>
      <c r="W181" s="5">
        <f>IF((DiscreteStatsTable[[#This Row],[RepsRequested]]&gt;1),DiscreteStatsTable[[#This Row],[HalfWidth]],DiscreteStatsTable[[#This Row],[BatchMeansHalfWidth]])</f>
        <v>9.6839139434270138E-2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8.5254200202663305E-2</v>
      </c>
      <c r="H182">
        <v>2E+20</v>
      </c>
      <c r="I182">
        <v>0</v>
      </c>
      <c r="J182">
        <v>4.4495297618125296</v>
      </c>
      <c r="K182">
        <v>82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0.25838324533453522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1.0392774066152699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16.124525851722701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2" s="5">
        <f>IF((DiscreteStatsTable[[#This Row],[RepsRequested]]&gt;1),DiscreteStatsTable[[#This Row],[HalfWidth]],DiscreteStatsTable[[#This Row],[BatchMeansHalfWidth]])</f>
        <v>9.5857935797637434E-2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0.70730683011541096</v>
      </c>
      <c r="H183">
        <v>2E+20</v>
      </c>
      <c r="I183">
        <v>0</v>
      </c>
      <c r="J183">
        <v>12.8230075605272</v>
      </c>
      <c r="K183">
        <v>101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0.25838324533453522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1.0392774066152699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16.124525851722701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3" s="5">
        <f>IF((DiscreteStatsTable[[#This Row],[RepsRequested]]&gt;1),DiscreteStatsTable[[#This Row],[HalfWidth]],DiscreteStatsTable[[#This Row],[BatchMeansHalfWidth]])</f>
        <v>9.5857935797637434E-2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0.93247184712981601</v>
      </c>
      <c r="H184">
        <v>2E+20</v>
      </c>
      <c r="I184">
        <v>0</v>
      </c>
      <c r="J184">
        <v>13.894302129953299</v>
      </c>
      <c r="K184">
        <v>110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0.25838324533453522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1.0392774066152699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16.124525851722701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4" s="5">
        <f>IF((DiscreteStatsTable[[#This Row],[RepsRequested]]&gt;1),DiscreteStatsTable[[#This Row],[HalfWidth]],DiscreteStatsTable[[#This Row],[BatchMeansHalfWidth]])</f>
        <v>9.5857935797637434E-2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0.111129081432327</v>
      </c>
      <c r="H185">
        <v>2E+20</v>
      </c>
      <c r="I185">
        <v>0</v>
      </c>
      <c r="J185">
        <v>4.25707296902696</v>
      </c>
      <c r="K185">
        <v>94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0.25838324533453522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1.0392774066152699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16.124525851722701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5" s="5">
        <f>IF((DiscreteStatsTable[[#This Row],[RepsRequested]]&gt;1),DiscreteStatsTable[[#This Row],[HalfWidth]],DiscreteStatsTable[[#This Row],[BatchMeansHalfWidth]])</f>
        <v>9.5857935797637434E-2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0.184120857043547</v>
      </c>
      <c r="H186">
        <v>2E+20</v>
      </c>
      <c r="I186">
        <v>0</v>
      </c>
      <c r="J186">
        <v>6.1408431075599301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0.25838324533453522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1.0392774066152699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16.124525851722701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6" s="5">
        <f>IF((DiscreteStatsTable[[#This Row],[RepsRequested]]&gt;1),DiscreteStatsTable[[#This Row],[HalfWidth]],DiscreteStatsTable[[#This Row],[BatchMeansHalfWidth]])</f>
        <v>9.5857935797637434E-2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0.124894354914993</v>
      </c>
      <c r="H187">
        <v>2E+20</v>
      </c>
      <c r="I187">
        <v>0</v>
      </c>
      <c r="J187">
        <v>2.99613906314136</v>
      </c>
      <c r="K187">
        <v>95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0.25838324533453522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1.0392774066152699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16.124525851722701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7" s="5">
        <f>IF((DiscreteStatsTable[[#This Row],[RepsRequested]]&gt;1),DiscreteStatsTable[[#This Row],[HalfWidth]],DiscreteStatsTable[[#This Row],[BatchMeansHalfWidth]])</f>
        <v>9.5857935797637434E-2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0.27262403172034899</v>
      </c>
      <c r="H188">
        <v>2E+20</v>
      </c>
      <c r="I188">
        <v>0</v>
      </c>
      <c r="J188">
        <v>6.5658027409620798</v>
      </c>
      <c r="K188">
        <v>92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0.25838324533453522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1.0392774066152699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16.124525851722701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8" s="5">
        <f>IF((DiscreteStatsTable[[#This Row],[RepsRequested]]&gt;1),DiscreteStatsTable[[#This Row],[HalfWidth]],DiscreteStatsTable[[#This Row],[BatchMeansHalfWidth]])</f>
        <v>9.5857935797637434E-2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72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0.25838324533453522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1.0392774066152699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16.124525851722701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89" s="5">
        <f>IF((DiscreteStatsTable[[#This Row],[RepsRequested]]&gt;1),DiscreteStatsTable[[#This Row],[HalfWidth]],DiscreteStatsTable[[#This Row],[BatchMeansHalfWidth]])</f>
        <v>9.5857935797637434E-2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4.6504229246941801E-2</v>
      </c>
      <c r="H190">
        <v>2E+20</v>
      </c>
      <c r="I190">
        <v>0</v>
      </c>
      <c r="J190">
        <v>2.4570845827856198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0.25838324533453522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1.0392774066152699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16.124525851722701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0" s="5">
        <f>IF((DiscreteStatsTable[[#This Row],[RepsRequested]]&gt;1),DiscreteStatsTable[[#This Row],[HalfWidth]],DiscreteStatsTable[[#This Row],[BatchMeansHalfWidth]])</f>
        <v>9.5857935797637434E-2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0.12730972945107899</v>
      </c>
      <c r="H191">
        <v>2E+20</v>
      </c>
      <c r="I191">
        <v>0</v>
      </c>
      <c r="J191">
        <v>5.0666039601639499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0.25838324533453522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1.0392774066152699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16.124525851722701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1" s="5">
        <f>IF((DiscreteStatsTable[[#This Row],[RepsRequested]]&gt;1),DiscreteStatsTable[[#This Row],[HalfWidth]],DiscreteStatsTable[[#This Row],[BatchMeansHalfWidth]])</f>
        <v>9.5857935797637434E-2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0.17709037764575</v>
      </c>
      <c r="H192">
        <v>2E+20</v>
      </c>
      <c r="I192">
        <v>0</v>
      </c>
      <c r="J192">
        <v>8.4609108090532992</v>
      </c>
      <c r="K192">
        <v>94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0.25838324533453522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1.0392774066152699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16.124525851722701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2" s="5">
        <f>IF((DiscreteStatsTable[[#This Row],[RepsRequested]]&gt;1),DiscreteStatsTable[[#This Row],[HalfWidth]],DiscreteStatsTable[[#This Row],[BatchMeansHalfWidth]])</f>
        <v>9.5857935797637434E-2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1.0392774066152699</v>
      </c>
      <c r="H193">
        <v>2E+20</v>
      </c>
      <c r="I193">
        <v>0</v>
      </c>
      <c r="J193">
        <v>16.124525851722701</v>
      </c>
      <c r="K193">
        <v>84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0.25838324533453522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1.0392774066152699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16.124525851722701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3" s="5">
        <f>IF((DiscreteStatsTable[[#This Row],[RepsRequested]]&gt;1),DiscreteStatsTable[[#This Row],[HalfWidth]],DiscreteStatsTable[[#This Row],[BatchMeansHalfWidth]])</f>
        <v>9.5857935797637434E-2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0.201161024960021</v>
      </c>
      <c r="H194">
        <v>2E+20</v>
      </c>
      <c r="I194">
        <v>0</v>
      </c>
      <c r="J194">
        <v>2.9108139443508998</v>
      </c>
      <c r="K194">
        <v>94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0.25838324533453522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1.0392774066152699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16.124525851722701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4" s="5">
        <f>IF((DiscreteStatsTable[[#This Row],[RepsRequested]]&gt;1),DiscreteStatsTable[[#This Row],[HalfWidth]],DiscreteStatsTable[[#This Row],[BatchMeansHalfWidth]])</f>
        <v>9.5857935797637434E-2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4.4432949957224403E-2</v>
      </c>
      <c r="H195">
        <v>2E+20</v>
      </c>
      <c r="I195">
        <v>0</v>
      </c>
      <c r="J195">
        <v>1.2472277477364699</v>
      </c>
      <c r="K195">
        <v>92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0.25838324533453522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1.0392774066152699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16.124525851722701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5" s="5">
        <f>IF((DiscreteStatsTable[[#This Row],[RepsRequested]]&gt;1),DiscreteStatsTable[[#This Row],[HalfWidth]],DiscreteStatsTable[[#This Row],[BatchMeansHalfWidth]])</f>
        <v>9.5857935797637434E-2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0.110228503926126</v>
      </c>
      <c r="H196">
        <v>2E+20</v>
      </c>
      <c r="I196">
        <v>0</v>
      </c>
      <c r="J196">
        <v>3.8206562369725199</v>
      </c>
      <c r="K196">
        <v>86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0.25838324533453522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1.0392774066152699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16.124525851722701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6" s="5">
        <f>IF((DiscreteStatsTable[[#This Row],[RepsRequested]]&gt;1),DiscreteStatsTable[[#This Row],[HalfWidth]],DiscreteStatsTable[[#This Row],[BatchMeansHalfWidth]])</f>
        <v>9.5857935797637434E-2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0.39152489867881202</v>
      </c>
      <c r="H197">
        <v>2E+20</v>
      </c>
      <c r="I197">
        <v>0</v>
      </c>
      <c r="J197">
        <v>5.9316083813827696</v>
      </c>
      <c r="K197">
        <v>96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0.25838324533453522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1.0392774066152699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16.124525851722701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7" s="5">
        <f>IF((DiscreteStatsTable[[#This Row],[RepsRequested]]&gt;1),DiscreteStatsTable[[#This Row],[HalfWidth]],DiscreteStatsTable[[#This Row],[BatchMeansHalfWidth]])</f>
        <v>9.5857935797637434E-2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7.8008724755938993E-2</v>
      </c>
      <c r="H198">
        <v>2E+20</v>
      </c>
      <c r="I198">
        <v>0</v>
      </c>
      <c r="J198">
        <v>2.6520428653955399</v>
      </c>
      <c r="K198">
        <v>71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0.25838324533453522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1.0392774066152699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16.124525851722701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8" s="5">
        <f>IF((DiscreteStatsTable[[#This Row],[RepsRequested]]&gt;1),DiscreteStatsTable[[#This Row],[HalfWidth]],DiscreteStatsTable[[#This Row],[BatchMeansHalfWidth]])</f>
        <v>9.5857935797637434E-2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0.15965408678031701</v>
      </c>
      <c r="H199">
        <v>2E+20</v>
      </c>
      <c r="I199">
        <v>0</v>
      </c>
      <c r="J199">
        <v>4.4079349209642897</v>
      </c>
      <c r="K199">
        <v>101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0.25838324533453522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0.25671226678241804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1.0392774066152699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16.124525851722701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199" s="5">
        <f>IF((DiscreteStatsTable[[#This Row],[RepsRequested]]&gt;1),DiscreteStatsTable[[#This Row],[HalfWidth]],DiscreteStatsTable[[#This Row],[BatchMeansHalfWidth]])</f>
        <v>9.5857935797637434E-2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0.21724916477185899</v>
      </c>
      <c r="H200">
        <v>2E+20</v>
      </c>
      <c r="I200">
        <v>0</v>
      </c>
      <c r="J200">
        <v>4.7665481218963901</v>
      </c>
      <c r="K200">
        <v>83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0.25838324533453522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1.0392774066152699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16.124525851722701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0" s="5">
        <f>IF((DiscreteStatsTable[[#This Row],[RepsRequested]]&gt;1),DiscreteStatsTable[[#This Row],[HalfWidth]],DiscreteStatsTable[[#This Row],[BatchMeansHalfWidth]])</f>
        <v>9.5857935797637434E-2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2.46953259336503E-2</v>
      </c>
      <c r="H201">
        <v>2E+20</v>
      </c>
      <c r="I201">
        <v>0</v>
      </c>
      <c r="J201">
        <v>1.099644473548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0.25838324533453522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1.0392774066152699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16.124525851722701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1" s="5">
        <f>IF((DiscreteStatsTable[[#This Row],[RepsRequested]]&gt;1),DiscreteStatsTable[[#This Row],[HalfWidth]],DiscreteStatsTable[[#This Row],[BatchMeansHalfWidth]])</f>
        <v>9.5857935797637434E-2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5.6029947663611801E-2</v>
      </c>
      <c r="H202">
        <v>2E+20</v>
      </c>
      <c r="I202">
        <v>0</v>
      </c>
      <c r="J202">
        <v>4.1599544068930099</v>
      </c>
      <c r="K202">
        <v>93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0.25838324533453522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1.0392774066152699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16.124525851722701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2" s="5">
        <f>IF((DiscreteStatsTable[[#This Row],[RepsRequested]]&gt;1),DiscreteStatsTable[[#This Row],[HalfWidth]],DiscreteStatsTable[[#This Row],[BatchMeansHalfWidth]])</f>
        <v>9.5857935797637434E-2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0.30019489732566201</v>
      </c>
      <c r="H203">
        <v>2E+20</v>
      </c>
      <c r="I203">
        <v>0</v>
      </c>
      <c r="J203">
        <v>9.6793682639254595</v>
      </c>
      <c r="K203">
        <v>83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0.25838324533453522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1.0392774066152699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16.124525851722701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3" s="5">
        <f>IF((DiscreteStatsTable[[#This Row],[RepsRequested]]&gt;1),DiscreteStatsTable[[#This Row],[HalfWidth]],DiscreteStatsTable[[#This Row],[BatchMeansHalfWidth]])</f>
        <v>9.5857935797637434E-2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0.46296035509344702</v>
      </c>
      <c r="H204">
        <v>2E+20</v>
      </c>
      <c r="I204">
        <v>0</v>
      </c>
      <c r="J204">
        <v>7.5359461918169499</v>
      </c>
      <c r="K204">
        <v>93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0.25838324533453522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1.0392774066152699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16.124525851722701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4" s="5">
        <f>IF((DiscreteStatsTable[[#This Row],[RepsRequested]]&gt;1),DiscreteStatsTable[[#This Row],[HalfWidth]],DiscreteStatsTable[[#This Row],[BatchMeansHalfWidth]])</f>
        <v>9.5857935797637434E-2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2.7320627307288198E-2</v>
      </c>
      <c r="H205">
        <v>2E+20</v>
      </c>
      <c r="I205">
        <v>0</v>
      </c>
      <c r="J205">
        <v>1.32750215019107</v>
      </c>
      <c r="K205">
        <v>74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0.25838324533453522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1.0392774066152699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16.124525851722701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5" s="5">
        <f>IF((DiscreteStatsTable[[#This Row],[RepsRequested]]&gt;1),DiscreteStatsTable[[#This Row],[HalfWidth]],DiscreteStatsTable[[#This Row],[BatchMeansHalfWidth]])</f>
        <v>9.5857935797637434E-2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0.106428602447853</v>
      </c>
      <c r="H206">
        <v>2E+20</v>
      </c>
      <c r="I206">
        <v>0</v>
      </c>
      <c r="J206">
        <v>5.2658504152593899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0.25838324533453522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1.0392774066152699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16.124525851722701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6" s="5">
        <f>IF((DiscreteStatsTable[[#This Row],[RepsRequested]]&gt;1),DiscreteStatsTable[[#This Row],[HalfWidth]],DiscreteStatsTable[[#This Row],[BatchMeansHalfWidth]])</f>
        <v>9.5857935797637434E-2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0.50214519046939499</v>
      </c>
      <c r="H207">
        <v>2E+20</v>
      </c>
      <c r="I207">
        <v>0</v>
      </c>
      <c r="J207">
        <v>5.6825219428342297</v>
      </c>
      <c r="K207">
        <v>83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0.25838324533453522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1.0392774066152699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16.124525851722701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7" s="5">
        <f>IF((DiscreteStatsTable[[#This Row],[RepsRequested]]&gt;1),DiscreteStatsTable[[#This Row],[HalfWidth]],DiscreteStatsTable[[#This Row],[BatchMeansHalfWidth]])</f>
        <v>9.5857935797637434E-2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0.32925356930440802</v>
      </c>
      <c r="H208">
        <v>2E+20</v>
      </c>
      <c r="I208">
        <v>0</v>
      </c>
      <c r="J208">
        <v>3.5829480478650502</v>
      </c>
      <c r="K208">
        <v>90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0.25838324533453522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1.0392774066152699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16.124525851722701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8" s="5">
        <f>IF((DiscreteStatsTable[[#This Row],[RepsRequested]]&gt;1),DiscreteStatsTable[[#This Row],[HalfWidth]],DiscreteStatsTable[[#This Row],[BatchMeansHalfWidth]])</f>
        <v>9.5857935797637434E-2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0.23829424830204199</v>
      </c>
      <c r="H209">
        <v>2E+20</v>
      </c>
      <c r="I209">
        <v>0</v>
      </c>
      <c r="J209">
        <v>8.7763864849678193</v>
      </c>
      <c r="K209">
        <v>99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0.25838324533453522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1.0392774066152699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16.124525851722701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09" s="5">
        <f>IF((DiscreteStatsTable[[#This Row],[RepsRequested]]&gt;1),DiscreteStatsTable[[#This Row],[HalfWidth]],DiscreteStatsTable[[#This Row],[BatchMeansHalfWidth]])</f>
        <v>9.5857935797637434E-2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0.40126179263166201</v>
      </c>
      <c r="H210">
        <v>2E+20</v>
      </c>
      <c r="I210">
        <v>0</v>
      </c>
      <c r="J210">
        <v>5.6431170430288402</v>
      </c>
      <c r="K210">
        <v>94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0.25838324533453522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1.0392774066152699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16.124525851722701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10" s="5">
        <f>IF((DiscreteStatsTable[[#This Row],[RepsRequested]]&gt;1),DiscreteStatsTable[[#This Row],[HalfWidth]],DiscreteStatsTable[[#This Row],[BatchMeansHalfWidth]])</f>
        <v>9.5857935797637434E-2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0.29267050420859297</v>
      </c>
      <c r="H211">
        <v>2E+20</v>
      </c>
      <c r="I211">
        <v>0</v>
      </c>
      <c r="J211">
        <v>4.4687886393627103</v>
      </c>
      <c r="K211">
        <v>108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0.25838324533453522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0.25671226678241804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9.5857935797637434E-2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1.0392774066152699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16.124525851722701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90.033333333333331</v>
      </c>
      <c r="W211" s="5">
        <f>IF((DiscreteStatsTable[[#This Row],[RepsRequested]]&gt;1),DiscreteStatsTable[[#This Row],[HalfWidth]],DiscreteStatsTable[[#This Row],[BatchMeansHalfWidth]])</f>
        <v>9.5857935797637434E-2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1.0582881673829501</v>
      </c>
      <c r="H2">
        <v>2E+20</v>
      </c>
      <c r="I2">
        <v>0</v>
      </c>
      <c r="J2">
        <v>4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0.76489143622298805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1.49813393651904</v>
      </c>
      <c r="U2">
        <f>IF((ContinuousStatsTable[[#This Row],[RepsRequested]]&gt;1),ContinuousStatsTable[[#This Row],[HalfWidth]],ContinuousStatsTable[[#This Row],[BatchMeansHalfWidth]])</f>
        <v>6.8034586911528527E-2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0.34844738640134199</v>
      </c>
      <c r="H3">
        <v>2E+20</v>
      </c>
      <c r="I3">
        <v>0</v>
      </c>
      <c r="J3">
        <v>1</v>
      </c>
      <c r="K3">
        <v>0.33333333333333298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0.248961473715994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0.449747634188089</v>
      </c>
      <c r="U3">
        <f>IF((ContinuousStatsTable[[#This Row],[RepsRequested]]&gt;1),ContinuousStatsTable[[#This Row],[HalfWidth]],ContinuousStatsTable[[#This Row],[BatchMeansHalfWidth]])</f>
        <v>1.9135845847073889E-2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1.04534215920403</v>
      </c>
      <c r="H4">
        <v>2E+20</v>
      </c>
      <c r="I4">
        <v>0</v>
      </c>
      <c r="J4">
        <v>3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0.74688442114798104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1.34924290256427</v>
      </c>
      <c r="U4">
        <f>IF((ContinuousStatsTable[[#This Row],[RepsRequested]]&gt;1),ContinuousStatsTable[[#This Row],[HalfWidth]],ContinuousStatsTable[[#This Row],[BatchMeansHalfWidth]])</f>
        <v>5.740753754122279E-2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1.2946008178922899E-2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0.18994796885977699</v>
      </c>
      <c r="U6">
        <f>IF((ContinuousStatsTable[[#This Row],[RepsRequested]]&gt;1),ContinuousStatsTable[[#This Row],[HalfWidth]],ContinuousStatsTable[[#This Row],[BatchMeansHalfWidth]])</f>
        <v>1.7250343257215396E-2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1.3631249662490801</v>
      </c>
      <c r="H7">
        <v>2E+20</v>
      </c>
      <c r="I7">
        <v>0</v>
      </c>
      <c r="J7">
        <v>7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0.76489143622298805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1.49813393651904</v>
      </c>
      <c r="U7">
        <f>IF((ContinuousStatsTable[[#This Row],[RepsRequested]]&gt;1),ContinuousStatsTable[[#This Row],[HalfWidth]],ContinuousStatsTable[[#This Row],[BatchMeansHalfWidth]])</f>
        <v>6.8034586911528527E-2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0.41027746415607702</v>
      </c>
      <c r="H8">
        <v>2E+20</v>
      </c>
      <c r="I8">
        <v>0</v>
      </c>
      <c r="J8">
        <v>1</v>
      </c>
      <c r="K8">
        <v>0.33333333333333298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0.248961473715994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0.449747634188089</v>
      </c>
      <c r="U8">
        <f>IF((ContinuousStatsTable[[#This Row],[RepsRequested]]&gt;1),ContinuousStatsTable[[#This Row],[HalfWidth]],ContinuousStatsTable[[#This Row],[BatchMeansHalfWidth]])</f>
        <v>1.9135845847073889E-2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1.2308323924682301</v>
      </c>
      <c r="H9">
        <v>2E+20</v>
      </c>
      <c r="I9">
        <v>0</v>
      </c>
      <c r="J9">
        <v>3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0.74688442114798104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1.34924290256427</v>
      </c>
      <c r="U9">
        <f>IF((ContinuousStatsTable[[#This Row],[RepsRequested]]&gt;1),ContinuousStatsTable[[#This Row],[HalfWidth]],ContinuousStatsTable[[#This Row],[BatchMeansHalfWidth]])</f>
        <v>5.740753754122279E-2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0.132292573780845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0.18994796885977699</v>
      </c>
      <c r="U11">
        <f>IF((ContinuousStatsTable[[#This Row],[RepsRequested]]&gt;1),ContinuousStatsTable[[#This Row],[HalfWidth]],ContinuousStatsTable[[#This Row],[BatchMeansHalfWidth]])</f>
        <v>1.7250343257215396E-2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1.49813393651904</v>
      </c>
      <c r="H12">
        <v>2E+20</v>
      </c>
      <c r="I12">
        <v>0</v>
      </c>
      <c r="J12">
        <v>8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0.76489143622298805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1.49813393651904</v>
      </c>
      <c r="U12">
        <f>IF((ContinuousStatsTable[[#This Row],[RepsRequested]]&gt;1),ContinuousStatsTable[[#This Row],[HalfWidth]],ContinuousStatsTable[[#This Row],[BatchMeansHalfWidth]])</f>
        <v>6.8034586911528527E-2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0.43606198921975298</v>
      </c>
      <c r="H13">
        <v>2E+20</v>
      </c>
      <c r="I13">
        <v>0</v>
      </c>
      <c r="J13">
        <v>1</v>
      </c>
      <c r="K13">
        <v>0.66666666666666696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0.248961473715994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0.449747634188089</v>
      </c>
      <c r="U13">
        <f>IF((ContinuousStatsTable[[#This Row],[RepsRequested]]&gt;1),ContinuousStatsTable[[#This Row],[HalfWidth]],ContinuousStatsTable[[#This Row],[BatchMeansHalfWidth]])</f>
        <v>1.9135845847073889E-2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1.30818596765926</v>
      </c>
      <c r="H14">
        <v>2E+20</v>
      </c>
      <c r="I14">
        <v>0</v>
      </c>
      <c r="J14">
        <v>3</v>
      </c>
      <c r="K14">
        <v>2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0.74688442114798104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1.34924290256427</v>
      </c>
      <c r="U14">
        <f>IF((ContinuousStatsTable[[#This Row],[RepsRequested]]&gt;1),ContinuousStatsTable[[#This Row],[HalfWidth]],ContinuousStatsTable[[#This Row],[BatchMeansHalfWidth]])</f>
        <v>5.740753754122279E-2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0.18994796885977699</v>
      </c>
      <c r="H16">
        <v>2E+20</v>
      </c>
      <c r="I16">
        <v>0</v>
      </c>
      <c r="J16">
        <v>5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0.18994796885977699</v>
      </c>
      <c r="U16">
        <f>IF((ContinuousStatsTable[[#This Row],[RepsRequested]]&gt;1),ContinuousStatsTable[[#This Row],[HalfWidth]],ContinuousStatsTable[[#This Row],[BatchMeansHalfWidth]])</f>
        <v>1.7250343257215396E-2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1.1149416487167401</v>
      </c>
      <c r="H17">
        <v>2E+20</v>
      </c>
      <c r="I17">
        <v>0</v>
      </c>
      <c r="J17">
        <v>4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0.76489143622298805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1.49813393651904</v>
      </c>
      <c r="U17">
        <f>IF((ContinuousStatsTable[[#This Row],[RepsRequested]]&gt;1),ContinuousStatsTable[[#This Row],[HalfWidth]],ContinuousStatsTable[[#This Row],[BatchMeansHalfWidth]])</f>
        <v>6.8034586911528527E-2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0.36519898558789998</v>
      </c>
      <c r="H18">
        <v>2E+20</v>
      </c>
      <c r="I18">
        <v>0</v>
      </c>
      <c r="J18">
        <v>1</v>
      </c>
      <c r="K18">
        <v>0.66666666666666696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0.248961473715994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0.449747634188089</v>
      </c>
      <c r="U18">
        <f>IF((ContinuousStatsTable[[#This Row],[RepsRequested]]&gt;1),ContinuousStatsTable[[#This Row],[HalfWidth]],ContinuousStatsTable[[#This Row],[BatchMeansHalfWidth]])</f>
        <v>1.9135845847073889E-2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1.0955969567637001</v>
      </c>
      <c r="H19">
        <v>2E+20</v>
      </c>
      <c r="I19">
        <v>0</v>
      </c>
      <c r="J19">
        <v>3</v>
      </c>
      <c r="K19">
        <v>2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0.74688442114798104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1.34924290256427</v>
      </c>
      <c r="U19">
        <f>IF((ContinuousStatsTable[[#This Row],[RepsRequested]]&gt;1),ContinuousStatsTable[[#This Row],[HalfWidth]],ContinuousStatsTable[[#This Row],[BatchMeansHalfWidth]])</f>
        <v>5.740753754122279E-2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1.9344691953034801E-2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0.18994796885977699</v>
      </c>
      <c r="U21">
        <f>IF((ContinuousStatsTable[[#This Row],[RepsRequested]]&gt;1),ContinuousStatsTable[[#This Row],[HalfWidth]],ContinuousStatsTable[[#This Row],[BatchMeansHalfWidth]])</f>
        <v>1.7250343257215396E-2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0.95662750204440905</v>
      </c>
      <c r="H22">
        <v>2E+20</v>
      </c>
      <c r="I22">
        <v>0</v>
      </c>
      <c r="J22">
        <v>4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0.76489143622298805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1.49813393651904</v>
      </c>
      <c r="U22">
        <f>IF((ContinuousStatsTable[[#This Row],[RepsRequested]]&gt;1),ContinuousStatsTable[[#This Row],[HalfWidth]],ContinuousStatsTable[[#This Row],[BatchMeansHalfWidth]])</f>
        <v>6.8034586911528527E-2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0.30796496841222198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0.248961473715994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0.449747634188089</v>
      </c>
      <c r="U23">
        <f>IF((ContinuousStatsTable[[#This Row],[RepsRequested]]&gt;1),ContinuousStatsTable[[#This Row],[HalfWidth]],ContinuousStatsTable[[#This Row],[BatchMeansHalfWidth]])</f>
        <v>1.9135845847073889E-2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0.92389490523666695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0.74688442114798104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1.34924290256427</v>
      </c>
      <c r="U24">
        <f>IF((ContinuousStatsTable[[#This Row],[RepsRequested]]&gt;1),ContinuousStatsTable[[#This Row],[HalfWidth]],ContinuousStatsTable[[#This Row],[BatchMeansHalfWidth]])</f>
        <v>5.740753754122279E-2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3.2732596807741703E-2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0.18994796885977699</v>
      </c>
      <c r="U26">
        <f>IF((ContinuousStatsTable[[#This Row],[RepsRequested]]&gt;1),ContinuousStatsTable[[#This Row],[HalfWidth]],ContinuousStatsTable[[#This Row],[BatchMeansHalfWidth]])</f>
        <v>1.7250343257215396E-2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1.13221024558536</v>
      </c>
      <c r="H27">
        <v>2E+20</v>
      </c>
      <c r="I27">
        <v>0</v>
      </c>
      <c r="J27">
        <v>5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0.76489143622298805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1.49813393651904</v>
      </c>
      <c r="U27">
        <f>IF((ContinuousStatsTable[[#This Row],[RepsRequested]]&gt;1),ContinuousStatsTable[[#This Row],[HalfWidth]],ContinuousStatsTable[[#This Row],[BatchMeansHalfWidth]])</f>
        <v>6.8034586911528527E-2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0.37007936351800702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0.248961473715994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0.449747634188089</v>
      </c>
      <c r="U28">
        <f>IF((ContinuousStatsTable[[#This Row],[RepsRequested]]&gt;1),ContinuousStatsTable[[#This Row],[HalfWidth]],ContinuousStatsTable[[#This Row],[BatchMeansHalfWidth]])</f>
        <v>1.9135845847073889E-2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1.1102380905540199</v>
      </c>
      <c r="H29">
        <v>2E+20</v>
      </c>
      <c r="I29">
        <v>0</v>
      </c>
      <c r="J29">
        <v>3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0.74688442114798104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1.34924290256427</v>
      </c>
      <c r="U29">
        <f>IF((ContinuousStatsTable[[#This Row],[RepsRequested]]&gt;1),ContinuousStatsTable[[#This Row],[HalfWidth]],ContinuousStatsTable[[#This Row],[BatchMeansHalfWidth]])</f>
        <v>5.740753754122279E-2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2.1972155031341301E-2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0.18994796885977699</v>
      </c>
      <c r="U31">
        <f>IF((ContinuousStatsTable[[#This Row],[RepsRequested]]&gt;1),ContinuousStatsTable[[#This Row],[HalfWidth]],ContinuousStatsTable[[#This Row],[BatchMeansHalfWidth]])</f>
        <v>1.7250343257215396E-2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1.20538270236897</v>
      </c>
      <c r="H32">
        <v>2E+20</v>
      </c>
      <c r="I32">
        <v>0</v>
      </c>
      <c r="J32">
        <v>5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0.76489143622298805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1.49813393651904</v>
      </c>
      <c r="U32">
        <f>IF((ContinuousStatsTable[[#This Row],[RepsRequested]]&gt;1),ContinuousStatsTable[[#This Row],[HalfWidth]],ContinuousStatsTable[[#This Row],[BatchMeansHalfWidth]])</f>
        <v>6.8034586911528527E-2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0.38631188170430197</v>
      </c>
      <c r="H33">
        <v>2E+20</v>
      </c>
      <c r="I33">
        <v>0</v>
      </c>
      <c r="J33">
        <v>1</v>
      </c>
      <c r="K33">
        <v>0.33333333333333298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0.248961473715994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0.449747634188089</v>
      </c>
      <c r="U33">
        <f>IF((ContinuousStatsTable[[#This Row],[RepsRequested]]&gt;1),ContinuousStatsTable[[#This Row],[HalfWidth]],ContinuousStatsTable[[#This Row],[BatchMeansHalfWidth]])</f>
        <v>1.9135845847073889E-2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1.15893564511291</v>
      </c>
      <c r="H34">
        <v>2E+20</v>
      </c>
      <c r="I34">
        <v>0</v>
      </c>
      <c r="J34">
        <v>3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0.74688442114798104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1.34924290256427</v>
      </c>
      <c r="U34">
        <f>IF((ContinuousStatsTable[[#This Row],[RepsRequested]]&gt;1),ContinuousStatsTable[[#This Row],[HalfWidth]],ContinuousStatsTable[[#This Row],[BatchMeansHalfWidth]])</f>
        <v>5.740753754122279E-2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4.6447057256059403E-2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0.18994796885977699</v>
      </c>
      <c r="U36">
        <f>IF((ContinuousStatsTable[[#This Row],[RepsRequested]]&gt;1),ContinuousStatsTable[[#This Row],[HalfWidth]],ContinuousStatsTable[[#This Row],[BatchMeansHalfWidth]])</f>
        <v>1.7250343257215396E-2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0.93511737924848604</v>
      </c>
      <c r="H37">
        <v>2E+20</v>
      </c>
      <c r="I37">
        <v>0</v>
      </c>
      <c r="J37">
        <v>3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0.76489143622298805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1.49813393651904</v>
      </c>
      <c r="U37">
        <f>IF((ContinuousStatsTable[[#This Row],[RepsRequested]]&gt;1),ContinuousStatsTable[[#This Row],[HalfWidth]],ContinuousStatsTable[[#This Row],[BatchMeansHalfWidth]])</f>
        <v>6.8034586911528527E-2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0.31170579308282897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0.248961473715994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0.449747634188089</v>
      </c>
      <c r="U38">
        <f>IF((ContinuousStatsTable[[#This Row],[RepsRequested]]&gt;1),ContinuousStatsTable[[#This Row],[HalfWidth]],ContinuousStatsTable[[#This Row],[BatchMeansHalfWidth]])</f>
        <v>1.9135845847073889E-2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0.93511737924848604</v>
      </c>
      <c r="H39">
        <v>2E+20</v>
      </c>
      <c r="I39">
        <v>0</v>
      </c>
      <c r="J39">
        <v>3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0.74688442114798104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1.34924290256427</v>
      </c>
      <c r="U39">
        <f>IF((ContinuousStatsTable[[#This Row],[RepsRequested]]&gt;1),ContinuousStatsTable[[#This Row],[HalfWidth]],ContinuousStatsTable[[#This Row],[BatchMeansHalfWidth]])</f>
        <v>5.740753754122279E-2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0.18994796885977699</v>
      </c>
      <c r="U41">
        <f>IF((ContinuousStatsTable[[#This Row],[RepsRequested]]&gt;1),ContinuousStatsTable[[#This Row],[HalfWidth]],ContinuousStatsTable[[#This Row],[BatchMeansHalfWidth]])</f>
        <v>1.7250343257215396E-2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0.90292908706036101</v>
      </c>
      <c r="H42">
        <v>2E+20</v>
      </c>
      <c r="I42">
        <v>0</v>
      </c>
      <c r="J42">
        <v>4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0.76489143622298805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1.49813393651904</v>
      </c>
      <c r="U42">
        <f>IF((ContinuousStatsTable[[#This Row],[RepsRequested]]&gt;1),ContinuousStatsTable[[#This Row],[HalfWidth]],ContinuousStatsTable[[#This Row],[BatchMeansHalfWidth]])</f>
        <v>6.8034586911528527E-2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0.29847891300500701</v>
      </c>
      <c r="H43">
        <v>2E+20</v>
      </c>
      <c r="I43">
        <v>0</v>
      </c>
      <c r="J43">
        <v>1</v>
      </c>
      <c r="K43">
        <v>0.33333333333333298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0.248961473715994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0.449747634188089</v>
      </c>
      <c r="U43">
        <f>IF((ContinuousStatsTable[[#This Row],[RepsRequested]]&gt;1),ContinuousStatsTable[[#This Row],[HalfWidth]],ContinuousStatsTable[[#This Row],[BatchMeansHalfWidth]])</f>
        <v>1.9135845847073889E-2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0.89543673901501997</v>
      </c>
      <c r="H44">
        <v>2E+20</v>
      </c>
      <c r="I44">
        <v>0</v>
      </c>
      <c r="J44">
        <v>3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0.74688442114798104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1.34924290256427</v>
      </c>
      <c r="U44">
        <f>IF((ContinuousStatsTable[[#This Row],[RepsRequested]]&gt;1),ContinuousStatsTable[[#This Row],[HalfWidth]],ContinuousStatsTable[[#This Row],[BatchMeansHalfWidth]])</f>
        <v>5.740753754122279E-2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7.4923480453406299E-3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0.18994796885977699</v>
      </c>
      <c r="U46">
        <f>IF((ContinuousStatsTable[[#This Row],[RepsRequested]]&gt;1),ContinuousStatsTable[[#This Row],[HalfWidth]],ContinuousStatsTable[[#This Row],[BatchMeansHalfWidth]])</f>
        <v>1.7250343257215396E-2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0.76598088056564295</v>
      </c>
      <c r="H47">
        <v>2E+20</v>
      </c>
      <c r="I47">
        <v>0</v>
      </c>
      <c r="J47">
        <v>5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0.76489143622298805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1.49813393651904</v>
      </c>
      <c r="U47">
        <f>IF((ContinuousStatsTable[[#This Row],[RepsRequested]]&gt;1),ContinuousStatsTable[[#This Row],[HalfWidth]],ContinuousStatsTable[[#This Row],[BatchMeansHalfWidth]])</f>
        <v>6.8034586911528527E-2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0.248961473715994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0.248961473715994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0.449747634188089</v>
      </c>
      <c r="U48">
        <f>IF((ContinuousStatsTable[[#This Row],[RepsRequested]]&gt;1),ContinuousStatsTable[[#This Row],[HalfWidth]],ContinuousStatsTable[[#This Row],[BatchMeansHalfWidth]])</f>
        <v>1.9135845847073889E-2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0.74688442114798104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0.74688442114798104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1.34924290256427</v>
      </c>
      <c r="U49">
        <f>IF((ContinuousStatsTable[[#This Row],[RepsRequested]]&gt;1),ContinuousStatsTable[[#This Row],[HalfWidth]],ContinuousStatsTable[[#This Row],[BatchMeansHalfWidth]])</f>
        <v>5.740753754122279E-2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1.9096459417661801E-2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0.18994796885977699</v>
      </c>
      <c r="U51">
        <f>IF((ContinuousStatsTable[[#This Row],[RepsRequested]]&gt;1),ContinuousStatsTable[[#This Row],[HalfWidth]],ContinuousStatsTable[[#This Row],[BatchMeansHalfWidth]])</f>
        <v>1.7250343257215396E-2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1.01536219515649</v>
      </c>
      <c r="H52">
        <v>2E+20</v>
      </c>
      <c r="I52">
        <v>0</v>
      </c>
      <c r="J52">
        <v>5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0.76489143622298805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1.49813393651904</v>
      </c>
      <c r="U52">
        <f>IF((ContinuousStatsTable[[#This Row],[RepsRequested]]&gt;1),ContinuousStatsTable[[#This Row],[HalfWidth]],ContinuousStatsTable[[#This Row],[BatchMeansHalfWidth]])</f>
        <v>6.8034586911528527E-2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0.32817845054679201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0.248961473715994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0.449747634188089</v>
      </c>
      <c r="U53">
        <f>IF((ContinuousStatsTable[[#This Row],[RepsRequested]]&gt;1),ContinuousStatsTable[[#This Row],[HalfWidth]],ContinuousStatsTable[[#This Row],[BatchMeansHalfWidth]])</f>
        <v>1.9135845847073889E-2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0.98453535164037598</v>
      </c>
      <c r="H54">
        <v>2E+20</v>
      </c>
      <c r="I54">
        <v>0</v>
      </c>
      <c r="J54">
        <v>3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0.74688442114798104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1.34924290256427</v>
      </c>
      <c r="U54">
        <f>IF((ContinuousStatsTable[[#This Row],[RepsRequested]]&gt;1),ContinuousStatsTable[[#This Row],[HalfWidth]],ContinuousStatsTable[[#This Row],[BatchMeansHalfWidth]])</f>
        <v>5.740753754122279E-2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3.0826843516112101E-2</v>
      </c>
      <c r="H56">
        <v>2E+20</v>
      </c>
      <c r="I56">
        <v>0</v>
      </c>
      <c r="J56">
        <v>2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0.18994796885977699</v>
      </c>
      <c r="U56">
        <f>IF((ContinuousStatsTable[[#This Row],[RepsRequested]]&gt;1),ContinuousStatsTable[[#This Row],[HalfWidth]],ContinuousStatsTable[[#This Row],[BatchMeansHalfWidth]])</f>
        <v>1.7250343257215396E-2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1.1253313575649799</v>
      </c>
      <c r="H57">
        <v>2E+20</v>
      </c>
      <c r="I57">
        <v>0</v>
      </c>
      <c r="J57">
        <v>8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0.76489143622298805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1.49813393651904</v>
      </c>
      <c r="U57">
        <f>IF((ContinuousStatsTable[[#This Row],[RepsRequested]]&gt;1),ContinuousStatsTable[[#This Row],[HalfWidth]],ContinuousStatsTable[[#This Row],[BatchMeansHalfWidth]])</f>
        <v>6.8034586911528527E-2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0.32122199440086702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0.248961473715994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0.449747634188089</v>
      </c>
      <c r="U58">
        <f>IF((ContinuousStatsTable[[#This Row],[RepsRequested]]&gt;1),ContinuousStatsTable[[#This Row],[HalfWidth]],ContinuousStatsTable[[#This Row],[BatchMeansHalfWidth]])</f>
        <v>1.9135845847073889E-2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0.9636659832026</v>
      </c>
      <c r="H59">
        <v>2E+20</v>
      </c>
      <c r="I59">
        <v>0</v>
      </c>
      <c r="J59">
        <v>3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0.74688442114798104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1.34924290256427</v>
      </c>
      <c r="U59">
        <f>IF((ContinuousStatsTable[[#This Row],[RepsRequested]]&gt;1),ContinuousStatsTable[[#This Row],[HalfWidth]],ContinuousStatsTable[[#This Row],[BatchMeansHalfWidth]])</f>
        <v>5.740753754122279E-2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0.16166537436237499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0.18994796885977699</v>
      </c>
      <c r="U61">
        <f>IF((ContinuousStatsTable[[#This Row],[RepsRequested]]&gt;1),ContinuousStatsTable[[#This Row],[HalfWidth]],ContinuousStatsTable[[#This Row],[BatchMeansHalfWidth]])</f>
        <v>1.7250343257215396E-2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1.1445374901112499</v>
      </c>
      <c r="H62">
        <v>2E+20</v>
      </c>
      <c r="I62">
        <v>0</v>
      </c>
      <c r="J62">
        <v>5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0.76489143622298805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1.49813393651904</v>
      </c>
      <c r="U62">
        <f>IF((ContinuousStatsTable[[#This Row],[RepsRequested]]&gt;1),ContinuousStatsTable[[#This Row],[HalfWidth]],ContinuousStatsTable[[#This Row],[BatchMeansHalfWidth]])</f>
        <v>6.8034586911528527E-2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0.36984019031718002</v>
      </c>
      <c r="H63">
        <v>2E+20</v>
      </c>
      <c r="I63">
        <v>0</v>
      </c>
      <c r="J63">
        <v>1</v>
      </c>
      <c r="K63">
        <v>0.33333333333333298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0.248961473715994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0.449747634188089</v>
      </c>
      <c r="U63">
        <f>IF((ContinuousStatsTable[[#This Row],[RepsRequested]]&gt;1),ContinuousStatsTable[[#This Row],[HalfWidth]],ContinuousStatsTable[[#This Row],[BatchMeansHalfWidth]])</f>
        <v>1.9135845847073889E-2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1.1095205709515401</v>
      </c>
      <c r="H64">
        <v>2E+20</v>
      </c>
      <c r="I64">
        <v>0</v>
      </c>
      <c r="J64">
        <v>3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0.74688442114798104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1.34924290256427</v>
      </c>
      <c r="U64">
        <f>IF((ContinuousStatsTable[[#This Row],[RepsRequested]]&gt;1),ContinuousStatsTable[[#This Row],[HalfWidth]],ContinuousStatsTable[[#This Row],[BatchMeansHalfWidth]])</f>
        <v>5.740753754122279E-2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3.5016919159707401E-2</v>
      </c>
      <c r="H66">
        <v>2E+20</v>
      </c>
      <c r="I66">
        <v>0</v>
      </c>
      <c r="J66">
        <v>2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0.18994796885977699</v>
      </c>
      <c r="U66">
        <f>IF((ContinuousStatsTable[[#This Row],[RepsRequested]]&gt;1),ContinuousStatsTable[[#This Row],[HalfWidth]],ContinuousStatsTable[[#This Row],[BatchMeansHalfWidth]])</f>
        <v>1.7250343257215396E-2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0.92721076248977596</v>
      </c>
      <c r="H67">
        <v>2E+20</v>
      </c>
      <c r="I67">
        <v>0</v>
      </c>
      <c r="J67">
        <v>5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0.76489143622298805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1.49813393651904</v>
      </c>
      <c r="U67">
        <f>IF((ContinuousStatsTable[[#This Row],[RepsRequested]]&gt;1),ContinuousStatsTable[[#This Row],[HalfWidth]],ContinuousStatsTable[[#This Row],[BatchMeansHalfWidth]])</f>
        <v>6.8034586911528527E-2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0.30654690144963798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0.248961473715994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0.449747634188089</v>
      </c>
      <c r="U68">
        <f>IF((ContinuousStatsTable[[#This Row],[RepsRequested]]&gt;1),ContinuousStatsTable[[#This Row],[HalfWidth]],ContinuousStatsTable[[#This Row],[BatchMeansHalfWidth]])</f>
        <v>1.9135845847073889E-2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0.91964070434891498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0.74688442114798104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1.34924290256427</v>
      </c>
      <c r="U69">
        <f>IF((ContinuousStatsTable[[#This Row],[RepsRequested]]&gt;1),ContinuousStatsTable[[#This Row],[HalfWidth]],ContinuousStatsTable[[#This Row],[BatchMeansHalfWidth]])</f>
        <v>5.740753754122279E-2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7.5700581408604502E-3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0.18994796885977699</v>
      </c>
      <c r="U71">
        <f>IF((ContinuousStatsTable[[#This Row],[RepsRequested]]&gt;1),ContinuousStatsTable[[#This Row],[HalfWidth]],ContinuousStatsTable[[#This Row],[BatchMeansHalfWidth]])</f>
        <v>1.7250343257215396E-2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0.997379215057141</v>
      </c>
      <c r="H72">
        <v>2E+20</v>
      </c>
      <c r="I72">
        <v>0</v>
      </c>
      <c r="J72">
        <v>5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0.76489143622298805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1.49813393651904</v>
      </c>
      <c r="U72">
        <f>IF((ContinuousStatsTable[[#This Row],[RepsRequested]]&gt;1),ContinuousStatsTable[[#This Row],[HalfWidth]],ContinuousStatsTable[[#This Row],[BatchMeansHalfWidth]])</f>
        <v>6.8034586911528527E-2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0.32660810172420301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0.248961473715994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0.449747634188089</v>
      </c>
      <c r="U73">
        <f>IF((ContinuousStatsTable[[#This Row],[RepsRequested]]&gt;1),ContinuousStatsTable[[#This Row],[HalfWidth]],ContinuousStatsTable[[#This Row],[BatchMeansHalfWidth]])</f>
        <v>1.9135845847073889E-2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0.97982430517260999</v>
      </c>
      <c r="H74">
        <v>2E+20</v>
      </c>
      <c r="I74">
        <v>0</v>
      </c>
      <c r="J74">
        <v>3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0.74688442114798104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1.34924290256427</v>
      </c>
      <c r="U74">
        <f>IF((ContinuousStatsTable[[#This Row],[RepsRequested]]&gt;1),ContinuousStatsTable[[#This Row],[HalfWidth]],ContinuousStatsTable[[#This Row],[BatchMeansHalfWidth]])</f>
        <v>5.740753754122279E-2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1.7554909884531199E-2</v>
      </c>
      <c r="H76">
        <v>2E+20</v>
      </c>
      <c r="I76">
        <v>0</v>
      </c>
      <c r="J76">
        <v>2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0.18994796885977699</v>
      </c>
      <c r="U76">
        <f>IF((ContinuousStatsTable[[#This Row],[RepsRequested]]&gt;1),ContinuousStatsTable[[#This Row],[HalfWidth]],ContinuousStatsTable[[#This Row],[BatchMeansHalfWidth]])</f>
        <v>1.7250343257215396E-2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1.4188473289960599</v>
      </c>
      <c r="H77">
        <v>2E+20</v>
      </c>
      <c r="I77">
        <v>0</v>
      </c>
      <c r="J77">
        <v>5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0.76489143622298805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1.49813393651904</v>
      </c>
      <c r="U77">
        <f>IF((ContinuousStatsTable[[#This Row],[RepsRequested]]&gt;1),ContinuousStatsTable[[#This Row],[HalfWidth]],ContinuousStatsTable[[#This Row],[BatchMeansHalfWidth]])</f>
        <v>6.8034586911528527E-2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0.449747634188089</v>
      </c>
      <c r="H78">
        <v>2E+20</v>
      </c>
      <c r="I78">
        <v>0</v>
      </c>
      <c r="J78">
        <v>1</v>
      </c>
      <c r="K78">
        <v>0.33333333333333298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0.248961473715994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0.449747634188089</v>
      </c>
      <c r="U78">
        <f>IF((ContinuousStatsTable[[#This Row],[RepsRequested]]&gt;1),ContinuousStatsTable[[#This Row],[HalfWidth]],ContinuousStatsTable[[#This Row],[BatchMeansHalfWidth]])</f>
        <v>1.9135845847073889E-2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1.34924290256427</v>
      </c>
      <c r="H79">
        <v>2E+20</v>
      </c>
      <c r="I79">
        <v>0</v>
      </c>
      <c r="J79">
        <v>3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0.74688442114798104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1.34924290256427</v>
      </c>
      <c r="U79">
        <f>IF((ContinuousStatsTable[[#This Row],[RepsRequested]]&gt;1),ContinuousStatsTable[[#This Row],[HalfWidth]],ContinuousStatsTable[[#This Row],[BatchMeansHalfWidth]])</f>
        <v>5.740753754122279E-2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6.9604426431788699E-2</v>
      </c>
      <c r="H81">
        <v>2E+20</v>
      </c>
      <c r="I81">
        <v>0</v>
      </c>
      <c r="J81">
        <v>2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0.18994796885977699</v>
      </c>
      <c r="U81">
        <f>IF((ContinuousStatsTable[[#This Row],[RepsRequested]]&gt;1),ContinuousStatsTable[[#This Row],[HalfWidth]],ContinuousStatsTable[[#This Row],[BatchMeansHalfWidth]])</f>
        <v>1.7250343257215396E-2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0.76489143622298805</v>
      </c>
      <c r="H82">
        <v>2E+20</v>
      </c>
      <c r="I82">
        <v>0</v>
      </c>
      <c r="J82">
        <v>4</v>
      </c>
      <c r="K82">
        <v>2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0.76489143622298805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1.49813393651904</v>
      </c>
      <c r="U82">
        <f>IF((ContinuousStatsTable[[#This Row],[RepsRequested]]&gt;1),ContinuousStatsTable[[#This Row],[HalfWidth]],ContinuousStatsTable[[#This Row],[BatchMeansHalfWidth]])</f>
        <v>6.8034586911528527E-2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0.25154491117453198</v>
      </c>
      <c r="H83">
        <v>2E+20</v>
      </c>
      <c r="I83">
        <v>0</v>
      </c>
      <c r="J83">
        <v>1</v>
      </c>
      <c r="K83">
        <v>0.66666666666666696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0.248961473715994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0.449747634188089</v>
      </c>
      <c r="U83">
        <f>IF((ContinuousStatsTable[[#This Row],[RepsRequested]]&gt;1),ContinuousStatsTable[[#This Row],[HalfWidth]],ContinuousStatsTable[[#This Row],[BatchMeansHalfWidth]])</f>
        <v>1.9135845847073889E-2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0.754634733523596</v>
      </c>
      <c r="H84">
        <v>2E+20</v>
      </c>
      <c r="I84">
        <v>0</v>
      </c>
      <c r="J84">
        <v>3</v>
      </c>
      <c r="K84">
        <v>2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0.74688442114798104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1.34924290256427</v>
      </c>
      <c r="U84">
        <f>IF((ContinuousStatsTable[[#This Row],[RepsRequested]]&gt;1),ContinuousStatsTable[[#This Row],[HalfWidth]],ContinuousStatsTable[[#This Row],[BatchMeansHalfWidth]])</f>
        <v>5.740753754122279E-2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1.0256702699392E-2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0.18994796885977699</v>
      </c>
      <c r="U86">
        <f>IF((ContinuousStatsTable[[#This Row],[RepsRequested]]&gt;1),ContinuousStatsTable[[#This Row],[HalfWidth]],ContinuousStatsTable[[#This Row],[BatchMeansHalfWidth]])</f>
        <v>1.7250343257215396E-2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1.2996104628646701</v>
      </c>
      <c r="H87">
        <v>2E+20</v>
      </c>
      <c r="I87">
        <v>0</v>
      </c>
      <c r="J87">
        <v>5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0.76489143622298805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1.49813393651904</v>
      </c>
      <c r="U87">
        <f>IF((ContinuousStatsTable[[#This Row],[RepsRequested]]&gt;1),ContinuousStatsTable[[#This Row],[HalfWidth]],ContinuousStatsTable[[#This Row],[BatchMeansHalfWidth]])</f>
        <v>6.8034586911528527E-2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0.42324974517414199</v>
      </c>
      <c r="H88">
        <v>2E+20</v>
      </c>
      <c r="I88">
        <v>0</v>
      </c>
      <c r="J88">
        <v>1</v>
      </c>
      <c r="K88">
        <v>0.33333333333333298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0.248961473715994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0.449747634188089</v>
      </c>
      <c r="U88">
        <f>IF((ContinuousStatsTable[[#This Row],[RepsRequested]]&gt;1),ContinuousStatsTable[[#This Row],[HalfWidth]],ContinuousStatsTable[[#This Row],[BatchMeansHalfWidth]])</f>
        <v>1.9135845847073889E-2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1.26974923552243</v>
      </c>
      <c r="H89">
        <v>2E+20</v>
      </c>
      <c r="I89">
        <v>0</v>
      </c>
      <c r="J89">
        <v>3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0.74688442114798104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1.34924290256427</v>
      </c>
      <c r="U89">
        <f>IF((ContinuousStatsTable[[#This Row],[RepsRequested]]&gt;1),ContinuousStatsTable[[#This Row],[HalfWidth]],ContinuousStatsTable[[#This Row],[BatchMeansHalfWidth]])</f>
        <v>5.740753754122279E-2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2.98612273422444E-2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0.18994796885977699</v>
      </c>
      <c r="U91">
        <f>IF((ContinuousStatsTable[[#This Row],[RepsRequested]]&gt;1),ContinuousStatsTable[[#This Row],[HalfWidth]],ContinuousStatsTable[[#This Row],[BatchMeansHalfWidth]])</f>
        <v>1.7250343257215396E-2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1.0262109722348001</v>
      </c>
      <c r="H92">
        <v>2E+20</v>
      </c>
      <c r="I92">
        <v>0</v>
      </c>
      <c r="J92">
        <v>5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0.76489143622298805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1.49813393651904</v>
      </c>
      <c r="U92">
        <f>IF((ContinuousStatsTable[[#This Row],[RepsRequested]]&gt;1),ContinuousStatsTable[[#This Row],[HalfWidth]],ContinuousStatsTable[[#This Row],[BatchMeansHalfWidth]])</f>
        <v>6.8034586911528527E-2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0.33093965699427802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0.248961473715994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0.449747634188089</v>
      </c>
      <c r="U93">
        <f>IF((ContinuousStatsTable[[#This Row],[RepsRequested]]&gt;1),ContinuousStatsTable[[#This Row],[HalfWidth]],ContinuousStatsTable[[#This Row],[BatchMeansHalfWidth]])</f>
        <v>1.9135845847073889E-2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0.99281897098283201</v>
      </c>
      <c r="H94">
        <v>2E+20</v>
      </c>
      <c r="I94">
        <v>0</v>
      </c>
      <c r="J94">
        <v>3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0.74688442114798104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1.34924290256427</v>
      </c>
      <c r="U94">
        <f>IF((ContinuousStatsTable[[#This Row],[RepsRequested]]&gt;1),ContinuousStatsTable[[#This Row],[HalfWidth]],ContinuousStatsTable[[#This Row],[BatchMeansHalfWidth]])</f>
        <v>5.740753754122279E-2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3.33920012519709E-2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0.18994796885977699</v>
      </c>
      <c r="U96">
        <f>IF((ContinuousStatsTable[[#This Row],[RepsRequested]]&gt;1),ContinuousStatsTable[[#This Row],[HalfWidth]],ContinuousStatsTable[[#This Row],[BatchMeansHalfWidth]])</f>
        <v>1.7250343257215396E-2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0.88980304491355799</v>
      </c>
      <c r="H97">
        <v>2E+20</v>
      </c>
      <c r="I97">
        <v>0</v>
      </c>
      <c r="J97">
        <v>4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0.76489143622298805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1.49813393651904</v>
      </c>
      <c r="U97">
        <f>IF((ContinuousStatsTable[[#This Row],[RepsRequested]]&gt;1),ContinuousStatsTable[[#This Row],[HalfWidth]],ContinuousStatsTable[[#This Row],[BatchMeansHalfWidth]])</f>
        <v>6.8034586911528527E-2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0.29530527256108702</v>
      </c>
      <c r="H98">
        <v>2E+20</v>
      </c>
      <c r="I98">
        <v>0</v>
      </c>
      <c r="J98">
        <v>1</v>
      </c>
      <c r="K98">
        <v>0.33333333333333298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0.248961473715994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0.449747634188089</v>
      </c>
      <c r="U98">
        <f>IF((ContinuousStatsTable[[#This Row],[RepsRequested]]&gt;1),ContinuousStatsTable[[#This Row],[HalfWidth]],ContinuousStatsTable[[#This Row],[BatchMeansHalfWidth]])</f>
        <v>1.9135845847073889E-2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0.885915817683261</v>
      </c>
      <c r="H99">
        <v>2E+20</v>
      </c>
      <c r="I99">
        <v>0</v>
      </c>
      <c r="J99">
        <v>3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0.74688442114798104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1.34924290256427</v>
      </c>
      <c r="U99">
        <f>IF((ContinuousStatsTable[[#This Row],[RepsRequested]]&gt;1),ContinuousStatsTable[[#This Row],[HalfWidth]],ContinuousStatsTable[[#This Row],[BatchMeansHalfWidth]])</f>
        <v>5.740753754122279E-2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3.8872272302968099E-3</v>
      </c>
      <c r="H101">
        <v>2E+20</v>
      </c>
      <c r="I101">
        <v>0</v>
      </c>
      <c r="J101">
        <v>1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0.18994796885977699</v>
      </c>
      <c r="U101">
        <f>IF((ContinuousStatsTable[[#This Row],[RepsRequested]]&gt;1),ContinuousStatsTable[[#This Row],[HalfWidth]],ContinuousStatsTable[[#This Row],[BatchMeansHalfWidth]])</f>
        <v>1.7250343257215396E-2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0.88967063056037898</v>
      </c>
      <c r="H102">
        <v>2E+20</v>
      </c>
      <c r="I102">
        <v>0</v>
      </c>
      <c r="J102">
        <v>4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0.76489143622298805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1.49813393651904</v>
      </c>
      <c r="U102">
        <f>IF((ContinuousStatsTable[[#This Row],[RepsRequested]]&gt;1),ContinuousStatsTable[[#This Row],[HalfWidth]],ContinuousStatsTable[[#This Row],[BatchMeansHalfWidth]])</f>
        <v>6.8034586911528527E-2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0.29334034282091898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0.248961473715994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0.449747634188089</v>
      </c>
      <c r="U103">
        <f>IF((ContinuousStatsTable[[#This Row],[RepsRequested]]&gt;1),ContinuousStatsTable[[#This Row],[HalfWidth]],ContinuousStatsTable[[#This Row],[BatchMeansHalfWidth]])</f>
        <v>1.9135845847073889E-2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0.88002102846275698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0.74688442114798104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1.34924290256427</v>
      </c>
      <c r="U104">
        <f>IF((ContinuousStatsTable[[#This Row],[RepsRequested]]&gt;1),ContinuousStatsTable[[#This Row],[HalfWidth]],ContinuousStatsTable[[#This Row],[BatchMeansHalfWidth]])</f>
        <v>5.740753754122279E-2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9.6496020976220304E-3</v>
      </c>
      <c r="H106">
        <v>2E+20</v>
      </c>
      <c r="I106">
        <v>0</v>
      </c>
      <c r="J106">
        <v>1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0.18994796885977699</v>
      </c>
      <c r="U106">
        <f>IF((ContinuousStatsTable[[#This Row],[RepsRequested]]&gt;1),ContinuousStatsTable[[#This Row],[HalfWidth]],ContinuousStatsTable[[#This Row],[BatchMeansHalfWidth]])</f>
        <v>1.7250343257215396E-2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1.10746888264146</v>
      </c>
      <c r="H107">
        <v>2E+20</v>
      </c>
      <c r="I107">
        <v>0</v>
      </c>
      <c r="J107">
        <v>4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0.76489143622298805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1.49813393651904</v>
      </c>
      <c r="U107">
        <f>IF((ContinuousStatsTable[[#This Row],[RepsRequested]]&gt;1),ContinuousStatsTable[[#This Row],[HalfWidth]],ContinuousStatsTable[[#This Row],[BatchMeansHalfWidth]])</f>
        <v>6.8034586911528527E-2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0.35377593836318599</v>
      </c>
      <c r="H108">
        <v>2E+20</v>
      </c>
      <c r="I108">
        <v>0</v>
      </c>
      <c r="J108">
        <v>1</v>
      </c>
      <c r="K108">
        <v>0.66666666666666696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0.248961473715994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0.449747634188089</v>
      </c>
      <c r="U108">
        <f>IF((ContinuousStatsTable[[#This Row],[RepsRequested]]&gt;1),ContinuousStatsTable[[#This Row],[HalfWidth]],ContinuousStatsTable[[#This Row],[BatchMeansHalfWidth]])</f>
        <v>1.9135845847073889E-2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1.06132781508956</v>
      </c>
      <c r="H109">
        <v>2E+20</v>
      </c>
      <c r="I109">
        <v>0</v>
      </c>
      <c r="J109">
        <v>3</v>
      </c>
      <c r="K109">
        <v>2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0.74688442114798104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1.34924290256427</v>
      </c>
      <c r="U109">
        <f>IF((ContinuousStatsTable[[#This Row],[RepsRequested]]&gt;1),ContinuousStatsTable[[#This Row],[HalfWidth]],ContinuousStatsTable[[#This Row],[BatchMeansHalfWidth]])</f>
        <v>5.740753754122279E-2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4.6141067551907299E-2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0.18994796885977699</v>
      </c>
      <c r="U111">
        <f>IF((ContinuousStatsTable[[#This Row],[RepsRequested]]&gt;1),ContinuousStatsTable[[#This Row],[HalfWidth]],ContinuousStatsTable[[#This Row],[BatchMeansHalfWidth]])</f>
        <v>1.7250343257215396E-2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1.1195685278915899</v>
      </c>
      <c r="H112">
        <v>2E+20</v>
      </c>
      <c r="I112">
        <v>0</v>
      </c>
      <c r="J112">
        <v>6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0.76489143622298805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1.49813393651904</v>
      </c>
      <c r="U112">
        <f>IF((ContinuousStatsTable[[#This Row],[RepsRequested]]&gt;1),ContinuousStatsTable[[#This Row],[HalfWidth]],ContinuousStatsTable[[#This Row],[BatchMeansHalfWidth]])</f>
        <v>6.8034586911528527E-2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0.34661215557886899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0.248961473715994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0.449747634188089</v>
      </c>
      <c r="U113">
        <f>IF((ContinuousStatsTable[[#This Row],[RepsRequested]]&gt;1),ContinuousStatsTable[[#This Row],[HalfWidth]],ContinuousStatsTable[[#This Row],[BatchMeansHalfWidth]])</f>
        <v>1.9135845847073889E-2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1.03983646673661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0.74688442114798104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1.34924290256427</v>
      </c>
      <c r="U114">
        <f>IF((ContinuousStatsTable[[#This Row],[RepsRequested]]&gt;1),ContinuousStatsTable[[#This Row],[HalfWidth]],ContinuousStatsTable[[#This Row],[BatchMeansHalfWidth]])</f>
        <v>5.740753754122279E-2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7.9732061154982603E-2</v>
      </c>
      <c r="H116">
        <v>2E+20</v>
      </c>
      <c r="I116">
        <v>0</v>
      </c>
      <c r="J116">
        <v>3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0.18994796885977699</v>
      </c>
      <c r="U116">
        <f>IF((ContinuousStatsTable[[#This Row],[RepsRequested]]&gt;1),ContinuousStatsTable[[#This Row],[HalfWidth]],ContinuousStatsTable[[#This Row],[BatchMeansHalfWidth]])</f>
        <v>1.7250343257215396E-2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0.87347519758417203</v>
      </c>
      <c r="H117">
        <v>2E+20</v>
      </c>
      <c r="I117">
        <v>0</v>
      </c>
      <c r="J117">
        <v>4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0.76489143622298805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1.49813393651904</v>
      </c>
      <c r="U117">
        <f>IF((ContinuousStatsTable[[#This Row],[RepsRequested]]&gt;1),ContinuousStatsTable[[#This Row],[HalfWidth]],ContinuousStatsTable[[#This Row],[BatchMeansHalfWidth]])</f>
        <v>6.8034586911528527E-2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0.28991041992266298</v>
      </c>
      <c r="H118">
        <v>2E+20</v>
      </c>
      <c r="I118">
        <v>0</v>
      </c>
      <c r="J118">
        <v>1</v>
      </c>
      <c r="K118">
        <v>0.33333333333333298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0.248961473715994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0.449747634188089</v>
      </c>
      <c r="U118">
        <f>IF((ContinuousStatsTable[[#This Row],[RepsRequested]]&gt;1),ContinuousStatsTable[[#This Row],[HalfWidth]],ContinuousStatsTable[[#This Row],[BatchMeansHalfWidth]])</f>
        <v>1.9135845847073889E-2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0.86973125976798804</v>
      </c>
      <c r="H119">
        <v>2E+20</v>
      </c>
      <c r="I119">
        <v>0</v>
      </c>
      <c r="J119">
        <v>3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0.74688442114798104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1.34924290256427</v>
      </c>
      <c r="U119">
        <f>IF((ContinuousStatsTable[[#This Row],[RepsRequested]]&gt;1),ContinuousStatsTable[[#This Row],[HalfWidth]],ContinuousStatsTable[[#This Row],[BatchMeansHalfWidth]])</f>
        <v>5.740753754122279E-2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3.74393781618394E-3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0.18994796885977699</v>
      </c>
      <c r="U121">
        <f>IF((ContinuousStatsTable[[#This Row],[RepsRequested]]&gt;1),ContinuousStatsTable[[#This Row],[HalfWidth]],ContinuousStatsTable[[#This Row],[BatchMeansHalfWidth]])</f>
        <v>1.7250343257215396E-2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0.95506796957006501</v>
      </c>
      <c r="H122">
        <v>2E+20</v>
      </c>
      <c r="I122">
        <v>0</v>
      </c>
      <c r="J122">
        <v>5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0.76489143622298805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1.49813393651904</v>
      </c>
      <c r="U122">
        <f>IF((ContinuousStatsTable[[#This Row],[RepsRequested]]&gt;1),ContinuousStatsTable[[#This Row],[HalfWidth]],ContinuousStatsTable[[#This Row],[BatchMeansHalfWidth]])</f>
        <v>6.8034586911528527E-2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0.31257468305705199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0.248961473715994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0.449747634188089</v>
      </c>
      <c r="U123">
        <f>IF((ContinuousStatsTable[[#This Row],[RepsRequested]]&gt;1),ContinuousStatsTable[[#This Row],[HalfWidth]],ContinuousStatsTable[[#This Row],[BatchMeansHalfWidth]])</f>
        <v>1.9135845847073889E-2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0.93772404917115604</v>
      </c>
      <c r="H124">
        <v>2E+20</v>
      </c>
      <c r="I124">
        <v>0</v>
      </c>
      <c r="J124">
        <v>3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0.74688442114798104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1.34924290256427</v>
      </c>
      <c r="U124">
        <f>IF((ContinuousStatsTable[[#This Row],[RepsRequested]]&gt;1),ContinuousStatsTable[[#This Row],[HalfWidth]],ContinuousStatsTable[[#This Row],[BatchMeansHalfWidth]])</f>
        <v>5.740753754122279E-2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1.73439203989093E-2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0.18994796885977699</v>
      </c>
      <c r="U126">
        <f>IF((ContinuousStatsTable[[#This Row],[RepsRequested]]&gt;1),ContinuousStatsTable[[#This Row],[HalfWidth]],ContinuousStatsTable[[#This Row],[BatchMeansHalfWidth]])</f>
        <v>1.7250343257215396E-2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1.02888007806787</v>
      </c>
      <c r="H127">
        <v>2E+20</v>
      </c>
      <c r="I127">
        <v>0</v>
      </c>
      <c r="J127">
        <v>7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0.76489143622298805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1.49813393651904</v>
      </c>
      <c r="U127">
        <f>IF((ContinuousStatsTable[[#This Row],[RepsRequested]]&gt;1),ContinuousStatsTable[[#This Row],[HalfWidth]],ContinuousStatsTable[[#This Row],[BatchMeansHalfWidth]])</f>
        <v>6.8034586911528527E-2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0.31723283416524001</v>
      </c>
      <c r="H128">
        <v>2E+20</v>
      </c>
      <c r="I128">
        <v>0</v>
      </c>
      <c r="J128">
        <v>1</v>
      </c>
      <c r="K128">
        <v>0.33333333333333298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0.248961473715994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0.449747634188089</v>
      </c>
      <c r="U128">
        <f>IF((ContinuousStatsTable[[#This Row],[RepsRequested]]&gt;1),ContinuousStatsTable[[#This Row],[HalfWidth]],ContinuousStatsTable[[#This Row],[BatchMeansHalfWidth]])</f>
        <v>1.9135845847073889E-2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0.95169850249571897</v>
      </c>
      <c r="H129">
        <v>2E+20</v>
      </c>
      <c r="I129">
        <v>0</v>
      </c>
      <c r="J129">
        <v>3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0.74688442114798104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1.34924290256427</v>
      </c>
      <c r="U129">
        <f>IF((ContinuousStatsTable[[#This Row],[RepsRequested]]&gt;1),ContinuousStatsTable[[#This Row],[HalfWidth]],ContinuousStatsTable[[#This Row],[BatchMeansHalfWidth]])</f>
        <v>5.740753754122279E-2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7.7181575572147706E-2</v>
      </c>
      <c r="H131">
        <v>2E+20</v>
      </c>
      <c r="I131">
        <v>0</v>
      </c>
      <c r="J131">
        <v>4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0.18994796885977699</v>
      </c>
      <c r="U131">
        <f>IF((ContinuousStatsTable[[#This Row],[RepsRequested]]&gt;1),ContinuousStatsTable[[#This Row],[HalfWidth]],ContinuousStatsTable[[#This Row],[BatchMeansHalfWidth]])</f>
        <v>1.7250343257215396E-2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1.14613684905825</v>
      </c>
      <c r="H132">
        <v>2E+20</v>
      </c>
      <c r="I132">
        <v>0</v>
      </c>
      <c r="J132">
        <v>8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0.76489143622298805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1.49813393651904</v>
      </c>
      <c r="U132">
        <f>IF((ContinuousStatsTable[[#This Row],[RepsRequested]]&gt;1),ContinuousStatsTable[[#This Row],[HalfWidth]],ContinuousStatsTable[[#This Row],[BatchMeansHalfWidth]])</f>
        <v>6.8034586911528527E-2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0.36375375139139399</v>
      </c>
      <c r="H133">
        <v>2E+20</v>
      </c>
      <c r="I133">
        <v>0</v>
      </c>
      <c r="J133">
        <v>1</v>
      </c>
      <c r="K133">
        <v>0.33333333333333298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0.248961473715994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0.449747634188089</v>
      </c>
      <c r="U133">
        <f>IF((ContinuousStatsTable[[#This Row],[RepsRequested]]&gt;1),ContinuousStatsTable[[#This Row],[HalfWidth]],ContinuousStatsTable[[#This Row],[BatchMeansHalfWidth]])</f>
        <v>1.9135845847073889E-2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1.09126125417418</v>
      </c>
      <c r="H134">
        <v>2E+20</v>
      </c>
      <c r="I134">
        <v>0</v>
      </c>
      <c r="J134">
        <v>3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0.74688442114798104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1.34924290256427</v>
      </c>
      <c r="U134">
        <f>IF((ContinuousStatsTable[[#This Row],[RepsRequested]]&gt;1),ContinuousStatsTable[[#This Row],[HalfWidth]],ContinuousStatsTable[[#This Row],[BatchMeansHalfWidth]])</f>
        <v>5.740753754122279E-2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5.4875594884067902E-2</v>
      </c>
      <c r="H136">
        <v>2E+20</v>
      </c>
      <c r="I136">
        <v>0</v>
      </c>
      <c r="J136">
        <v>5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0.18994796885977699</v>
      </c>
      <c r="U136">
        <f>IF((ContinuousStatsTable[[#This Row],[RepsRequested]]&gt;1),ContinuousStatsTable[[#This Row],[HalfWidth]],ContinuousStatsTable[[#This Row],[BatchMeansHalfWidth]])</f>
        <v>1.7250343257215396E-2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1.15828307940347</v>
      </c>
      <c r="H137">
        <v>2E+20</v>
      </c>
      <c r="I137">
        <v>0</v>
      </c>
      <c r="J137">
        <v>6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0.76489143622298805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1.49813393651904</v>
      </c>
      <c r="U137">
        <f>IF((ContinuousStatsTable[[#This Row],[RepsRequested]]&gt;1),ContinuousStatsTable[[#This Row],[HalfWidth]],ContinuousStatsTable[[#This Row],[BatchMeansHalfWidth]])</f>
        <v>6.8034586911528527E-2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0.37153193351603298</v>
      </c>
      <c r="H138">
        <v>2E+20</v>
      </c>
      <c r="I138">
        <v>0</v>
      </c>
      <c r="J138">
        <v>1</v>
      </c>
      <c r="K138">
        <v>0.33333333333333298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0.248961473715994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0.449747634188089</v>
      </c>
      <c r="U138">
        <f>IF((ContinuousStatsTable[[#This Row],[RepsRequested]]&gt;1),ContinuousStatsTable[[#This Row],[HalfWidth]],ContinuousStatsTable[[#This Row],[BatchMeansHalfWidth]])</f>
        <v>1.9135845847073889E-2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1.1145958005481</v>
      </c>
      <c r="H139">
        <v>2E+20</v>
      </c>
      <c r="I139">
        <v>0</v>
      </c>
      <c r="J139">
        <v>3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0.74688442114798104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1.34924290256427</v>
      </c>
      <c r="U139">
        <f>IF((ContinuousStatsTable[[#This Row],[RepsRequested]]&gt;1),ContinuousStatsTable[[#This Row],[HalfWidth]],ContinuousStatsTable[[#This Row],[BatchMeansHalfWidth]])</f>
        <v>5.740753754122279E-2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4.3687278855374302E-2</v>
      </c>
      <c r="H141">
        <v>2E+20</v>
      </c>
      <c r="I141">
        <v>0</v>
      </c>
      <c r="J141">
        <v>3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0.18994796885977699</v>
      </c>
      <c r="U141">
        <f>IF((ContinuousStatsTable[[#This Row],[RepsRequested]]&gt;1),ContinuousStatsTable[[#This Row],[HalfWidth]],ContinuousStatsTable[[#This Row],[BatchMeansHalfWidth]])</f>
        <v>1.7250343257215396E-2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1.1763132926547999</v>
      </c>
      <c r="H142">
        <v>2E+20</v>
      </c>
      <c r="I142">
        <v>0</v>
      </c>
      <c r="J142">
        <v>6</v>
      </c>
      <c r="K142">
        <v>3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0.76489143622298805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1.49813393651904</v>
      </c>
      <c r="U142">
        <f>IF((ContinuousStatsTable[[#This Row],[RepsRequested]]&gt;1),ContinuousStatsTable[[#This Row],[HalfWidth]],ContinuousStatsTable[[#This Row],[BatchMeansHalfWidth]])</f>
        <v>6.8034586911528527E-2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0.36882133921371202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0.248961473715994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0.449747634188089</v>
      </c>
      <c r="U143">
        <f>IF((ContinuousStatsTable[[#This Row],[RepsRequested]]&gt;1),ContinuousStatsTable[[#This Row],[HalfWidth]],ContinuousStatsTable[[#This Row],[BatchMeansHalfWidth]])</f>
        <v>1.9135845847073889E-2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1.10646401764114</v>
      </c>
      <c r="H144">
        <v>2E+20</v>
      </c>
      <c r="I144">
        <v>0</v>
      </c>
      <c r="J144">
        <v>3</v>
      </c>
      <c r="K144">
        <v>3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0.74688442114798104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1.34924290256427</v>
      </c>
      <c r="U144">
        <f>IF((ContinuousStatsTable[[#This Row],[RepsRequested]]&gt;1),ContinuousStatsTable[[#This Row],[HalfWidth]],ContinuousStatsTable[[#This Row],[BatchMeansHalfWidth]])</f>
        <v>5.740753754122279E-2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6.9849275013659701E-2</v>
      </c>
      <c r="H146">
        <v>2E+20</v>
      </c>
      <c r="I146">
        <v>0</v>
      </c>
      <c r="J146">
        <v>3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0.18994796885977699</v>
      </c>
      <c r="U146">
        <f>IF((ContinuousStatsTable[[#This Row],[RepsRequested]]&gt;1),ContinuousStatsTable[[#This Row],[HalfWidth]],ContinuousStatsTable[[#This Row],[BatchMeansHalfWidth]])</f>
        <v>1.7250343257215396E-2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1.32581426962102</v>
      </c>
      <c r="H147">
        <v>2E+20</v>
      </c>
      <c r="I147">
        <v>0</v>
      </c>
      <c r="J147">
        <v>5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1.0774199852801944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0.1821999699903237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6.8034586911528527E-2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0.76489143622298805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1.49813393651904</v>
      </c>
      <c r="U147">
        <f>IF((ContinuousStatsTable[[#This Row],[RepsRequested]]&gt;1),ContinuousStatsTable[[#This Row],[HalfWidth]],ContinuousStatsTable[[#This Row],[BatchMeansHalfWidth]])</f>
        <v>6.8034586911528527E-2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0.42242672292643302</v>
      </c>
      <c r="H148">
        <v>2E+20</v>
      </c>
      <c r="I148">
        <v>0</v>
      </c>
      <c r="J148">
        <v>1</v>
      </c>
      <c r="K148">
        <v>0.33333333333333298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0.34422170660965817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5.1246736363817387E-2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1.9135845847073889E-2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0.248961473715994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0.449747634188089</v>
      </c>
      <c r="U148">
        <f>IF((ContinuousStatsTable[[#This Row],[RepsRequested]]&gt;1),ContinuousStatsTable[[#This Row],[HalfWidth]],ContinuousStatsTable[[#This Row],[BatchMeansHalfWidth]])</f>
        <v>1.9135845847073889E-2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1.2672801687793001</v>
      </c>
      <c r="H149">
        <v>2E+20</v>
      </c>
      <c r="I149">
        <v>0</v>
      </c>
      <c r="J149">
        <v>3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1.0326651198289747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0.15374020909145517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5.740753754122279E-2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0.74688442114798104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1.34924290256427</v>
      </c>
      <c r="U149">
        <f>IF((ContinuousStatsTable[[#This Row],[RepsRequested]]&gt;1),ContinuousStatsTable[[#This Row],[HalfWidth]],ContinuousStatsTable[[#This Row],[BatchMeansHalfWidth]])</f>
        <v>5.740753754122279E-2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5.8534100841718499E-2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4.4754865451219213E-2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4.6197267690837436E-2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1.7250343257215396E-2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0.18994796885977699</v>
      </c>
      <c r="U151">
        <f>IF((ContinuousStatsTable[[#This Row],[RepsRequested]]&gt;1),ContinuousStatsTable[[#This Row],[HalfWidth]],ContinuousStatsTable[[#This Row],[BatchMeansHalfWidth]])</f>
        <v>1.7250343257215396E-2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81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89.2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9.3085055654529505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" cm="1">
        <f t="array" ref="N2">MIN(IF((CountersTable[GroupByKey]=CountersTable[[#This Row],[GroupByKey]]),(CountersTable[GroupByKey]=CountersTable[[#This Row],[GroupByKey]])*CountersTable[RecordedValue]))</f>
        <v>69</v>
      </c>
      <c r="O2" cm="1">
        <f t="array" ref="O2">MAX(IF((CountersTable[GroupByKey]=CountersTable[[#This Row],[GroupByKey]]),(CountersTable[GroupByKey]=CountersTable[[#This Row],[GroupByKey]])*CountersTable[RecordedValue]))</f>
        <v>108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0.93333333333333335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2.0499509385774854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8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100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89.2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9.3085055654529505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" cm="1">
        <f t="array" ref="N4">MIN(IF((CountersTable[GroupByKey]=CountersTable[[#This Row],[GroupByKey]]),(CountersTable[GroupByKey]=CountersTable[[#This Row],[GroupByKey]])*CountersTable[RecordedValue]))</f>
        <v>69</v>
      </c>
      <c r="O4" cm="1">
        <f t="array" ref="O4">MAX(IF((CountersTable[GroupByKey]=CountersTable[[#This Row],[GroupByKey]]),(CountersTable[GroupByKey]=CountersTable[[#This Row],[GroupByKey]])*CountersTable[RecordedValue]))</f>
        <v>108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6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0.93333333333333335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2.0499509385774854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8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108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89.2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9.3085055654529505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6" cm="1">
        <f t="array" ref="N6">MIN(IF((CountersTable[GroupByKey]=CountersTable[[#This Row],[GroupByKey]]),(CountersTable[GroupByKey]=CountersTable[[#This Row],[GroupByKey]])*CountersTable[RecordedValue]))</f>
        <v>69</v>
      </c>
      <c r="O6" cm="1">
        <f t="array" ref="O6">MAX(IF((CountersTable[GroupByKey]=CountersTable[[#This Row],[GroupByKey]]),(CountersTable[GroupByKey]=CountersTable[[#This Row],[GroupByKey]])*CountersTable[RecordedValue]))</f>
        <v>108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8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0.93333333333333335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2.0499509385774854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8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92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89.2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9.3085055654529505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8" cm="1">
        <f t="array" ref="N8">MIN(IF((CountersTable[GroupByKey]=CountersTable[[#This Row],[GroupByKey]]),(CountersTable[GroupByKey]=CountersTable[[#This Row],[GroupByKey]])*CountersTable[RecordedValue]))</f>
        <v>69</v>
      </c>
      <c r="O8" cm="1">
        <f t="array" ref="O8">MAX(IF((CountersTable[GroupByKey]=CountersTable[[#This Row],[GroupByKey]]),(CountersTable[GroupByKey]=CountersTable[[#This Row],[GroupByKey]])*CountersTable[RecordedValue]))</f>
        <v>108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0.93333333333333335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2.0499509385774854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8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89.2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9.3085055654529505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10" cm="1">
        <f t="array" ref="N10">MIN(IF((CountersTable[GroupByKey]=CountersTable[[#This Row],[GroupByKey]]),(CountersTable[GroupByKey]=CountersTable[[#This Row],[GroupByKey]])*CountersTable[RecordedValue]))</f>
        <v>69</v>
      </c>
      <c r="O10" cm="1">
        <f t="array" ref="O10">MAX(IF((CountersTable[GroupByKey]=CountersTable[[#This Row],[GroupByKey]]),(CountersTable[GroupByKey]=CountersTable[[#This Row],[GroupByKey]])*CountersTable[RecordedValue]))</f>
        <v>108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0.93333333333333335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2.0499509385774854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8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95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89.2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9.3085055654529505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12" s="5" cm="1">
        <f t="array" ref="N12">MIN(IF((CountersTable[GroupByKey]=CountersTable[[#This Row],[GroupByKey]]),(CountersTable[GroupByKey]=CountersTable[[#This Row],[GroupByKey]])*CountersTable[RecordedValue]))</f>
        <v>69</v>
      </c>
      <c r="O12" s="5" cm="1">
        <f t="array" ref="O12">MAX(IF((CountersTable[GroupByKey]=CountersTable[[#This Row],[GroupByKey]]),(CountersTable[GroupByKey]=CountersTable[[#This Row],[GroupByKey]])*CountersTable[RecordedValue]))</f>
        <v>108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0.93333333333333335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2.0499509385774854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8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91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89.2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9.3085055654529505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14" s="5" cm="1">
        <f t="array" ref="N14">MIN(IF((CountersTable[GroupByKey]=CountersTable[[#This Row],[GroupByKey]]),(CountersTable[GroupByKey]=CountersTable[[#This Row],[GroupByKey]])*CountersTable[RecordedValue]))</f>
        <v>69</v>
      </c>
      <c r="O14" s="5" cm="1">
        <f t="array" ref="O14">MAX(IF((CountersTable[GroupByKey]=CountersTable[[#This Row],[GroupByKey]]),(CountersTable[GroupByKey]=CountersTable[[#This Row],[GroupByKey]])*CountersTable[RecordedValue]))</f>
        <v>108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1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0.93333333333333335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2.0499509385774854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8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72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89.2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9.3085055654529505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16" s="5" cm="1">
        <f t="array" ref="N16">MIN(IF((CountersTable[GroupByKey]=CountersTable[[#This Row],[GroupByKey]]),(CountersTable[GroupByKey]=CountersTable[[#This Row],[GroupByKey]])*CountersTable[RecordedValue]))</f>
        <v>69</v>
      </c>
      <c r="O16" s="5" cm="1">
        <f t="array" ref="O16">MAX(IF((CountersTable[GroupByKey]=CountersTable[[#This Row],[GroupByKey]]),(CountersTable[GroupByKey]=CountersTable[[#This Row],[GroupByKey]])*CountersTable[RecordedValue]))</f>
        <v>108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0.93333333333333335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2.0499509385774854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8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86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89.2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9.3085055654529505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18" s="5" cm="1">
        <f t="array" ref="N18">MIN(IF((CountersTable[GroupByKey]=CountersTable[[#This Row],[GroupByKey]]),(CountersTable[GroupByKey]=CountersTable[[#This Row],[GroupByKey]])*CountersTable[RecordedValue]))</f>
        <v>69</v>
      </c>
      <c r="O18" s="5" cm="1">
        <f t="array" ref="O18">MAX(IF((CountersTable[GroupByKey]=CountersTable[[#This Row],[GroupByKey]]),(CountersTable[GroupByKey]=CountersTable[[#This Row],[GroupByKey]])*CountersTable[RecordedValue]))</f>
        <v>108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0.93333333333333335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2.0499509385774854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8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89.2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9.3085055654529505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0" s="5" cm="1">
        <f t="array" ref="N20">MIN(IF((CountersTable[GroupByKey]=CountersTable[[#This Row],[GroupByKey]]),(CountersTable[GroupByKey]=CountersTable[[#This Row],[GroupByKey]])*CountersTable[RecordedValue]))</f>
        <v>69</v>
      </c>
      <c r="O20" s="5" cm="1">
        <f t="array" ref="O20">MAX(IF((CountersTable[GroupByKey]=CountersTable[[#This Row],[GroupByKey]]),(CountersTable[GroupByKey]=CountersTable[[#This Row],[GroupByKey]])*CountersTable[RecordedValue]))</f>
        <v>108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0.93333333333333335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2.0499509385774854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8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94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89.2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9.3085055654529505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2" s="5" cm="1">
        <f t="array" ref="N22">MIN(IF((CountersTable[GroupByKey]=CountersTable[[#This Row],[GroupByKey]]),(CountersTable[GroupByKey]=CountersTable[[#This Row],[GroupByKey]])*CountersTable[RecordedValue]))</f>
        <v>69</v>
      </c>
      <c r="O22" s="5" cm="1">
        <f t="array" ref="O22">MAX(IF((CountersTable[GroupByKey]=CountersTable[[#This Row],[GroupByKey]]),(CountersTable[GroupByKey]=CountersTable[[#This Row],[GroupByKey]])*CountersTable[RecordedValue]))</f>
        <v>108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0.93333333333333335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2.0499509385774854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8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89.2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9.3085055654529505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4" s="5" cm="1">
        <f t="array" ref="N24">MIN(IF((CountersTable[GroupByKey]=CountersTable[[#This Row],[GroupByKey]]),(CountersTable[GroupByKey]=CountersTable[[#This Row],[GroupByKey]])*CountersTable[RecordedValue]))</f>
        <v>69</v>
      </c>
      <c r="O24" s="5" cm="1">
        <f t="array" ref="O24">MAX(IF((CountersTable[GroupByKey]=CountersTable[[#This Row],[GroupByKey]]),(CountersTable[GroupByKey]=CountersTable[[#This Row],[GroupByKey]])*CountersTable[RecordedValue]))</f>
        <v>108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6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0.93333333333333335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2.0499509385774854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8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93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89.2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9.3085055654529505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6" s="5" cm="1">
        <f t="array" ref="N26">MIN(IF((CountersTable[GroupByKey]=CountersTable[[#This Row],[GroupByKey]]),(CountersTable[GroupByKey]=CountersTable[[#This Row],[GroupByKey]])*CountersTable[RecordedValue]))</f>
        <v>69</v>
      </c>
      <c r="O26" s="5" cm="1">
        <f t="array" ref="O26">MAX(IF((CountersTable[GroupByKey]=CountersTable[[#This Row],[GroupByKey]]),(CountersTable[GroupByKey]=CountersTable[[#This Row],[GroupByKey]])*CountersTable[RecordedValue]))</f>
        <v>108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0.93333333333333335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2.0499509385774854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8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89.2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9.3085055654529505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28" s="5" cm="1">
        <f t="array" ref="N28">MIN(IF((CountersTable[GroupByKey]=CountersTable[[#This Row],[GroupByKey]]),(CountersTable[GroupByKey]=CountersTable[[#This Row],[GroupByKey]])*CountersTable[RecordedValue]))</f>
        <v>69</v>
      </c>
      <c r="O28" s="5" cm="1">
        <f t="array" ref="O28">MAX(IF((CountersTable[GroupByKey]=CountersTable[[#This Row],[GroupByKey]]),(CountersTable[GroupByKey]=CountersTable[[#This Row],[GroupByKey]])*CountersTable[RecordedValue]))</f>
        <v>108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0.93333333333333335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2.0499509385774854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8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89.2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9.3085055654529505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30" s="5" cm="1">
        <f t="array" ref="N30">MIN(IF((CountersTable[GroupByKey]=CountersTable[[#This Row],[GroupByKey]]),(CountersTable[GroupByKey]=CountersTable[[#This Row],[GroupByKey]])*CountersTable[RecordedValue]))</f>
        <v>69</v>
      </c>
      <c r="O30" s="5" cm="1">
        <f t="array" ref="O30">MAX(IF((CountersTable[GroupByKey]=CountersTable[[#This Row],[GroupByKey]]),(CountersTable[GroupByKey]=CountersTable[[#This Row],[GroupByKey]])*CountersTable[RecordedValue]))</f>
        <v>108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0.93333333333333335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2.0499509385774854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8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89.2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9.3085055654529505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32" s="5" cm="1">
        <f t="array" ref="N32">MIN(IF((CountersTable[GroupByKey]=CountersTable[[#This Row],[GroupByKey]]),(CountersTable[GroupByKey]=CountersTable[[#This Row],[GroupByKey]])*CountersTable[RecordedValue]))</f>
        <v>69</v>
      </c>
      <c r="O32" s="5" cm="1">
        <f t="array" ref="O32">MAX(IF((CountersTable[GroupByKey]=CountersTable[[#This Row],[GroupByKey]]),(CountersTable[GroupByKey]=CountersTable[[#This Row],[GroupByKey]])*CountersTable[RecordedValue]))</f>
        <v>108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0.93333333333333335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2.0499509385774854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8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69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89.2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9.3085055654529505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34" s="5" cm="1">
        <f t="array" ref="N34">MIN(IF((CountersTable[GroupByKey]=CountersTable[[#This Row],[GroupByKey]]),(CountersTable[GroupByKey]=CountersTable[[#This Row],[GroupByKey]])*CountersTable[RecordedValue]))</f>
        <v>69</v>
      </c>
      <c r="O34" s="5" cm="1">
        <f t="array" ref="O34">MAX(IF((CountersTable[GroupByKey]=CountersTable[[#This Row],[GroupByKey]]),(CountersTable[GroupByKey]=CountersTable[[#This Row],[GroupByKey]])*CountersTable[RecordedValue]))</f>
        <v>108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0.93333333333333335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2.0499509385774854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8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100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89.2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9.3085055654529505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36" s="5" cm="1">
        <f t="array" ref="N36">MIN(IF((CountersTable[GroupByKey]=CountersTable[[#This Row],[GroupByKey]]),(CountersTable[GroupByKey]=CountersTable[[#This Row],[GroupByKey]])*CountersTable[RecordedValue]))</f>
        <v>69</v>
      </c>
      <c r="O36" s="5" cm="1">
        <f t="array" ref="O36">MAX(IF((CountersTable[GroupByKey]=CountersTable[[#This Row],[GroupByKey]]),(CountersTable[GroupByKey]=CountersTable[[#This Row],[GroupByKey]])*CountersTable[RecordedValue]))</f>
        <v>108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0.93333333333333335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2.0499509385774854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8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83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89.2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9.3085055654529505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38" s="5" cm="1">
        <f t="array" ref="N38">MIN(IF((CountersTable[GroupByKey]=CountersTable[[#This Row],[GroupByKey]]),(CountersTable[GroupByKey]=CountersTable[[#This Row],[GroupByKey]])*CountersTable[RecordedValue]))</f>
        <v>69</v>
      </c>
      <c r="O38" s="5" cm="1">
        <f t="array" ref="O38">MAX(IF((CountersTable[GroupByKey]=CountersTable[[#This Row],[GroupByKey]]),(CountersTable[GroupByKey]=CountersTable[[#This Row],[GroupByKey]])*CountersTable[RecordedValue]))</f>
        <v>108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0.93333333333333335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2.0499509385774854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8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84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89.2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9.3085055654529505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0" s="5" cm="1">
        <f t="array" ref="N40">MIN(IF((CountersTable[GroupByKey]=CountersTable[[#This Row],[GroupByKey]]),(CountersTable[GroupByKey]=CountersTable[[#This Row],[GroupByKey]])*CountersTable[RecordedValue]))</f>
        <v>69</v>
      </c>
      <c r="O40" s="5" cm="1">
        <f t="array" ref="O40">MAX(IF((CountersTable[GroupByKey]=CountersTable[[#This Row],[GroupByKey]]),(CountersTable[GroupByKey]=CountersTable[[#This Row],[GroupByKey]])*CountersTable[RecordedValue]))</f>
        <v>108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0.93333333333333335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2.0499509385774854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8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93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89.2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9.3085055654529505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2" s="5" cm="1">
        <f t="array" ref="N42">MIN(IF((CountersTable[GroupByKey]=CountersTable[[#This Row],[GroupByKey]]),(CountersTable[GroupByKey]=CountersTable[[#This Row],[GroupByKey]])*CountersTable[RecordedValue]))</f>
        <v>69</v>
      </c>
      <c r="O42" s="5" cm="1">
        <f t="array" ref="O42">MAX(IF((CountersTable[GroupByKey]=CountersTable[[#This Row],[GroupByKey]]),(CountersTable[GroupByKey]=CountersTable[[#This Row],[GroupByKey]])*CountersTable[RecordedValue]))</f>
        <v>108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0.93333333333333335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2.0499509385774854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8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81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89.2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9.3085055654529505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4" s="5" cm="1">
        <f t="array" ref="N44">MIN(IF((CountersTable[GroupByKey]=CountersTable[[#This Row],[GroupByKey]]),(CountersTable[GroupByKey]=CountersTable[[#This Row],[GroupByKey]])*CountersTable[RecordedValue]))</f>
        <v>69</v>
      </c>
      <c r="O44" s="5" cm="1">
        <f t="array" ref="O44">MAX(IF((CountersTable[GroupByKey]=CountersTable[[#This Row],[GroupByKey]]),(CountersTable[GroupByKey]=CountersTable[[#This Row],[GroupByKey]])*CountersTable[RecordedValue]))</f>
        <v>108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2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0.93333333333333335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2.0499509385774854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8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93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89.2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9.3085055654529505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6" s="5" cm="1">
        <f t="array" ref="N46">MIN(IF((CountersTable[GroupByKey]=CountersTable[[#This Row],[GroupByKey]]),(CountersTable[GroupByKey]=CountersTable[[#This Row],[GroupByKey]])*CountersTable[RecordedValue]))</f>
        <v>69</v>
      </c>
      <c r="O46" s="5" cm="1">
        <f t="array" ref="O46">MAX(IF((CountersTable[GroupByKey]=CountersTable[[#This Row],[GroupByKey]]),(CountersTable[GroupByKey]=CountersTable[[#This Row],[GroupByKey]])*CountersTable[RecordedValue]))</f>
        <v>108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2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0.93333333333333335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2.0499509385774854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8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73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89.2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9.3085055654529505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48" s="5" cm="1">
        <f t="array" ref="N48">MIN(IF((CountersTable[GroupByKey]=CountersTable[[#This Row],[GroupByKey]]),(CountersTable[GroupByKey]=CountersTable[[#This Row],[GroupByKey]])*CountersTable[RecordedValue]))</f>
        <v>69</v>
      </c>
      <c r="O48" s="5" cm="1">
        <f t="array" ref="O48">MAX(IF((CountersTable[GroupByKey]=CountersTable[[#This Row],[GroupByKey]]),(CountersTable[GroupByKey]=CountersTable[[#This Row],[GroupByKey]])*CountersTable[RecordedValue]))</f>
        <v>108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0.93333333333333335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2.0499509385774854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8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89.2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9.3085055654529505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50" s="5" cm="1">
        <f t="array" ref="N50">MIN(IF((CountersTable[GroupByKey]=CountersTable[[#This Row],[GroupByKey]]),(CountersTable[GroupByKey]=CountersTable[[#This Row],[GroupByKey]])*CountersTable[RecordedValue]))</f>
        <v>69</v>
      </c>
      <c r="O50" s="5" cm="1">
        <f t="array" ref="O50">MAX(IF((CountersTable[GroupByKey]=CountersTable[[#This Row],[GroupByKey]]),(CountersTable[GroupByKey]=CountersTable[[#This Row],[GroupByKey]])*CountersTable[RecordedValue]))</f>
        <v>108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0.93333333333333335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2.0499509385774854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8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82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89.2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9.3085055654529505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52" s="5" cm="1">
        <f t="array" ref="N52">MIN(IF((CountersTable[GroupByKey]=CountersTable[[#This Row],[GroupByKey]]),(CountersTable[GroupByKey]=CountersTable[[#This Row],[GroupByKey]])*CountersTable[RecordedValue]))</f>
        <v>69</v>
      </c>
      <c r="O52" s="5" cm="1">
        <f t="array" ref="O52">MAX(IF((CountersTable[GroupByKey]=CountersTable[[#This Row],[GroupByKey]]),(CountersTable[GroupByKey]=CountersTable[[#This Row],[GroupByKey]])*CountersTable[RecordedValue]))</f>
        <v>108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0.93333333333333335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2.0499509385774854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8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89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89.2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9.3085055654529505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54" s="5" cm="1">
        <f t="array" ref="N54">MIN(IF((CountersTable[GroupByKey]=CountersTable[[#This Row],[GroupByKey]]),(CountersTable[GroupByKey]=CountersTable[[#This Row],[GroupByKey]])*CountersTable[RecordedValue]))</f>
        <v>69</v>
      </c>
      <c r="O54" s="5" cm="1">
        <f t="array" ref="O54">MAX(IF((CountersTable[GroupByKey]=CountersTable[[#This Row],[GroupByKey]]),(CountersTable[GroupByKey]=CountersTable[[#This Row],[GroupByKey]])*CountersTable[RecordedValue]))</f>
        <v>108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0.93333333333333335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2.0499509385774854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8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98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89.2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9.3085055654529505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56" s="5" cm="1">
        <f t="array" ref="N56">MIN(IF((CountersTable[GroupByKey]=CountersTable[[#This Row],[GroupByKey]]),(CountersTable[GroupByKey]=CountersTable[[#This Row],[GroupByKey]])*CountersTable[RecordedValue]))</f>
        <v>69</v>
      </c>
      <c r="O56" s="5" cm="1">
        <f t="array" ref="O56">MAX(IF((CountersTable[GroupByKey]=CountersTable[[#This Row],[GroupByKey]]),(CountersTable[GroupByKey]=CountersTable[[#This Row],[GroupByKey]])*CountersTable[RecordedValue]))</f>
        <v>108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0.93333333333333335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2.0499509385774854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8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91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89.2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9.3085055654529505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58" s="5" cm="1">
        <f t="array" ref="N58">MIN(IF((CountersTable[GroupByKey]=CountersTable[[#This Row],[GroupByKey]]),(CountersTable[GroupByKey]=CountersTable[[#This Row],[GroupByKey]])*CountersTable[RecordedValue]))</f>
        <v>69</v>
      </c>
      <c r="O58" s="5" cm="1">
        <f t="array" ref="O58">MAX(IF((CountersTable[GroupByKey]=CountersTable[[#This Row],[GroupByKey]]),(CountersTable[GroupByKey]=CountersTable[[#This Row],[GroupByKey]])*CountersTable[RecordedValue]))</f>
        <v>108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0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0.93333333333333335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2.0499509385774854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8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107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89.2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9.3085055654529505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3.4758531021870596</v>
      </c>
      <c r="N60" s="5" cm="1">
        <f t="array" ref="N60">MIN(IF((CountersTable[GroupByKey]=CountersTable[[#This Row],[GroupByKey]]),(CountersTable[GroupByKey]=CountersTable[[#This Row],[GroupByKey]])*CountersTable[RecordedValue]))</f>
        <v>69</v>
      </c>
      <c r="O60" s="5" cm="1">
        <f t="array" ref="O60">MAX(IF((CountersTable[GroupByKey]=CountersTable[[#This Row],[GroupByKey]]),(CountersTable[GroupByKey]=CountersTable[[#This Row],[GroupByKey]])*CountersTable[RecordedValue]))</f>
        <v>108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0.93333333333333335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2.0499509385774854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0.76546426051785987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8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82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90.033333333333331</v>
      </c>
      <c r="L2" cm="1">
        <f t="array" ref="L2">IFERROR(_xlfn.STDEV.S(IF((OutputTable[GroupByKey]=OutputTable[[#This Row],[GroupByKey]]),(OutputTable[GroupByKey]=OutputTable[[#This Row],[GroupByKey]])*OutputTable[RecordedValue])),0)</f>
        <v>9.3899555040381504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110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81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89.2</v>
      </c>
      <c r="L3" cm="1">
        <f t="array" ref="L3">IFERROR(_xlfn.STDEV.S(IF((OutputTable[GroupByKey]=OutputTable[[#This Row],[GroupByKey]]),(OutputTable[GroupByKey]=OutputTable[[#This Row],[GroupByKey]])*OutputTable[RecordedValue])),0)</f>
        <v>9.3085055654529505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3" cm="1">
        <f t="array" ref="O3">MIN(IF((OutputTable[GroupByKey]=OutputTable[[#This Row],[GroupByKey]]),(OutputTable[GroupByKey]=OutputTable[[#This Row],[GroupByKey]])*OutputTable[RecordedValue]))</f>
        <v>69</v>
      </c>
      <c r="P3" cm="1">
        <f t="array" ref="P3">MAX(IF((OutputTable[GroupByKey]=OutputTable[[#This Row],[GroupByKey]]),(OutputTable[GroupByKey]=OutputTable[[#This Row],[GroupByKey]])*OutputTable[RecordedValue]))</f>
        <v>108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82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90.033333333333331</v>
      </c>
      <c r="L4" cm="1">
        <f t="array" ref="L4">IFERROR(_xlfn.STDEV.S(IF((OutputTable[GroupByKey]=OutputTable[[#This Row],[GroupByKey]]),(OutputTable[GroupByKey]=OutputTable[[#This Row],[GroupByKey]])*OutputTable[RecordedValue])),0)</f>
        <v>9.3899555040381504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110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0.34844738640134199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0.34422170660965823</v>
      </c>
      <c r="L5" cm="1">
        <f t="array" ref="L5">IFERROR(_xlfn.STDEV.S(IF((OutputTable[GroupByKey]=OutputTable[[#This Row],[GroupByKey]]),(OutputTable[GroupByKey]=OutputTable[[#This Row],[GroupByKey]])*OutputTable[RecordedValue])),0)</f>
        <v>5.1246736363817387E-2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5" cm="1">
        <f t="array" ref="O5">MIN(IF((OutputTable[GroupByKey]=OutputTable[[#This Row],[GroupByKey]]),(OutputTable[GroupByKey]=OutputTable[[#This Row],[GroupByKey]])*OutputTable[RecordedValue]))</f>
        <v>0.248961473715994</v>
      </c>
      <c r="P5" cm="1">
        <f t="array" ref="P5">MAX(IF((OutputTable[GroupByKey]=OutputTable[[#This Row],[GroupByKey]]),(OutputTable[GroupByKey]=OutputTable[[#This Row],[GroupByKey]])*OutputTable[RecordedValue]))</f>
        <v>0.449747634188089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81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89.2</v>
      </c>
      <c r="L6" cm="1">
        <f t="array" ref="L6">IFERROR(_xlfn.STDEV.S(IF((OutputTable[GroupByKey]=OutputTable[[#This Row],[GroupByKey]]),(OutputTable[GroupByKey]=OutputTable[[#This Row],[GroupByKey]])*OutputTable[RecordedValue])),0)</f>
        <v>9.3085055654529505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6" cm="1">
        <f t="array" ref="O6">MIN(IF((OutputTable[GroupByKey]=OutputTable[[#This Row],[GroupByKey]]),(OutputTable[GroupByKey]=OutputTable[[#This Row],[GroupByKey]])*OutputTable[RecordedValue]))</f>
        <v>69</v>
      </c>
      <c r="P6" cm="1">
        <f t="array" ref="P6">MAX(IF((OutputTable[GroupByKey]=OutputTable[[#This Row],[GroupByKey]]),(OutputTable[GroupByKey]=OutputTable[[#This Row],[GroupByKey]])*OutputTable[RecordedValue]))</f>
        <v>108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90.033333333333331</v>
      </c>
      <c r="L7" cm="1">
        <f t="array" ref="L7">IFERROR(_xlfn.STDEV.S(IF((OutputTable[GroupByKey]=OutputTable[[#This Row],[GroupByKey]]),(OutputTable[GroupByKey]=OutputTable[[#This Row],[GroupByKey]])*OutputTable[RecordedValue])),0)</f>
        <v>9.3899555040381504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110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100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89.2</v>
      </c>
      <c r="L8" cm="1">
        <f t="array" ref="L8">IFERROR(_xlfn.STDEV.S(IF((OutputTable[GroupByKey]=OutputTable[[#This Row],[GroupByKey]]),(OutputTable[GroupByKey]=OutputTable[[#This Row],[GroupByKey]])*OutputTable[RecordedValue])),0)</f>
        <v>9.3085055654529505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8" cm="1">
        <f t="array" ref="O8">MIN(IF((OutputTable[GroupByKey]=OutputTable[[#This Row],[GroupByKey]]),(OutputTable[GroupByKey]=OutputTable[[#This Row],[GroupByKey]])*OutputTable[RecordedValue]))</f>
        <v>69</v>
      </c>
      <c r="P8" cm="1">
        <f t="array" ref="P8">MAX(IF((OutputTable[GroupByKey]=OutputTable[[#This Row],[GroupByKey]]),(OutputTable[GroupByKey]=OutputTable[[#This Row],[GroupByKey]])*OutputTable[RecordedValue]))</f>
        <v>108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90.033333333333331</v>
      </c>
      <c r="L9" cm="1">
        <f t="array" ref="L9">IFERROR(_xlfn.STDEV.S(IF((OutputTable[GroupByKey]=OutputTable[[#This Row],[GroupByKey]]),(OutputTable[GroupByKey]=OutputTable[[#This Row],[GroupByKey]])*OutputTable[RecordedValue])),0)</f>
        <v>9.3899555040381504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110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0.41027746415607702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0.34422170660965823</v>
      </c>
      <c r="L10" cm="1">
        <f t="array" ref="L10">IFERROR(_xlfn.STDEV.S(IF((OutputTable[GroupByKey]=OutputTable[[#This Row],[GroupByKey]]),(OutputTable[GroupByKey]=OutputTable[[#This Row],[GroupByKey]])*OutputTable[RecordedValue])),0)</f>
        <v>5.1246736363817387E-2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0" cm="1">
        <f t="array" ref="O10">MIN(IF((OutputTable[GroupByKey]=OutputTable[[#This Row],[GroupByKey]]),(OutputTable[GroupByKey]=OutputTable[[#This Row],[GroupByKey]])*OutputTable[RecordedValue]))</f>
        <v>0.248961473715994</v>
      </c>
      <c r="P10" cm="1">
        <f t="array" ref="P10">MAX(IF((OutputTable[GroupByKey]=OutputTable[[#This Row],[GroupByKey]]),(OutputTable[GroupByKey]=OutputTable[[#This Row],[GroupByKey]])*OutputTable[RecordedValue]))</f>
        <v>0.449747634188089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100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89.2</v>
      </c>
      <c r="L11" cm="1">
        <f t="array" ref="L11">IFERROR(_xlfn.STDEV.S(IF((OutputTable[GroupByKey]=OutputTable[[#This Row],[GroupByKey]]),(OutputTable[GroupByKey]=OutputTable[[#This Row],[GroupByKey]])*OutputTable[RecordedValue])),0)</f>
        <v>9.3085055654529505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1" cm="1">
        <f t="array" ref="O11">MIN(IF((OutputTable[GroupByKey]=OutputTable[[#This Row],[GroupByKey]]),(OutputTable[GroupByKey]=OutputTable[[#This Row],[GroupByKey]])*OutputTable[RecordedValue]))</f>
        <v>69</v>
      </c>
      <c r="P11" cm="1">
        <f t="array" ref="P11">MAX(IF((OutputTable[GroupByKey]=OutputTable[[#This Row],[GroupByKey]]),(OutputTable[GroupByKey]=OutputTable[[#This Row],[GroupByKey]])*OutputTable[RecordedValue]))</f>
        <v>108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110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90.033333333333331</v>
      </c>
      <c r="L12" cm="1">
        <f t="array" ref="L12">IFERROR(_xlfn.STDEV.S(IF((OutputTable[GroupByKey]=OutputTable[[#This Row],[GroupByKey]]),(OutputTable[GroupByKey]=OutputTable[[#This Row],[GroupByKey]])*OutputTable[RecordedValue])),0)</f>
        <v>9.3899555040381504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110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108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89.2</v>
      </c>
      <c r="L13" cm="1">
        <f t="array" ref="L13">IFERROR(_xlfn.STDEV.S(IF((OutputTable[GroupByKey]=OutputTable[[#This Row],[GroupByKey]]),(OutputTable[GroupByKey]=OutputTable[[#This Row],[GroupByKey]])*OutputTable[RecordedValue])),0)</f>
        <v>9.3085055654529505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3" cm="1">
        <f t="array" ref="O13">MIN(IF((OutputTable[GroupByKey]=OutputTable[[#This Row],[GroupByKey]]),(OutputTable[GroupByKey]=OutputTable[[#This Row],[GroupByKey]])*OutputTable[RecordedValue]))</f>
        <v>69</v>
      </c>
      <c r="P13" cm="1">
        <f t="array" ref="P13">MAX(IF((OutputTable[GroupByKey]=OutputTable[[#This Row],[GroupByKey]]),(OutputTable[GroupByKey]=OutputTable[[#This Row],[GroupByKey]])*OutputTable[RecordedValue]))</f>
        <v>108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110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90.033333333333331</v>
      </c>
      <c r="L14" cm="1">
        <f t="array" ref="L14">IFERROR(_xlfn.STDEV.S(IF((OutputTable[GroupByKey]=OutputTable[[#This Row],[GroupByKey]]),(OutputTable[GroupByKey]=OutputTable[[#This Row],[GroupByKey]])*OutputTable[RecordedValue])),0)</f>
        <v>9.3899555040381504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110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0.43606198921975298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0.34422170660965823</v>
      </c>
      <c r="L15" cm="1">
        <f t="array" ref="L15">IFERROR(_xlfn.STDEV.S(IF((OutputTable[GroupByKey]=OutputTable[[#This Row],[GroupByKey]]),(OutputTable[GroupByKey]=OutputTable[[#This Row],[GroupByKey]])*OutputTable[RecordedValue])),0)</f>
        <v>5.1246736363817387E-2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5" cm="1">
        <f t="array" ref="O15">MIN(IF((OutputTable[GroupByKey]=OutputTable[[#This Row],[GroupByKey]]),(OutputTable[GroupByKey]=OutputTable[[#This Row],[GroupByKey]])*OutputTable[RecordedValue]))</f>
        <v>0.248961473715994</v>
      </c>
      <c r="P15" cm="1">
        <f t="array" ref="P15">MAX(IF((OutputTable[GroupByKey]=OutputTable[[#This Row],[GroupByKey]]),(OutputTable[GroupByKey]=OutputTable[[#This Row],[GroupByKey]])*OutputTable[RecordedValue]))</f>
        <v>0.449747634188089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89.2</v>
      </c>
      <c r="L16" cm="1">
        <f t="array" ref="L16">IFERROR(_xlfn.STDEV.S(IF((OutputTable[GroupByKey]=OutputTable[[#This Row],[GroupByKey]]),(OutputTable[GroupByKey]=OutputTable[[#This Row],[GroupByKey]])*OutputTable[RecordedValue])),0)</f>
        <v>9.3085055654529505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6" cm="1">
        <f t="array" ref="O16">MIN(IF((OutputTable[GroupByKey]=OutputTable[[#This Row],[GroupByKey]]),(OutputTable[GroupByKey]=OutputTable[[#This Row],[GroupByKey]])*OutputTable[RecordedValue]))</f>
        <v>69</v>
      </c>
      <c r="P16" cm="1">
        <f t="array" ref="P16">MAX(IF((OutputTable[GroupByKey]=OutputTable[[#This Row],[GroupByKey]]),(OutputTable[GroupByKey]=OutputTable[[#This Row],[GroupByKey]])*OutputTable[RecordedValue]))</f>
        <v>108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94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90.033333333333331</v>
      </c>
      <c r="L17" cm="1">
        <f t="array" ref="L17">IFERROR(_xlfn.STDEV.S(IF((OutputTable[GroupByKey]=OutputTable[[#This Row],[GroupByKey]]),(OutputTable[GroupByKey]=OutputTable[[#This Row],[GroupByKey]])*OutputTable[RecordedValue])),0)</f>
        <v>9.3899555040381504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110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92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89.2</v>
      </c>
      <c r="L18" cm="1">
        <f t="array" ref="L18">IFERROR(_xlfn.STDEV.S(IF((OutputTable[GroupByKey]=OutputTable[[#This Row],[GroupByKey]]),(OutputTable[GroupByKey]=OutputTable[[#This Row],[GroupByKey]])*OutputTable[RecordedValue])),0)</f>
        <v>9.3085055654529505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8" cm="1">
        <f t="array" ref="O18">MIN(IF((OutputTable[GroupByKey]=OutputTable[[#This Row],[GroupByKey]]),(OutputTable[GroupByKey]=OutputTable[[#This Row],[GroupByKey]])*OutputTable[RecordedValue]))</f>
        <v>69</v>
      </c>
      <c r="P18" cm="1">
        <f t="array" ref="P18">MAX(IF((OutputTable[GroupByKey]=OutputTable[[#This Row],[GroupByKey]]),(OutputTable[GroupByKey]=OutputTable[[#This Row],[GroupByKey]])*OutputTable[RecordedValue]))</f>
        <v>108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94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90.033333333333331</v>
      </c>
      <c r="L19" cm="1">
        <f t="array" ref="L19">IFERROR(_xlfn.STDEV.S(IF((OutputTable[GroupByKey]=OutputTable[[#This Row],[GroupByKey]]),(OutputTable[GroupByKey]=OutputTable[[#This Row],[GroupByKey]])*OutputTable[RecordedValue])),0)</f>
        <v>9.3899555040381504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110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0.36519898558790098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0.34422170660965823</v>
      </c>
      <c r="L20" cm="1">
        <f t="array" ref="L20">IFERROR(_xlfn.STDEV.S(IF((OutputTable[GroupByKey]=OutputTable[[#This Row],[GroupByKey]]),(OutputTable[GroupByKey]=OutputTable[[#This Row],[GroupByKey]])*OutputTable[RecordedValue])),0)</f>
        <v>5.1246736363817387E-2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20" cm="1">
        <f t="array" ref="O20">MIN(IF((OutputTable[GroupByKey]=OutputTable[[#This Row],[GroupByKey]]),(OutputTable[GroupByKey]=OutputTable[[#This Row],[GroupByKey]])*OutputTable[RecordedValue]))</f>
        <v>0.248961473715994</v>
      </c>
      <c r="P20" cm="1">
        <f t="array" ref="P20">MAX(IF((OutputTable[GroupByKey]=OutputTable[[#This Row],[GroupByKey]]),(OutputTable[GroupByKey]=OutputTable[[#This Row],[GroupByKey]])*OutputTable[RecordedValue]))</f>
        <v>0.449747634188089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92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89.2</v>
      </c>
      <c r="L21" cm="1">
        <f t="array" ref="L21">IFERROR(_xlfn.STDEV.S(IF((OutputTable[GroupByKey]=OutputTable[[#This Row],[GroupByKey]]),(OutputTable[GroupByKey]=OutputTable[[#This Row],[GroupByKey]])*OutputTable[RecordedValue])),0)</f>
        <v>9.3085055654529505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21" cm="1">
        <f t="array" ref="O21">MIN(IF((OutputTable[GroupByKey]=OutputTable[[#This Row],[GroupByKey]]),(OutputTable[GroupByKey]=OutputTable[[#This Row],[GroupByKey]])*OutputTable[RecordedValue]))</f>
        <v>69</v>
      </c>
      <c r="P21" cm="1">
        <f t="array" ref="P21">MAX(IF((OutputTable[GroupByKey]=OutputTable[[#This Row],[GroupByKey]]),(OutputTable[GroupByKey]=OutputTable[[#This Row],[GroupByKey]])*OutputTable[RecordedValue]))</f>
        <v>108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90.033333333333331</v>
      </c>
      <c r="L22" cm="1">
        <f t="array" ref="L22">IFERROR(_xlfn.STDEV.S(IF((OutputTable[GroupByKey]=OutputTable[[#This Row],[GroupByKey]]),(OutputTable[GroupByKey]=OutputTable[[#This Row],[GroupByKey]])*OutputTable[RecordedValue])),0)</f>
        <v>9.3899555040381504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110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89.2</v>
      </c>
      <c r="L23" cm="1">
        <f t="array" ref="L23">IFERROR(_xlfn.STDEV.S(IF((OutputTable[GroupByKey]=OutputTable[[#This Row],[GroupByKey]]),(OutputTable[GroupByKey]=OutputTable[[#This Row],[GroupByKey]])*OutputTable[RecordedValue])),0)</f>
        <v>9.3085055654529505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23" cm="1">
        <f t="array" ref="O23">MIN(IF((OutputTable[GroupByKey]=OutputTable[[#This Row],[GroupByKey]]),(OutputTable[GroupByKey]=OutputTable[[#This Row],[GroupByKey]])*OutputTable[RecordedValue]))</f>
        <v>69</v>
      </c>
      <c r="P23" cm="1">
        <f t="array" ref="P23">MAX(IF((OutputTable[GroupByKey]=OutputTable[[#This Row],[GroupByKey]]),(OutputTable[GroupByKey]=OutputTable[[#This Row],[GroupByKey]])*OutputTable[RecordedValue]))</f>
        <v>108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90.033333333333331</v>
      </c>
      <c r="L24" cm="1">
        <f t="array" ref="L24">IFERROR(_xlfn.STDEV.S(IF((OutputTable[GroupByKey]=OutputTable[[#This Row],[GroupByKey]]),(OutputTable[GroupByKey]=OutputTable[[#This Row],[GroupByKey]])*OutputTable[RecordedValue])),0)</f>
        <v>9.3899555040381504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110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0.30796496841222198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0.34422170660965823</v>
      </c>
      <c r="L25" cm="1">
        <f t="array" ref="L25">IFERROR(_xlfn.STDEV.S(IF((OutputTable[GroupByKey]=OutputTable[[#This Row],[GroupByKey]]),(OutputTable[GroupByKey]=OutputTable[[#This Row],[GroupByKey]])*OutputTable[RecordedValue])),0)</f>
        <v>5.1246736363817387E-2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25" cm="1">
        <f t="array" ref="O25">MIN(IF((OutputTable[GroupByKey]=OutputTable[[#This Row],[GroupByKey]]),(OutputTable[GroupByKey]=OutputTable[[#This Row],[GroupByKey]])*OutputTable[RecordedValue]))</f>
        <v>0.248961473715994</v>
      </c>
      <c r="P25" cm="1">
        <f t="array" ref="P25">MAX(IF((OutputTable[GroupByKey]=OutputTable[[#This Row],[GroupByKey]]),(OutputTable[GroupByKey]=OutputTable[[#This Row],[GroupByKey]])*OutputTable[RecordedValue]))</f>
        <v>0.449747634188089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89.2</v>
      </c>
      <c r="L26" cm="1">
        <f t="array" ref="L26">IFERROR(_xlfn.STDEV.S(IF((OutputTable[GroupByKey]=OutputTable[[#This Row],[GroupByKey]]),(OutputTable[GroupByKey]=OutputTable[[#This Row],[GroupByKey]])*OutputTable[RecordedValue])),0)</f>
        <v>9.3085055654529505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26" cm="1">
        <f t="array" ref="O26">MIN(IF((OutputTable[GroupByKey]=OutputTable[[#This Row],[GroupByKey]]),(OutputTable[GroupByKey]=OutputTable[[#This Row],[GroupByKey]])*OutputTable[RecordedValue]))</f>
        <v>69</v>
      </c>
      <c r="P26" cm="1">
        <f t="array" ref="P26">MAX(IF((OutputTable[GroupByKey]=OutputTable[[#This Row],[GroupByKey]]),(OutputTable[GroupByKey]=OutputTable[[#This Row],[GroupByKey]])*OutputTable[RecordedValue]))</f>
        <v>108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95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90.033333333333331</v>
      </c>
      <c r="L27" cm="1">
        <f t="array" ref="L27">IFERROR(_xlfn.STDEV.S(IF((OutputTable[GroupByKey]=OutputTable[[#This Row],[GroupByKey]]),(OutputTable[GroupByKey]=OutputTable[[#This Row],[GroupByKey]])*OutputTable[RecordedValue])),0)</f>
        <v>9.3899555040381504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110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89.2</v>
      </c>
      <c r="L28" cm="1">
        <f t="array" ref="L28">IFERROR(_xlfn.STDEV.S(IF((OutputTable[GroupByKey]=OutputTable[[#This Row],[GroupByKey]]),(OutputTable[GroupByKey]=OutputTable[[#This Row],[GroupByKey]])*OutputTable[RecordedValue])),0)</f>
        <v>9.3085055654529505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28" cm="1">
        <f t="array" ref="O28">MIN(IF((OutputTable[GroupByKey]=OutputTable[[#This Row],[GroupByKey]]),(OutputTable[GroupByKey]=OutputTable[[#This Row],[GroupByKey]])*OutputTable[RecordedValue]))</f>
        <v>69</v>
      </c>
      <c r="P28" cm="1">
        <f t="array" ref="P28">MAX(IF((OutputTable[GroupByKey]=OutputTable[[#This Row],[GroupByKey]]),(OutputTable[GroupByKey]=OutputTable[[#This Row],[GroupByKey]])*OutputTable[RecordedValue]))</f>
        <v>108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95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90.033333333333331</v>
      </c>
      <c r="L29" cm="1">
        <f t="array" ref="L29">IFERROR(_xlfn.STDEV.S(IF((OutputTable[GroupByKey]=OutputTable[[#This Row],[GroupByKey]]),(OutputTable[GroupByKey]=OutputTable[[#This Row],[GroupByKey]])*OutputTable[RecordedValue])),0)</f>
        <v>9.3899555040381504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110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0.37007936351800702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0.34422170660965823</v>
      </c>
      <c r="L30" cm="1">
        <f t="array" ref="L30">IFERROR(_xlfn.STDEV.S(IF((OutputTable[GroupByKey]=OutputTable[[#This Row],[GroupByKey]]),(OutputTable[GroupByKey]=OutputTable[[#This Row],[GroupByKey]])*OutputTable[RecordedValue])),0)</f>
        <v>5.1246736363817387E-2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30" cm="1">
        <f t="array" ref="O30">MIN(IF((OutputTable[GroupByKey]=OutputTable[[#This Row],[GroupByKey]]),(OutputTable[GroupByKey]=OutputTable[[#This Row],[GroupByKey]])*OutputTable[RecordedValue]))</f>
        <v>0.248961473715994</v>
      </c>
      <c r="P30" cm="1">
        <f t="array" ref="P30">MAX(IF((OutputTable[GroupByKey]=OutputTable[[#This Row],[GroupByKey]]),(OutputTable[GroupByKey]=OutputTable[[#This Row],[GroupByKey]])*OutputTable[RecordedValue]))</f>
        <v>0.449747634188089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95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89.2</v>
      </c>
      <c r="L31" cm="1">
        <f t="array" ref="L31">IFERROR(_xlfn.STDEV.S(IF((OutputTable[GroupByKey]=OutputTable[[#This Row],[GroupByKey]]),(OutputTable[GroupByKey]=OutputTable[[#This Row],[GroupByKey]])*OutputTable[RecordedValue])),0)</f>
        <v>9.3085055654529505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31" cm="1">
        <f t="array" ref="O31">MIN(IF((OutputTable[GroupByKey]=OutputTable[[#This Row],[GroupByKey]]),(OutputTable[GroupByKey]=OutputTable[[#This Row],[GroupByKey]])*OutputTable[RecordedValue]))</f>
        <v>69</v>
      </c>
      <c r="P31" cm="1">
        <f t="array" ref="P31">MAX(IF((OutputTable[GroupByKey]=OutputTable[[#This Row],[GroupByKey]]),(OutputTable[GroupByKey]=OutputTable[[#This Row],[GroupByKey]])*OutputTable[RecordedValue]))</f>
        <v>108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92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90.033333333333331</v>
      </c>
      <c r="L32" cm="1">
        <f t="array" ref="L32">IFERROR(_xlfn.STDEV.S(IF((OutputTable[GroupByKey]=OutputTable[[#This Row],[GroupByKey]]),(OutputTable[GroupByKey]=OutputTable[[#This Row],[GroupByKey]])*OutputTable[RecordedValue])),0)</f>
        <v>9.3899555040381504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110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91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89.2</v>
      </c>
      <c r="L33" cm="1">
        <f t="array" ref="L33">IFERROR(_xlfn.STDEV.S(IF((OutputTable[GroupByKey]=OutputTable[[#This Row],[GroupByKey]]),(OutputTable[GroupByKey]=OutputTable[[#This Row],[GroupByKey]])*OutputTable[RecordedValue])),0)</f>
        <v>9.3085055654529505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33" cm="1">
        <f t="array" ref="O33">MIN(IF((OutputTable[GroupByKey]=OutputTable[[#This Row],[GroupByKey]]),(OutputTable[GroupByKey]=OutputTable[[#This Row],[GroupByKey]])*OutputTable[RecordedValue]))</f>
        <v>69</v>
      </c>
      <c r="P33" cm="1">
        <f t="array" ref="P33">MAX(IF((OutputTable[GroupByKey]=OutputTable[[#This Row],[GroupByKey]]),(OutputTable[GroupByKey]=OutputTable[[#This Row],[GroupByKey]])*OutputTable[RecordedValue]))</f>
        <v>108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92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90.033333333333331</v>
      </c>
      <c r="L34" cm="1">
        <f t="array" ref="L34">IFERROR(_xlfn.STDEV.S(IF((OutputTable[GroupByKey]=OutputTable[[#This Row],[GroupByKey]]),(OutputTable[GroupByKey]=OutputTable[[#This Row],[GroupByKey]])*OutputTable[RecordedValue])),0)</f>
        <v>9.3899555040381504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110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0.38631188170430197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0.34422170660965823</v>
      </c>
      <c r="L35" cm="1">
        <f t="array" ref="L35">IFERROR(_xlfn.STDEV.S(IF((OutputTable[GroupByKey]=OutputTable[[#This Row],[GroupByKey]]),(OutputTable[GroupByKey]=OutputTable[[#This Row],[GroupByKey]])*OutputTable[RecordedValue])),0)</f>
        <v>5.1246736363817387E-2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35" cm="1">
        <f t="array" ref="O35">MIN(IF((OutputTable[GroupByKey]=OutputTable[[#This Row],[GroupByKey]]),(OutputTable[GroupByKey]=OutputTable[[#This Row],[GroupByKey]])*OutputTable[RecordedValue]))</f>
        <v>0.248961473715994</v>
      </c>
      <c r="P35" cm="1">
        <f t="array" ref="P35">MAX(IF((OutputTable[GroupByKey]=OutputTable[[#This Row],[GroupByKey]]),(OutputTable[GroupByKey]=OutputTable[[#This Row],[GroupByKey]])*OutputTable[RecordedValue]))</f>
        <v>0.449747634188089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91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89.2</v>
      </c>
      <c r="L36" cm="1">
        <f t="array" ref="L36">IFERROR(_xlfn.STDEV.S(IF((OutputTable[GroupByKey]=OutputTable[[#This Row],[GroupByKey]]),(OutputTable[GroupByKey]=OutputTable[[#This Row],[GroupByKey]])*OutputTable[RecordedValue])),0)</f>
        <v>9.3085055654529505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36" cm="1">
        <f t="array" ref="O36">MIN(IF((OutputTable[GroupByKey]=OutputTable[[#This Row],[GroupByKey]]),(OutputTable[GroupByKey]=OutputTable[[#This Row],[GroupByKey]])*OutputTable[RecordedValue]))</f>
        <v>69</v>
      </c>
      <c r="P36" cm="1">
        <f t="array" ref="P36">MAX(IF((OutputTable[GroupByKey]=OutputTable[[#This Row],[GroupByKey]]),(OutputTable[GroupByKey]=OutputTable[[#This Row],[GroupByKey]])*OutputTable[RecordedValue]))</f>
        <v>108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90.033333333333331</v>
      </c>
      <c r="L37" cm="1">
        <f t="array" ref="L37">IFERROR(_xlfn.STDEV.S(IF((OutputTable[GroupByKey]=OutputTable[[#This Row],[GroupByKey]]),(OutputTable[GroupByKey]=OutputTable[[#This Row],[GroupByKey]])*OutputTable[RecordedValue])),0)</f>
        <v>9.3899555040381504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110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72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89.2</v>
      </c>
      <c r="L38" cm="1">
        <f t="array" ref="L38">IFERROR(_xlfn.STDEV.S(IF((OutputTable[GroupByKey]=OutputTable[[#This Row],[GroupByKey]]),(OutputTable[GroupByKey]=OutputTable[[#This Row],[GroupByKey]])*OutputTable[RecordedValue])),0)</f>
        <v>9.3085055654529505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38" cm="1">
        <f t="array" ref="O38">MIN(IF((OutputTable[GroupByKey]=OutputTable[[#This Row],[GroupByKey]]),(OutputTable[GroupByKey]=OutputTable[[#This Row],[GroupByKey]])*OutputTable[RecordedValue]))</f>
        <v>69</v>
      </c>
      <c r="P38" cm="1">
        <f t="array" ref="P38">MAX(IF((OutputTable[GroupByKey]=OutputTable[[#This Row],[GroupByKey]]),(OutputTable[GroupByKey]=OutputTable[[#This Row],[GroupByKey]])*OutputTable[RecordedValue]))</f>
        <v>108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90.033333333333331</v>
      </c>
      <c r="L39" cm="1">
        <f t="array" ref="L39">IFERROR(_xlfn.STDEV.S(IF((OutputTable[GroupByKey]=OutputTable[[#This Row],[GroupByKey]]),(OutputTable[GroupByKey]=OutputTable[[#This Row],[GroupByKey]])*OutputTable[RecordedValue])),0)</f>
        <v>9.3899555040381504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110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0.31170579308282897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0.34422170660965823</v>
      </c>
      <c r="L40" cm="1">
        <f t="array" ref="L40">IFERROR(_xlfn.STDEV.S(IF((OutputTable[GroupByKey]=OutputTable[[#This Row],[GroupByKey]]),(OutputTable[GroupByKey]=OutputTable[[#This Row],[GroupByKey]])*OutputTable[RecordedValue])),0)</f>
        <v>5.1246736363817387E-2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40" cm="1">
        <f t="array" ref="O40">MIN(IF((OutputTable[GroupByKey]=OutputTable[[#This Row],[GroupByKey]]),(OutputTable[GroupByKey]=OutputTable[[#This Row],[GroupByKey]])*OutputTable[RecordedValue]))</f>
        <v>0.248961473715994</v>
      </c>
      <c r="P40" cm="1">
        <f t="array" ref="P40">MAX(IF((OutputTable[GroupByKey]=OutputTable[[#This Row],[GroupByKey]]),(OutputTable[GroupByKey]=OutputTable[[#This Row],[GroupByKey]])*OutputTable[RecordedValue]))</f>
        <v>0.449747634188089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72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89.2</v>
      </c>
      <c r="L41" cm="1">
        <f t="array" ref="L41">IFERROR(_xlfn.STDEV.S(IF((OutputTable[GroupByKey]=OutputTable[[#This Row],[GroupByKey]]),(OutputTable[GroupByKey]=OutputTable[[#This Row],[GroupByKey]])*OutputTable[RecordedValue])),0)</f>
        <v>9.3085055654529505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41" cm="1">
        <f t="array" ref="O41">MIN(IF((OutputTable[GroupByKey]=OutputTable[[#This Row],[GroupByKey]]),(OutputTable[GroupByKey]=OutputTable[[#This Row],[GroupByKey]])*OutputTable[RecordedValue]))</f>
        <v>69</v>
      </c>
      <c r="P41" cm="1">
        <f t="array" ref="P41">MAX(IF((OutputTable[GroupByKey]=OutputTable[[#This Row],[GroupByKey]]),(OutputTable[GroupByKey]=OutputTable[[#This Row],[GroupByKey]])*OutputTable[RecordedValue]))</f>
        <v>108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90.033333333333331</v>
      </c>
      <c r="L42" cm="1">
        <f t="array" ref="L42">IFERROR(_xlfn.STDEV.S(IF((OutputTable[GroupByKey]=OutputTable[[#This Row],[GroupByKey]]),(OutputTable[GroupByKey]=OutputTable[[#This Row],[GroupByKey]])*OutputTable[RecordedValue])),0)</f>
        <v>9.3899555040381504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110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86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89.2</v>
      </c>
      <c r="L43" cm="1">
        <f t="array" ref="L43">IFERROR(_xlfn.STDEV.S(IF((OutputTable[GroupByKey]=OutputTable[[#This Row],[GroupByKey]]),(OutputTable[GroupByKey]=OutputTable[[#This Row],[GroupByKey]])*OutputTable[RecordedValue])),0)</f>
        <v>9.3085055654529505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43" cm="1">
        <f t="array" ref="O43">MIN(IF((OutputTable[GroupByKey]=OutputTable[[#This Row],[GroupByKey]]),(OutputTable[GroupByKey]=OutputTable[[#This Row],[GroupByKey]])*OutputTable[RecordedValue]))</f>
        <v>69</v>
      </c>
      <c r="P43" cm="1">
        <f t="array" ref="P43">MAX(IF((OutputTable[GroupByKey]=OutputTable[[#This Row],[GroupByKey]]),(OutputTable[GroupByKey]=OutputTable[[#This Row],[GroupByKey]])*OutputTable[RecordedValue]))</f>
        <v>108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90.033333333333331</v>
      </c>
      <c r="L44" cm="1">
        <f t="array" ref="L44">IFERROR(_xlfn.STDEV.S(IF((OutputTable[GroupByKey]=OutputTable[[#This Row],[GroupByKey]]),(OutputTable[GroupByKey]=OutputTable[[#This Row],[GroupByKey]])*OutputTable[RecordedValue])),0)</f>
        <v>9.3899555040381504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110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0.29847891300500701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0.34422170660965823</v>
      </c>
      <c r="L45" cm="1">
        <f t="array" ref="L45">IFERROR(_xlfn.STDEV.S(IF((OutputTable[GroupByKey]=OutputTable[[#This Row],[GroupByKey]]),(OutputTable[GroupByKey]=OutputTable[[#This Row],[GroupByKey]])*OutputTable[RecordedValue])),0)</f>
        <v>5.1246736363817387E-2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45" cm="1">
        <f t="array" ref="O45">MIN(IF((OutputTable[GroupByKey]=OutputTable[[#This Row],[GroupByKey]]),(OutputTable[GroupByKey]=OutputTable[[#This Row],[GroupByKey]])*OutputTable[RecordedValue]))</f>
        <v>0.248961473715994</v>
      </c>
      <c r="P45" cm="1">
        <f t="array" ref="P45">MAX(IF((OutputTable[GroupByKey]=OutputTable[[#This Row],[GroupByKey]]),(OutputTable[GroupByKey]=OutputTable[[#This Row],[GroupByKey]])*OutputTable[RecordedValue]))</f>
        <v>0.449747634188089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86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89.2</v>
      </c>
      <c r="L46" cm="1">
        <f t="array" ref="L46">IFERROR(_xlfn.STDEV.S(IF((OutputTable[GroupByKey]=OutputTable[[#This Row],[GroupByKey]]),(OutputTable[GroupByKey]=OutputTable[[#This Row],[GroupByKey]])*OutputTable[RecordedValue])),0)</f>
        <v>9.3085055654529505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46" cm="1">
        <f t="array" ref="O46">MIN(IF((OutputTable[GroupByKey]=OutputTable[[#This Row],[GroupByKey]]),(OutputTable[GroupByKey]=OutputTable[[#This Row],[GroupByKey]])*OutputTable[RecordedValue]))</f>
        <v>69</v>
      </c>
      <c r="P46" cm="1">
        <f t="array" ref="P46">MAX(IF((OutputTable[GroupByKey]=OutputTable[[#This Row],[GroupByKey]]),(OutputTable[GroupByKey]=OutputTable[[#This Row],[GroupByKey]])*OutputTable[RecordedValue]))</f>
        <v>108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90.033333333333331</v>
      </c>
      <c r="L47" cm="1">
        <f t="array" ref="L47">IFERROR(_xlfn.STDEV.S(IF((OutputTable[GroupByKey]=OutputTable[[#This Row],[GroupByKey]]),(OutputTable[GroupByKey]=OutputTable[[#This Row],[GroupByKey]])*OutputTable[RecordedValue])),0)</f>
        <v>9.3899555040381504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110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89.2</v>
      </c>
      <c r="L48" cm="1">
        <f t="array" ref="L48">IFERROR(_xlfn.STDEV.S(IF((OutputTable[GroupByKey]=OutputTable[[#This Row],[GroupByKey]]),(OutputTable[GroupByKey]=OutputTable[[#This Row],[GroupByKey]])*OutputTable[RecordedValue])),0)</f>
        <v>9.3085055654529505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48" cm="1">
        <f t="array" ref="O48">MIN(IF((OutputTable[GroupByKey]=OutputTable[[#This Row],[GroupByKey]]),(OutputTable[GroupByKey]=OutputTable[[#This Row],[GroupByKey]])*OutputTable[RecordedValue]))</f>
        <v>69</v>
      </c>
      <c r="P48" cm="1">
        <f t="array" ref="P48">MAX(IF((OutputTable[GroupByKey]=OutputTable[[#This Row],[GroupByKey]]),(OutputTable[GroupByKey]=OutputTable[[#This Row],[GroupByKey]])*OutputTable[RecordedValue]))</f>
        <v>108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90.033333333333331</v>
      </c>
      <c r="L49" cm="1">
        <f t="array" ref="L49">IFERROR(_xlfn.STDEV.S(IF((OutputTable[GroupByKey]=OutputTable[[#This Row],[GroupByKey]]),(OutputTable[GroupByKey]=OutputTable[[#This Row],[GroupByKey]])*OutputTable[RecordedValue])),0)</f>
        <v>9.3899555040381504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110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0.248961473715994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0.34422170660965823</v>
      </c>
      <c r="L50" cm="1">
        <f t="array" ref="L50">IFERROR(_xlfn.STDEV.S(IF((OutputTable[GroupByKey]=OutputTable[[#This Row],[GroupByKey]]),(OutputTable[GroupByKey]=OutputTable[[#This Row],[GroupByKey]])*OutputTable[RecordedValue])),0)</f>
        <v>5.1246736363817387E-2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50" cm="1">
        <f t="array" ref="O50">MIN(IF((OutputTable[GroupByKey]=OutputTable[[#This Row],[GroupByKey]]),(OutputTable[GroupByKey]=OutputTable[[#This Row],[GroupByKey]])*OutputTable[RecordedValue]))</f>
        <v>0.248961473715994</v>
      </c>
      <c r="P50" cm="1">
        <f t="array" ref="P50">MAX(IF((OutputTable[GroupByKey]=OutputTable[[#This Row],[GroupByKey]]),(OutputTable[GroupByKey]=OutputTable[[#This Row],[GroupByKey]])*OutputTable[RecordedValue]))</f>
        <v>0.449747634188089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89.2</v>
      </c>
      <c r="L51" cm="1">
        <f t="array" ref="L51">IFERROR(_xlfn.STDEV.S(IF((OutputTable[GroupByKey]=OutputTable[[#This Row],[GroupByKey]]),(OutputTable[GroupByKey]=OutputTable[[#This Row],[GroupByKey]])*OutputTable[RecordedValue])),0)</f>
        <v>9.3085055654529505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51" cm="1">
        <f t="array" ref="O51">MIN(IF((OutputTable[GroupByKey]=OutputTable[[#This Row],[GroupByKey]]),(OutputTable[GroupByKey]=OutputTable[[#This Row],[GroupByKey]])*OutputTable[RecordedValue]))</f>
        <v>69</v>
      </c>
      <c r="P51" cm="1">
        <f t="array" ref="P51">MAX(IF((OutputTable[GroupByKey]=OutputTable[[#This Row],[GroupByKey]]),(OutputTable[GroupByKey]=OutputTable[[#This Row],[GroupByKey]])*OutputTable[RecordedValue]))</f>
        <v>108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94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90.033333333333331</v>
      </c>
      <c r="L52" cm="1">
        <f t="array" ref="L52">IFERROR(_xlfn.STDEV.S(IF((OutputTable[GroupByKey]=OutputTable[[#This Row],[GroupByKey]]),(OutputTable[GroupByKey]=OutputTable[[#This Row],[GroupByKey]])*OutputTable[RecordedValue])),0)</f>
        <v>9.3899555040381504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110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94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89.2</v>
      </c>
      <c r="L53" cm="1">
        <f t="array" ref="L53">IFERROR(_xlfn.STDEV.S(IF((OutputTable[GroupByKey]=OutputTable[[#This Row],[GroupByKey]]),(OutputTable[GroupByKey]=OutputTable[[#This Row],[GroupByKey]])*OutputTable[RecordedValue])),0)</f>
        <v>9.3085055654529505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53" cm="1">
        <f t="array" ref="O53">MIN(IF((OutputTable[GroupByKey]=OutputTable[[#This Row],[GroupByKey]]),(OutputTable[GroupByKey]=OutputTable[[#This Row],[GroupByKey]])*OutputTable[RecordedValue]))</f>
        <v>69</v>
      </c>
      <c r="P53" cm="1">
        <f t="array" ref="P53">MAX(IF((OutputTable[GroupByKey]=OutputTable[[#This Row],[GroupByKey]]),(OutputTable[GroupByKey]=OutputTable[[#This Row],[GroupByKey]])*OutputTable[RecordedValue]))</f>
        <v>108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94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90.033333333333331</v>
      </c>
      <c r="L54" cm="1">
        <f t="array" ref="L54">IFERROR(_xlfn.STDEV.S(IF((OutputTable[GroupByKey]=OutputTable[[#This Row],[GroupByKey]]),(OutputTable[GroupByKey]=OutputTable[[#This Row],[GroupByKey]])*OutputTable[RecordedValue])),0)</f>
        <v>9.3899555040381504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110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0.32817845054679201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0.34422170660965823</v>
      </c>
      <c r="L55" cm="1">
        <f t="array" ref="L55">IFERROR(_xlfn.STDEV.S(IF((OutputTable[GroupByKey]=OutputTable[[#This Row],[GroupByKey]]),(OutputTable[GroupByKey]=OutputTable[[#This Row],[GroupByKey]])*OutputTable[RecordedValue])),0)</f>
        <v>5.1246736363817387E-2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55" cm="1">
        <f t="array" ref="O55">MIN(IF((OutputTable[GroupByKey]=OutputTable[[#This Row],[GroupByKey]]),(OutputTable[GroupByKey]=OutputTable[[#This Row],[GroupByKey]])*OutputTable[RecordedValue]))</f>
        <v>0.248961473715994</v>
      </c>
      <c r="P55" cm="1">
        <f t="array" ref="P55">MAX(IF((OutputTable[GroupByKey]=OutputTable[[#This Row],[GroupByKey]]),(OutputTable[GroupByKey]=OutputTable[[#This Row],[GroupByKey]])*OutputTable[RecordedValue]))</f>
        <v>0.449747634188089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94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89.2</v>
      </c>
      <c r="L56" cm="1">
        <f t="array" ref="L56">IFERROR(_xlfn.STDEV.S(IF((OutputTable[GroupByKey]=OutputTable[[#This Row],[GroupByKey]]),(OutputTable[GroupByKey]=OutputTable[[#This Row],[GroupByKey]])*OutputTable[RecordedValue])),0)</f>
        <v>9.3085055654529505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56" cm="1">
        <f t="array" ref="O56">MIN(IF((OutputTable[GroupByKey]=OutputTable[[#This Row],[GroupByKey]]),(OutputTable[GroupByKey]=OutputTable[[#This Row],[GroupByKey]])*OutputTable[RecordedValue]))</f>
        <v>69</v>
      </c>
      <c r="P56" cm="1">
        <f t="array" ref="P56">MAX(IF((OutputTable[GroupByKey]=OutputTable[[#This Row],[GroupByKey]]),(OutputTable[GroupByKey]=OutputTable[[#This Row],[GroupByKey]])*OutputTable[RecordedValue]))</f>
        <v>108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90.033333333333331</v>
      </c>
      <c r="L57" cm="1">
        <f t="array" ref="L57">IFERROR(_xlfn.STDEV.S(IF((OutputTable[GroupByKey]=OutputTable[[#This Row],[GroupByKey]]),(OutputTable[GroupByKey]=OutputTable[[#This Row],[GroupByKey]])*OutputTable[RecordedValue])),0)</f>
        <v>9.3899555040381504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110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89.2</v>
      </c>
      <c r="L58" cm="1">
        <f t="array" ref="L58">IFERROR(_xlfn.STDEV.S(IF((OutputTable[GroupByKey]=OutputTable[[#This Row],[GroupByKey]]),(OutputTable[GroupByKey]=OutputTable[[#This Row],[GroupByKey]])*OutputTable[RecordedValue])),0)</f>
        <v>9.3085055654529505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58" cm="1">
        <f t="array" ref="O58">MIN(IF((OutputTable[GroupByKey]=OutputTable[[#This Row],[GroupByKey]]),(OutputTable[GroupByKey]=OutputTable[[#This Row],[GroupByKey]])*OutputTable[RecordedValue]))</f>
        <v>69</v>
      </c>
      <c r="P58" cm="1">
        <f t="array" ref="P58">MAX(IF((OutputTable[GroupByKey]=OutputTable[[#This Row],[GroupByKey]]),(OutputTable[GroupByKey]=OutputTable[[#This Row],[GroupByKey]])*OutputTable[RecordedValue]))</f>
        <v>108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90.033333333333331</v>
      </c>
      <c r="L59" cm="1">
        <f t="array" ref="L59">IFERROR(_xlfn.STDEV.S(IF((OutputTable[GroupByKey]=OutputTable[[#This Row],[GroupByKey]]),(OutputTable[GroupByKey]=OutputTable[[#This Row],[GroupByKey]])*OutputTable[RecordedValue])),0)</f>
        <v>9.3899555040381504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110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0.32122199440086702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0.34422170660965823</v>
      </c>
      <c r="L60" cm="1">
        <f t="array" ref="L60">IFERROR(_xlfn.STDEV.S(IF((OutputTable[GroupByKey]=OutputTable[[#This Row],[GroupByKey]]),(OutputTable[GroupByKey]=OutputTable[[#This Row],[GroupByKey]])*OutputTable[RecordedValue])),0)</f>
        <v>5.1246736363817387E-2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60" cm="1">
        <f t="array" ref="O60">MIN(IF((OutputTable[GroupByKey]=OutputTable[[#This Row],[GroupByKey]]),(OutputTable[GroupByKey]=OutputTable[[#This Row],[GroupByKey]])*OutputTable[RecordedValue]))</f>
        <v>0.248961473715994</v>
      </c>
      <c r="P60" cm="1">
        <f t="array" ref="P60">MAX(IF((OutputTable[GroupByKey]=OutputTable[[#This Row],[GroupByKey]]),(OutputTable[GroupByKey]=OutputTable[[#This Row],[GroupByKey]])*OutputTable[RecordedValue]))</f>
        <v>0.449747634188089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89.2</v>
      </c>
      <c r="L61" cm="1">
        <f t="array" ref="L61">IFERROR(_xlfn.STDEV.S(IF((OutputTable[GroupByKey]=OutputTable[[#This Row],[GroupByKey]]),(OutputTable[GroupByKey]=OutputTable[[#This Row],[GroupByKey]])*OutputTable[RecordedValue])),0)</f>
        <v>9.3085055654529505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61" cm="1">
        <f t="array" ref="O61">MIN(IF((OutputTable[GroupByKey]=OutputTable[[#This Row],[GroupByKey]]),(OutputTable[GroupByKey]=OutputTable[[#This Row],[GroupByKey]])*OutputTable[RecordedValue]))</f>
        <v>69</v>
      </c>
      <c r="P61" cm="1">
        <f t="array" ref="P61">MAX(IF((OutputTable[GroupByKey]=OutputTable[[#This Row],[GroupByKey]]),(OutputTable[GroupByKey]=OutputTable[[#This Row],[GroupByKey]])*OutputTable[RecordedValue]))</f>
        <v>108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90.033333333333331</v>
      </c>
      <c r="L62" cm="1">
        <f t="array" ref="L62">IFERROR(_xlfn.STDEV.S(IF((OutputTable[GroupByKey]=OutputTable[[#This Row],[GroupByKey]]),(OutputTable[GroupByKey]=OutputTable[[#This Row],[GroupByKey]])*OutputTable[RecordedValue])),0)</f>
        <v>9.3899555040381504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110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93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89.2</v>
      </c>
      <c r="L63" cm="1">
        <f t="array" ref="L63">IFERROR(_xlfn.STDEV.S(IF((OutputTable[GroupByKey]=OutputTable[[#This Row],[GroupByKey]]),(OutputTable[GroupByKey]=OutputTable[[#This Row],[GroupByKey]])*OutputTable[RecordedValue])),0)</f>
        <v>9.3085055654529505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63" cm="1">
        <f t="array" ref="O63">MIN(IF((OutputTable[GroupByKey]=OutputTable[[#This Row],[GroupByKey]]),(OutputTable[GroupByKey]=OutputTable[[#This Row],[GroupByKey]])*OutputTable[RecordedValue]))</f>
        <v>69</v>
      </c>
      <c r="P63" cm="1">
        <f t="array" ref="P63">MAX(IF((OutputTable[GroupByKey]=OutputTable[[#This Row],[GroupByKey]]),(OutputTable[GroupByKey]=OutputTable[[#This Row],[GroupByKey]])*OutputTable[RecordedValue]))</f>
        <v>108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90.033333333333331</v>
      </c>
      <c r="L64" cm="1">
        <f t="array" ref="L64">IFERROR(_xlfn.STDEV.S(IF((OutputTable[GroupByKey]=OutputTable[[#This Row],[GroupByKey]]),(OutputTable[GroupByKey]=OutputTable[[#This Row],[GroupByKey]])*OutputTable[RecordedValue])),0)</f>
        <v>9.3899555040381504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110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0.36984019031718002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0.34422170660965823</v>
      </c>
      <c r="L65" cm="1">
        <f t="array" ref="L65">IFERROR(_xlfn.STDEV.S(IF((OutputTable[GroupByKey]=OutputTable[[#This Row],[GroupByKey]]),(OutputTable[GroupByKey]=OutputTable[[#This Row],[GroupByKey]])*OutputTable[RecordedValue])),0)</f>
        <v>5.1246736363817387E-2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65" cm="1">
        <f t="array" ref="O65">MIN(IF((OutputTable[GroupByKey]=OutputTable[[#This Row],[GroupByKey]]),(OutputTable[GroupByKey]=OutputTable[[#This Row],[GroupByKey]])*OutputTable[RecordedValue]))</f>
        <v>0.248961473715994</v>
      </c>
      <c r="P65" cm="1">
        <f t="array" ref="P65">MAX(IF((OutputTable[GroupByKey]=OutputTable[[#This Row],[GroupByKey]]),(OutputTable[GroupByKey]=OutputTable[[#This Row],[GroupByKey]])*OutputTable[RecordedValue]))</f>
        <v>0.449747634188089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93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89.2</v>
      </c>
      <c r="L66" cm="1">
        <f t="array" ref="L66">IFERROR(_xlfn.STDEV.S(IF((OutputTable[GroupByKey]=OutputTable[[#This Row],[GroupByKey]]),(OutputTable[GroupByKey]=OutputTable[[#This Row],[GroupByKey]])*OutputTable[RecordedValue])),0)</f>
        <v>9.3085055654529505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66" cm="1">
        <f t="array" ref="O66">MIN(IF((OutputTable[GroupByKey]=OutputTable[[#This Row],[GroupByKey]]),(OutputTable[GroupByKey]=OutputTable[[#This Row],[GroupByKey]])*OutputTable[RecordedValue]))</f>
        <v>69</v>
      </c>
      <c r="P66" cm="1">
        <f t="array" ref="P66">MAX(IF((OutputTable[GroupByKey]=OutputTable[[#This Row],[GroupByKey]]),(OutputTable[GroupByKey]=OutputTable[[#This Row],[GroupByKey]])*OutputTable[RecordedValue]))</f>
        <v>108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90.033333333333331</v>
      </c>
      <c r="L67" cm="1">
        <f t="array" ref="L67">IFERROR(_xlfn.STDEV.S(IF((OutputTable[GroupByKey]=OutputTable[[#This Row],[GroupByKey]]),(OutputTable[GroupByKey]=OutputTable[[#This Row],[GroupByKey]])*OutputTable[RecordedValue])),0)</f>
        <v>9.3899555040381504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110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89.2</v>
      </c>
      <c r="L68" cm="1">
        <f t="array" ref="L68">IFERROR(_xlfn.STDEV.S(IF((OutputTable[GroupByKey]=OutputTable[[#This Row],[GroupByKey]]),(OutputTable[GroupByKey]=OutputTable[[#This Row],[GroupByKey]])*OutputTable[RecordedValue])),0)</f>
        <v>9.3085055654529505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68" cm="1">
        <f t="array" ref="O68">MIN(IF((OutputTable[GroupByKey]=OutputTable[[#This Row],[GroupByKey]]),(OutputTable[GroupByKey]=OutputTable[[#This Row],[GroupByKey]])*OutputTable[RecordedValue]))</f>
        <v>69</v>
      </c>
      <c r="P68" cm="1">
        <f t="array" ref="P68">MAX(IF((OutputTable[GroupByKey]=OutputTable[[#This Row],[GroupByKey]]),(OutputTable[GroupByKey]=OutputTable[[#This Row],[GroupByKey]])*OutputTable[RecordedValue]))</f>
        <v>108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90.033333333333331</v>
      </c>
      <c r="L69" cm="1">
        <f t="array" ref="L69">IFERROR(_xlfn.STDEV.S(IF((OutputTable[GroupByKey]=OutputTable[[#This Row],[GroupByKey]]),(OutputTable[GroupByKey]=OutputTable[[#This Row],[GroupByKey]])*OutputTable[RecordedValue])),0)</f>
        <v>9.3899555040381504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110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0.30654690144963798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0.34422170660965823</v>
      </c>
      <c r="L70" cm="1">
        <f t="array" ref="L70">IFERROR(_xlfn.STDEV.S(IF((OutputTable[GroupByKey]=OutputTable[[#This Row],[GroupByKey]]),(OutputTable[GroupByKey]=OutputTable[[#This Row],[GroupByKey]])*OutputTable[RecordedValue])),0)</f>
        <v>5.1246736363817387E-2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70" cm="1">
        <f t="array" ref="O70">MIN(IF((OutputTable[GroupByKey]=OutputTable[[#This Row],[GroupByKey]]),(OutputTable[GroupByKey]=OutputTable[[#This Row],[GroupByKey]])*OutputTable[RecordedValue]))</f>
        <v>0.248961473715994</v>
      </c>
      <c r="P70" cm="1">
        <f t="array" ref="P70">MAX(IF((OutputTable[GroupByKey]=OutputTable[[#This Row],[GroupByKey]]),(OutputTable[GroupByKey]=OutputTable[[#This Row],[GroupByKey]])*OutputTable[RecordedValue]))</f>
        <v>0.449747634188089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89.2</v>
      </c>
      <c r="L71" cm="1">
        <f t="array" ref="L71">IFERROR(_xlfn.STDEV.S(IF((OutputTable[GroupByKey]=OutputTable[[#This Row],[GroupByKey]]),(OutputTable[GroupByKey]=OutputTable[[#This Row],[GroupByKey]])*OutputTable[RecordedValue])),0)</f>
        <v>9.3085055654529505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71" cm="1">
        <f t="array" ref="O71">MIN(IF((OutputTable[GroupByKey]=OutputTable[[#This Row],[GroupByKey]]),(OutputTable[GroupByKey]=OutputTable[[#This Row],[GroupByKey]])*OutputTable[RecordedValue]))</f>
        <v>69</v>
      </c>
      <c r="P71" cm="1">
        <f t="array" ref="P71">MAX(IF((OutputTable[GroupByKey]=OutputTable[[#This Row],[GroupByKey]]),(OutputTable[GroupByKey]=OutputTable[[#This Row],[GroupByKey]])*OutputTable[RecordedValue]))</f>
        <v>108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90.033333333333331</v>
      </c>
      <c r="L72" cm="1">
        <f t="array" ref="L72">IFERROR(_xlfn.STDEV.S(IF((OutputTable[GroupByKey]=OutputTable[[#This Row],[GroupByKey]]),(OutputTable[GroupByKey]=OutputTable[[#This Row],[GroupByKey]])*OutputTable[RecordedValue])),0)</f>
        <v>9.3899555040381504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110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89.2</v>
      </c>
      <c r="L73" cm="1">
        <f t="array" ref="L73">IFERROR(_xlfn.STDEV.S(IF((OutputTable[GroupByKey]=OutputTable[[#This Row],[GroupByKey]]),(OutputTable[GroupByKey]=OutputTable[[#This Row],[GroupByKey]])*OutputTable[RecordedValue])),0)</f>
        <v>9.3085055654529505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73" cm="1">
        <f t="array" ref="O73">MIN(IF((OutputTable[GroupByKey]=OutputTable[[#This Row],[GroupByKey]]),(OutputTable[GroupByKey]=OutputTable[[#This Row],[GroupByKey]])*OutputTable[RecordedValue]))</f>
        <v>69</v>
      </c>
      <c r="P73" cm="1">
        <f t="array" ref="P73">MAX(IF((OutputTable[GroupByKey]=OutputTable[[#This Row],[GroupByKey]]),(OutputTable[GroupByKey]=OutputTable[[#This Row],[GroupByKey]])*OutputTable[RecordedValue]))</f>
        <v>108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86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90.033333333333331</v>
      </c>
      <c r="L74" cm="1">
        <f t="array" ref="L74">IFERROR(_xlfn.STDEV.S(IF((OutputTable[GroupByKey]=OutputTable[[#This Row],[GroupByKey]]),(OutputTable[GroupByKey]=OutputTable[[#This Row],[GroupByKey]])*OutputTable[RecordedValue])),0)</f>
        <v>9.3899555040381504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110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0.32660810172420301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0.34422170660965823</v>
      </c>
      <c r="L75" cm="1">
        <f t="array" ref="L75">IFERROR(_xlfn.STDEV.S(IF((OutputTable[GroupByKey]=OutputTable[[#This Row],[GroupByKey]]),(OutputTable[GroupByKey]=OutputTable[[#This Row],[GroupByKey]])*OutputTable[RecordedValue])),0)</f>
        <v>5.1246736363817387E-2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75" cm="1">
        <f t="array" ref="O75">MIN(IF((OutputTable[GroupByKey]=OutputTable[[#This Row],[GroupByKey]]),(OutputTable[GroupByKey]=OutputTable[[#This Row],[GroupByKey]])*OutputTable[RecordedValue]))</f>
        <v>0.248961473715994</v>
      </c>
      <c r="P75" cm="1">
        <f t="array" ref="P75">MAX(IF((OutputTable[GroupByKey]=OutputTable[[#This Row],[GroupByKey]]),(OutputTable[GroupByKey]=OutputTable[[#This Row],[GroupByKey]])*OutputTable[RecordedValue]))</f>
        <v>0.449747634188089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89.2</v>
      </c>
      <c r="L76" cm="1">
        <f t="array" ref="L76">IFERROR(_xlfn.STDEV.S(IF((OutputTable[GroupByKey]=OutputTable[[#This Row],[GroupByKey]]),(OutputTable[GroupByKey]=OutputTable[[#This Row],[GroupByKey]])*OutputTable[RecordedValue])),0)</f>
        <v>9.3085055654529505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76" cm="1">
        <f t="array" ref="O76">MIN(IF((OutputTable[GroupByKey]=OutputTable[[#This Row],[GroupByKey]]),(OutputTable[GroupByKey]=OutputTable[[#This Row],[GroupByKey]])*OutputTable[RecordedValue]))</f>
        <v>69</v>
      </c>
      <c r="P76" cm="1">
        <f t="array" ref="P76">MAX(IF((OutputTable[GroupByKey]=OutputTable[[#This Row],[GroupByKey]]),(OutputTable[GroupByKey]=OutputTable[[#This Row],[GroupByKey]])*OutputTable[RecordedValue]))</f>
        <v>108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90.033333333333331</v>
      </c>
      <c r="L77" cm="1">
        <f t="array" ref="L77">IFERROR(_xlfn.STDEV.S(IF((OutputTable[GroupByKey]=OutputTable[[#This Row],[GroupByKey]]),(OutputTable[GroupByKey]=OutputTable[[#This Row],[GroupByKey]])*OutputTable[RecordedValue])),0)</f>
        <v>9.3899555040381504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110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89.2</v>
      </c>
      <c r="L78" cm="1">
        <f t="array" ref="L78">IFERROR(_xlfn.STDEV.S(IF((OutputTable[GroupByKey]=OutputTable[[#This Row],[GroupByKey]]),(OutputTable[GroupByKey]=OutputTable[[#This Row],[GroupByKey]])*OutputTable[RecordedValue])),0)</f>
        <v>9.3085055654529505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78" cm="1">
        <f t="array" ref="O78">MIN(IF((OutputTable[GroupByKey]=OutputTable[[#This Row],[GroupByKey]]),(OutputTable[GroupByKey]=OutputTable[[#This Row],[GroupByKey]])*OutputTable[RecordedValue]))</f>
        <v>69</v>
      </c>
      <c r="P78" cm="1">
        <f t="array" ref="P78">MAX(IF((OutputTable[GroupByKey]=OutputTable[[#This Row],[GroupByKey]]),(OutputTable[GroupByKey]=OutputTable[[#This Row],[GroupByKey]])*OutputTable[RecordedValue]))</f>
        <v>108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90.033333333333331</v>
      </c>
      <c r="L79" cm="1">
        <f t="array" ref="L79">IFERROR(_xlfn.STDEV.S(IF((OutputTable[GroupByKey]=OutputTable[[#This Row],[GroupByKey]]),(OutputTable[GroupByKey]=OutputTable[[#This Row],[GroupByKey]])*OutputTable[RecordedValue])),0)</f>
        <v>9.3899555040381504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110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0.449747634188089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0.34422170660965823</v>
      </c>
      <c r="L80" cm="1">
        <f t="array" ref="L80">IFERROR(_xlfn.STDEV.S(IF((OutputTable[GroupByKey]=OutputTable[[#This Row],[GroupByKey]]),(OutputTable[GroupByKey]=OutputTable[[#This Row],[GroupByKey]])*OutputTable[RecordedValue])),0)</f>
        <v>5.1246736363817387E-2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80" cm="1">
        <f t="array" ref="O80">MIN(IF((OutputTable[GroupByKey]=OutputTable[[#This Row],[GroupByKey]]),(OutputTable[GroupByKey]=OutputTable[[#This Row],[GroupByKey]])*OutputTable[RecordedValue]))</f>
        <v>0.248961473715994</v>
      </c>
      <c r="P80" cm="1">
        <f t="array" ref="P80">MAX(IF((OutputTable[GroupByKey]=OutputTable[[#This Row],[GroupByKey]]),(OutputTable[GroupByKey]=OutputTable[[#This Row],[GroupByKey]])*OutputTable[RecordedValue]))</f>
        <v>0.449747634188089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89.2</v>
      </c>
      <c r="L81" cm="1">
        <f t="array" ref="L81">IFERROR(_xlfn.STDEV.S(IF((OutputTable[GroupByKey]=OutputTable[[#This Row],[GroupByKey]]),(OutputTable[GroupByKey]=OutputTable[[#This Row],[GroupByKey]])*OutputTable[RecordedValue])),0)</f>
        <v>9.3085055654529505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81" cm="1">
        <f t="array" ref="O81">MIN(IF((OutputTable[GroupByKey]=OutputTable[[#This Row],[GroupByKey]]),(OutputTable[GroupByKey]=OutputTable[[#This Row],[GroupByKey]])*OutputTable[RecordedValue]))</f>
        <v>69</v>
      </c>
      <c r="P81" cm="1">
        <f t="array" ref="P81">MAX(IF((OutputTable[GroupByKey]=OutputTable[[#This Row],[GroupByKey]]),(OutputTable[GroupByKey]=OutputTable[[#This Row],[GroupByKey]])*OutputTable[RecordedValue]))</f>
        <v>108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71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90.033333333333331</v>
      </c>
      <c r="L82" cm="1">
        <f t="array" ref="L82">IFERROR(_xlfn.STDEV.S(IF((OutputTable[GroupByKey]=OutputTable[[#This Row],[GroupByKey]]),(OutputTable[GroupByKey]=OutputTable[[#This Row],[GroupByKey]])*OutputTable[RecordedValue])),0)</f>
        <v>9.3899555040381504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110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69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89.2</v>
      </c>
      <c r="L83" cm="1">
        <f t="array" ref="L83">IFERROR(_xlfn.STDEV.S(IF((OutputTable[GroupByKey]=OutputTable[[#This Row],[GroupByKey]]),(OutputTable[GroupByKey]=OutputTable[[#This Row],[GroupByKey]])*OutputTable[RecordedValue])),0)</f>
        <v>9.3085055654529505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83" cm="1">
        <f t="array" ref="O83">MIN(IF((OutputTable[GroupByKey]=OutputTable[[#This Row],[GroupByKey]]),(OutputTable[GroupByKey]=OutputTable[[#This Row],[GroupByKey]])*OutputTable[RecordedValue]))</f>
        <v>69</v>
      </c>
      <c r="P83" cm="1">
        <f t="array" ref="P83">MAX(IF((OutputTable[GroupByKey]=OutputTable[[#This Row],[GroupByKey]]),(OutputTable[GroupByKey]=OutputTable[[#This Row],[GroupByKey]])*OutputTable[RecordedValue]))</f>
        <v>108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90.033333333333331</v>
      </c>
      <c r="L84" cm="1">
        <f t="array" ref="L84">IFERROR(_xlfn.STDEV.S(IF((OutputTable[GroupByKey]=OutputTable[[#This Row],[GroupByKey]]),(OutputTable[GroupByKey]=OutputTable[[#This Row],[GroupByKey]])*OutputTable[RecordedValue])),0)</f>
        <v>9.3899555040381504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110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0.25154491117453198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0.34422170660965823</v>
      </c>
      <c r="L85" cm="1">
        <f t="array" ref="L85">IFERROR(_xlfn.STDEV.S(IF((OutputTable[GroupByKey]=OutputTable[[#This Row],[GroupByKey]]),(OutputTable[GroupByKey]=OutputTable[[#This Row],[GroupByKey]])*OutputTable[RecordedValue])),0)</f>
        <v>5.1246736363817387E-2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85" cm="1">
        <f t="array" ref="O85">MIN(IF((OutputTable[GroupByKey]=OutputTable[[#This Row],[GroupByKey]]),(OutputTable[GroupByKey]=OutputTable[[#This Row],[GroupByKey]])*OutputTable[RecordedValue]))</f>
        <v>0.248961473715994</v>
      </c>
      <c r="P85" cm="1">
        <f t="array" ref="P85">MAX(IF((OutputTable[GroupByKey]=OutputTable[[#This Row],[GroupByKey]]),(OutputTable[GroupByKey]=OutputTable[[#This Row],[GroupByKey]])*OutputTable[RecordedValue]))</f>
        <v>0.449747634188089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69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89.2</v>
      </c>
      <c r="L86" cm="1">
        <f t="array" ref="L86">IFERROR(_xlfn.STDEV.S(IF((OutputTable[GroupByKey]=OutputTable[[#This Row],[GroupByKey]]),(OutputTable[GroupByKey]=OutputTable[[#This Row],[GroupByKey]])*OutputTable[RecordedValue])),0)</f>
        <v>9.3085055654529505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86" cm="1">
        <f t="array" ref="O86">MIN(IF((OutputTable[GroupByKey]=OutputTable[[#This Row],[GroupByKey]]),(OutputTable[GroupByKey]=OutputTable[[#This Row],[GroupByKey]])*OutputTable[RecordedValue]))</f>
        <v>69</v>
      </c>
      <c r="P86" cm="1">
        <f t="array" ref="P86">MAX(IF((OutputTable[GroupByKey]=OutputTable[[#This Row],[GroupByKey]]),(OutputTable[GroupByKey]=OutputTable[[#This Row],[GroupByKey]])*OutputTable[RecordedValue]))</f>
        <v>108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90.033333333333331</v>
      </c>
      <c r="L87" cm="1">
        <f t="array" ref="L87">IFERROR(_xlfn.STDEV.S(IF((OutputTable[GroupByKey]=OutputTable[[#This Row],[GroupByKey]]),(OutputTable[GroupByKey]=OutputTable[[#This Row],[GroupByKey]])*OutputTable[RecordedValue])),0)</f>
        <v>9.3899555040381504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110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100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89.2</v>
      </c>
      <c r="L88" cm="1">
        <f t="array" ref="L88">IFERROR(_xlfn.STDEV.S(IF((OutputTable[GroupByKey]=OutputTable[[#This Row],[GroupByKey]]),(OutputTable[GroupByKey]=OutputTable[[#This Row],[GroupByKey]])*OutputTable[RecordedValue])),0)</f>
        <v>9.3085055654529505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88" cm="1">
        <f t="array" ref="O88">MIN(IF((OutputTable[GroupByKey]=OutputTable[[#This Row],[GroupByKey]]),(OutputTable[GroupByKey]=OutputTable[[#This Row],[GroupByKey]])*OutputTable[RecordedValue]))</f>
        <v>69</v>
      </c>
      <c r="P88" cm="1">
        <f t="array" ref="P88">MAX(IF((OutputTable[GroupByKey]=OutputTable[[#This Row],[GroupByKey]]),(OutputTable[GroupByKey]=OutputTable[[#This Row],[GroupByKey]])*OutputTable[RecordedValue]))</f>
        <v>108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101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90.033333333333331</v>
      </c>
      <c r="L89" cm="1">
        <f t="array" ref="L89">IFERROR(_xlfn.STDEV.S(IF((OutputTable[GroupByKey]=OutputTable[[#This Row],[GroupByKey]]),(OutputTable[GroupByKey]=OutputTable[[#This Row],[GroupByKey]])*OutputTable[RecordedValue])),0)</f>
        <v>9.3899555040381504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110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0.42324974517414299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0.34422170660965823</v>
      </c>
      <c r="L90" cm="1">
        <f t="array" ref="L90">IFERROR(_xlfn.STDEV.S(IF((OutputTable[GroupByKey]=OutputTable[[#This Row],[GroupByKey]]),(OutputTable[GroupByKey]=OutputTable[[#This Row],[GroupByKey]])*OutputTable[RecordedValue])),0)</f>
        <v>5.1246736363817387E-2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90" cm="1">
        <f t="array" ref="O90">MIN(IF((OutputTable[GroupByKey]=OutputTable[[#This Row],[GroupByKey]]),(OutputTable[GroupByKey]=OutputTable[[#This Row],[GroupByKey]])*OutputTable[RecordedValue]))</f>
        <v>0.248961473715994</v>
      </c>
      <c r="P90" cm="1">
        <f t="array" ref="P90">MAX(IF((OutputTable[GroupByKey]=OutputTable[[#This Row],[GroupByKey]]),(OutputTable[GroupByKey]=OutputTable[[#This Row],[GroupByKey]])*OutputTable[RecordedValue]))</f>
        <v>0.449747634188089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100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89.2</v>
      </c>
      <c r="L91" cm="1">
        <f t="array" ref="L91">IFERROR(_xlfn.STDEV.S(IF((OutputTable[GroupByKey]=OutputTable[[#This Row],[GroupByKey]]),(OutputTable[GroupByKey]=OutputTable[[#This Row],[GroupByKey]])*OutputTable[RecordedValue])),0)</f>
        <v>9.3085055654529505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91" cm="1">
        <f t="array" ref="O91">MIN(IF((OutputTable[GroupByKey]=OutputTable[[#This Row],[GroupByKey]]),(OutputTable[GroupByKey]=OutputTable[[#This Row],[GroupByKey]])*OutputTable[RecordedValue]))</f>
        <v>69</v>
      </c>
      <c r="P91" cm="1">
        <f t="array" ref="P91">MAX(IF((OutputTable[GroupByKey]=OutputTable[[#This Row],[GroupByKey]]),(OutputTable[GroupByKey]=OutputTable[[#This Row],[GroupByKey]])*OutputTable[RecordedValue]))</f>
        <v>108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90.033333333333331</v>
      </c>
      <c r="L92" cm="1">
        <f t="array" ref="L92">IFERROR(_xlfn.STDEV.S(IF((OutputTable[GroupByKey]=OutputTable[[#This Row],[GroupByKey]]),(OutputTable[GroupByKey]=OutputTable[[#This Row],[GroupByKey]])*OutputTable[RecordedValue])),0)</f>
        <v>9.3899555040381504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110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89.2</v>
      </c>
      <c r="L93" cm="1">
        <f t="array" ref="L93">IFERROR(_xlfn.STDEV.S(IF((OutputTable[GroupByKey]=OutputTable[[#This Row],[GroupByKey]]),(OutputTable[GroupByKey]=OutputTable[[#This Row],[GroupByKey]])*OutputTable[RecordedValue])),0)</f>
        <v>9.3085055654529505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93" cm="1">
        <f t="array" ref="O93">MIN(IF((OutputTable[GroupByKey]=OutputTable[[#This Row],[GroupByKey]]),(OutputTable[GroupByKey]=OutputTable[[#This Row],[GroupByKey]])*OutputTable[RecordedValue]))</f>
        <v>69</v>
      </c>
      <c r="P93" cm="1">
        <f t="array" ref="P93">MAX(IF((OutputTable[GroupByKey]=OutputTable[[#This Row],[GroupByKey]]),(OutputTable[GroupByKey]=OutputTable[[#This Row],[GroupByKey]])*OutputTable[RecordedValue]))</f>
        <v>108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90.033333333333331</v>
      </c>
      <c r="L94" cm="1">
        <f t="array" ref="L94">IFERROR(_xlfn.STDEV.S(IF((OutputTable[GroupByKey]=OutputTable[[#This Row],[GroupByKey]]),(OutputTable[GroupByKey]=OutputTable[[#This Row],[GroupByKey]])*OutputTable[RecordedValue])),0)</f>
        <v>9.3899555040381504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110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0.33093965699427702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0.34422170660965823</v>
      </c>
      <c r="L95" cm="1">
        <f t="array" ref="L95">IFERROR(_xlfn.STDEV.S(IF((OutputTable[GroupByKey]=OutputTable[[#This Row],[GroupByKey]]),(OutputTable[GroupByKey]=OutputTable[[#This Row],[GroupByKey]])*OutputTable[RecordedValue])),0)</f>
        <v>5.1246736363817387E-2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95" cm="1">
        <f t="array" ref="O95">MIN(IF((OutputTable[GroupByKey]=OutputTable[[#This Row],[GroupByKey]]),(OutputTable[GroupByKey]=OutputTable[[#This Row],[GroupByKey]])*OutputTable[RecordedValue]))</f>
        <v>0.248961473715994</v>
      </c>
      <c r="P95" cm="1">
        <f t="array" ref="P95">MAX(IF((OutputTable[GroupByKey]=OutputTable[[#This Row],[GroupByKey]]),(OutputTable[GroupByKey]=OutputTable[[#This Row],[GroupByKey]])*OutputTable[RecordedValue]))</f>
        <v>0.449747634188089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83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89.2</v>
      </c>
      <c r="L96" cm="1">
        <f t="array" ref="L96">IFERROR(_xlfn.STDEV.S(IF((OutputTable[GroupByKey]=OutputTable[[#This Row],[GroupByKey]]),(OutputTable[GroupByKey]=OutputTable[[#This Row],[GroupByKey]])*OutputTable[RecordedValue])),0)</f>
        <v>9.3085055654529505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96" cm="1">
        <f t="array" ref="O96">MIN(IF((OutputTable[GroupByKey]=OutputTable[[#This Row],[GroupByKey]]),(OutputTable[GroupByKey]=OutputTable[[#This Row],[GroupByKey]])*OutputTable[RecordedValue]))</f>
        <v>69</v>
      </c>
      <c r="P96" cm="1">
        <f t="array" ref="P96">MAX(IF((OutputTable[GroupByKey]=OutputTable[[#This Row],[GroupByKey]]),(OutputTable[GroupByKey]=OutputTable[[#This Row],[GroupByKey]])*OutputTable[RecordedValue]))</f>
        <v>108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90.033333333333331</v>
      </c>
      <c r="L97" cm="1">
        <f t="array" ref="L97">IFERROR(_xlfn.STDEV.S(IF((OutputTable[GroupByKey]=OutputTable[[#This Row],[GroupByKey]]),(OutputTable[GroupByKey]=OutputTable[[#This Row],[GroupByKey]])*OutputTable[RecordedValue])),0)</f>
        <v>9.3899555040381504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110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84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89.2</v>
      </c>
      <c r="L98" cm="1">
        <f t="array" ref="L98">IFERROR(_xlfn.STDEV.S(IF((OutputTable[GroupByKey]=OutputTable[[#This Row],[GroupByKey]]),(OutputTable[GroupByKey]=OutputTable[[#This Row],[GroupByKey]])*OutputTable[RecordedValue])),0)</f>
        <v>9.3085055654529505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98" cm="1">
        <f t="array" ref="O98">MIN(IF((OutputTable[GroupByKey]=OutputTable[[#This Row],[GroupByKey]]),(OutputTable[GroupByKey]=OutputTable[[#This Row],[GroupByKey]])*OutputTable[RecordedValue]))</f>
        <v>69</v>
      </c>
      <c r="P98" cm="1">
        <f t="array" ref="P98">MAX(IF((OutputTable[GroupByKey]=OutputTable[[#This Row],[GroupByKey]]),(OutputTable[GroupByKey]=OutputTable[[#This Row],[GroupByKey]])*OutputTable[RecordedValue]))</f>
        <v>108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90.033333333333331</v>
      </c>
      <c r="L99" cm="1">
        <f t="array" ref="L99">IFERROR(_xlfn.STDEV.S(IF((OutputTable[GroupByKey]=OutputTable[[#This Row],[GroupByKey]]),(OutputTable[GroupByKey]=OutputTable[[#This Row],[GroupByKey]])*OutputTable[RecordedValue])),0)</f>
        <v>9.3899555040381504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110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0.29530527256108702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0.34422170660965823</v>
      </c>
      <c r="L100" cm="1">
        <f t="array" ref="L100">IFERROR(_xlfn.STDEV.S(IF((OutputTable[GroupByKey]=OutputTable[[#This Row],[GroupByKey]]),(OutputTable[GroupByKey]=OutputTable[[#This Row],[GroupByKey]])*OutputTable[RecordedValue])),0)</f>
        <v>5.1246736363817387E-2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00" cm="1">
        <f t="array" ref="O100">MIN(IF((OutputTable[GroupByKey]=OutputTable[[#This Row],[GroupByKey]]),(OutputTable[GroupByKey]=OutputTable[[#This Row],[GroupByKey]])*OutputTable[RecordedValue]))</f>
        <v>0.248961473715994</v>
      </c>
      <c r="P100" cm="1">
        <f t="array" ref="P100">MAX(IF((OutputTable[GroupByKey]=OutputTable[[#This Row],[GroupByKey]]),(OutputTable[GroupByKey]=OutputTable[[#This Row],[GroupByKey]])*OutputTable[RecordedValue]))</f>
        <v>0.449747634188089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89.2</v>
      </c>
      <c r="L101" cm="1">
        <f t="array" ref="L101">IFERROR(_xlfn.STDEV.S(IF((OutputTable[GroupByKey]=OutputTable[[#This Row],[GroupByKey]]),(OutputTable[GroupByKey]=OutputTable[[#This Row],[GroupByKey]])*OutputTable[RecordedValue])),0)</f>
        <v>9.3085055654529505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01" cm="1">
        <f t="array" ref="O101">MIN(IF((OutputTable[GroupByKey]=OutputTable[[#This Row],[GroupByKey]]),(OutputTable[GroupByKey]=OutputTable[[#This Row],[GroupByKey]])*OutputTable[RecordedValue]))</f>
        <v>69</v>
      </c>
      <c r="P101" cm="1">
        <f t="array" ref="P101">MAX(IF((OutputTable[GroupByKey]=OutputTable[[#This Row],[GroupByKey]]),(OutputTable[GroupByKey]=OutputTable[[#This Row],[GroupByKey]])*OutputTable[RecordedValue]))</f>
        <v>108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90.033333333333331</v>
      </c>
      <c r="L102" cm="1">
        <f t="array" ref="L102">IFERROR(_xlfn.STDEV.S(IF((OutputTable[GroupByKey]=OutputTable[[#This Row],[GroupByKey]]),(OutputTable[GroupByKey]=OutputTable[[#This Row],[GroupByKey]])*OutputTable[RecordedValue])),0)</f>
        <v>9.3899555040381504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110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89.2</v>
      </c>
      <c r="L103" cm="1">
        <f t="array" ref="L103">IFERROR(_xlfn.STDEV.S(IF((OutputTable[GroupByKey]=OutputTable[[#This Row],[GroupByKey]]),(OutputTable[GroupByKey]=OutputTable[[#This Row],[GroupByKey]])*OutputTable[RecordedValue])),0)</f>
        <v>9.3085055654529505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03" cm="1">
        <f t="array" ref="O103">MIN(IF((OutputTable[GroupByKey]=OutputTable[[#This Row],[GroupByKey]]),(OutputTable[GroupByKey]=OutputTable[[#This Row],[GroupByKey]])*OutputTable[RecordedValue]))</f>
        <v>69</v>
      </c>
      <c r="P103" cm="1">
        <f t="array" ref="P103">MAX(IF((OutputTable[GroupByKey]=OutputTable[[#This Row],[GroupByKey]]),(OutputTable[GroupByKey]=OutputTable[[#This Row],[GroupByKey]])*OutputTable[RecordedValue]))</f>
        <v>108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90.033333333333331</v>
      </c>
      <c r="L104" cm="1">
        <f t="array" ref="L104">IFERROR(_xlfn.STDEV.S(IF((OutputTable[GroupByKey]=OutputTable[[#This Row],[GroupByKey]]),(OutputTable[GroupByKey]=OutputTable[[#This Row],[GroupByKey]])*OutputTable[RecordedValue])),0)</f>
        <v>9.3899555040381504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110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0.29334034282091898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0.34422170660965823</v>
      </c>
      <c r="L105" cm="1">
        <f t="array" ref="L105">IFERROR(_xlfn.STDEV.S(IF((OutputTable[GroupByKey]=OutputTable[[#This Row],[GroupByKey]]),(OutputTable[GroupByKey]=OutputTable[[#This Row],[GroupByKey]])*OutputTable[RecordedValue])),0)</f>
        <v>5.1246736363817387E-2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05" cm="1">
        <f t="array" ref="O105">MIN(IF((OutputTable[GroupByKey]=OutputTable[[#This Row],[GroupByKey]]),(OutputTable[GroupByKey]=OutputTable[[#This Row],[GroupByKey]])*OutputTable[RecordedValue]))</f>
        <v>0.248961473715994</v>
      </c>
      <c r="P105" cm="1">
        <f t="array" ref="P105">MAX(IF((OutputTable[GroupByKey]=OutputTable[[#This Row],[GroupByKey]]),(OutputTable[GroupByKey]=OutputTable[[#This Row],[GroupByKey]])*OutputTable[RecordedValue]))</f>
        <v>0.449747634188089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89.2</v>
      </c>
      <c r="L106" cm="1">
        <f t="array" ref="L106">IFERROR(_xlfn.STDEV.S(IF((OutputTable[GroupByKey]=OutputTable[[#This Row],[GroupByKey]]),(OutputTable[GroupByKey]=OutputTable[[#This Row],[GroupByKey]])*OutputTable[RecordedValue])),0)</f>
        <v>9.3085055654529505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06" cm="1">
        <f t="array" ref="O106">MIN(IF((OutputTable[GroupByKey]=OutputTable[[#This Row],[GroupByKey]]),(OutputTable[GroupByKey]=OutputTable[[#This Row],[GroupByKey]])*OutputTable[RecordedValue]))</f>
        <v>69</v>
      </c>
      <c r="P106" cm="1">
        <f t="array" ref="P106">MAX(IF((OutputTable[GroupByKey]=OutputTable[[#This Row],[GroupByKey]]),(OutputTable[GroupByKey]=OutputTable[[#This Row],[GroupByKey]])*OutputTable[RecordedValue]))</f>
        <v>108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83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90.033333333333331</v>
      </c>
      <c r="L107" cm="1">
        <f t="array" ref="L107">IFERROR(_xlfn.STDEV.S(IF((OutputTable[GroupByKey]=OutputTable[[#This Row],[GroupByKey]]),(OutputTable[GroupByKey]=OutputTable[[#This Row],[GroupByKey]])*OutputTable[RecordedValue])),0)</f>
        <v>9.3899555040381504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110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81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89.2</v>
      </c>
      <c r="L108" cm="1">
        <f t="array" ref="L108">IFERROR(_xlfn.STDEV.S(IF((OutputTable[GroupByKey]=OutputTable[[#This Row],[GroupByKey]]),(OutputTable[GroupByKey]=OutputTable[[#This Row],[GroupByKey]])*OutputTable[RecordedValue])),0)</f>
        <v>9.3085055654529505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08" cm="1">
        <f t="array" ref="O108">MIN(IF((OutputTable[GroupByKey]=OutputTable[[#This Row],[GroupByKey]]),(OutputTable[GroupByKey]=OutputTable[[#This Row],[GroupByKey]])*OutputTable[RecordedValue]))</f>
        <v>69</v>
      </c>
      <c r="P108" cm="1">
        <f t="array" ref="P108">MAX(IF((OutputTable[GroupByKey]=OutputTable[[#This Row],[GroupByKey]]),(OutputTable[GroupByKey]=OutputTable[[#This Row],[GroupByKey]])*OutputTable[RecordedValue]))</f>
        <v>108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83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90.033333333333331</v>
      </c>
      <c r="L109" cm="1">
        <f t="array" ref="L109">IFERROR(_xlfn.STDEV.S(IF((OutputTable[GroupByKey]=OutputTable[[#This Row],[GroupByKey]]),(OutputTable[GroupByKey]=OutputTable[[#This Row],[GroupByKey]])*OutputTable[RecordedValue])),0)</f>
        <v>9.3899555040381504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110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0.35377593836318599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0.34422170660965823</v>
      </c>
      <c r="L110" cm="1">
        <f t="array" ref="L110">IFERROR(_xlfn.STDEV.S(IF((OutputTable[GroupByKey]=OutputTable[[#This Row],[GroupByKey]]),(OutputTable[GroupByKey]=OutputTable[[#This Row],[GroupByKey]])*OutputTable[RecordedValue])),0)</f>
        <v>5.1246736363817387E-2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10" cm="1">
        <f t="array" ref="O110">MIN(IF((OutputTable[GroupByKey]=OutputTable[[#This Row],[GroupByKey]]),(OutputTable[GroupByKey]=OutputTable[[#This Row],[GroupByKey]])*OutputTable[RecordedValue]))</f>
        <v>0.248961473715994</v>
      </c>
      <c r="P110" cm="1">
        <f t="array" ref="P110">MAX(IF((OutputTable[GroupByKey]=OutputTable[[#This Row],[GroupByKey]]),(OutputTable[GroupByKey]=OutputTable[[#This Row],[GroupByKey]])*OutputTable[RecordedValue]))</f>
        <v>0.449747634188089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81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89.2</v>
      </c>
      <c r="L111" cm="1">
        <f t="array" ref="L111">IFERROR(_xlfn.STDEV.S(IF((OutputTable[GroupByKey]=OutputTable[[#This Row],[GroupByKey]]),(OutputTable[GroupByKey]=OutputTable[[#This Row],[GroupByKey]])*OutputTable[RecordedValue])),0)</f>
        <v>9.3085055654529505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11" cm="1">
        <f t="array" ref="O111">MIN(IF((OutputTable[GroupByKey]=OutputTable[[#This Row],[GroupByKey]]),(OutputTable[GroupByKey]=OutputTable[[#This Row],[GroupByKey]])*OutputTable[RecordedValue]))</f>
        <v>69</v>
      </c>
      <c r="P111" cm="1">
        <f t="array" ref="P111">MAX(IF((OutputTable[GroupByKey]=OutputTable[[#This Row],[GroupByKey]]),(OutputTable[GroupByKey]=OutputTable[[#This Row],[GroupByKey]])*OutputTable[RecordedValue]))</f>
        <v>108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90.033333333333331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9.3899555040381504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110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93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89.2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9.3085055654529505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13" s="5" cm="1">
        <f t="array" ref="O113">MIN(IF((OutputTable[GroupByKey]=OutputTable[[#This Row],[GroupByKey]]),(OutputTable[GroupByKey]=OutputTable[[#This Row],[GroupByKey]])*OutputTable[RecordedValue]))</f>
        <v>69</v>
      </c>
      <c r="P113" s="5" cm="1">
        <f t="array" ref="P113">MAX(IF((OutputTable[GroupByKey]=OutputTable[[#This Row],[GroupByKey]]),(OutputTable[GroupByKey]=OutputTable[[#This Row],[GroupByKey]])*OutputTable[RecordedValue]))</f>
        <v>108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90.033333333333331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9.3899555040381504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110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0.34661215557886899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0.34422170660965823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5.1246736363817387E-2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15" s="5" cm="1">
        <f t="array" ref="O115">MIN(IF((OutputTable[GroupByKey]=OutputTable[[#This Row],[GroupByKey]]),(OutputTable[GroupByKey]=OutputTable[[#This Row],[GroupByKey]])*OutputTable[RecordedValue]))</f>
        <v>0.248961473715994</v>
      </c>
      <c r="P115" s="5" cm="1">
        <f t="array" ref="P115">MAX(IF((OutputTable[GroupByKey]=OutputTable[[#This Row],[GroupByKey]]),(OutputTable[GroupByKey]=OutputTable[[#This Row],[GroupByKey]])*OutputTable[RecordedValue]))</f>
        <v>0.449747634188089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93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89.2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9.3085055654529505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16" s="5" cm="1">
        <f t="array" ref="O116">MIN(IF((OutputTable[GroupByKey]=OutputTable[[#This Row],[GroupByKey]]),(OutputTable[GroupByKey]=OutputTable[[#This Row],[GroupByKey]])*OutputTable[RecordedValue]))</f>
        <v>69</v>
      </c>
      <c r="P116" s="5" cm="1">
        <f t="array" ref="P116">MAX(IF((OutputTable[GroupByKey]=OutputTable[[#This Row],[GroupByKey]]),(OutputTable[GroupByKey]=OutputTable[[#This Row],[GroupByKey]])*OutputTable[RecordedValue]))</f>
        <v>108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74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90.033333333333331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9.3899555040381504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110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89.2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9.3085055654529505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18" s="5" cm="1">
        <f t="array" ref="O118">MIN(IF((OutputTable[GroupByKey]=OutputTable[[#This Row],[GroupByKey]]),(OutputTable[GroupByKey]=OutputTable[[#This Row],[GroupByKey]])*OutputTable[RecordedValue]))</f>
        <v>69</v>
      </c>
      <c r="P118" s="5" cm="1">
        <f t="array" ref="P118">MAX(IF((OutputTable[GroupByKey]=OutputTable[[#This Row],[GroupByKey]]),(OutputTable[GroupByKey]=OutputTable[[#This Row],[GroupByKey]])*OutputTable[RecordedValue]))</f>
        <v>108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90.033333333333331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9.3899555040381504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110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0.28991041992266298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0.34422170660965823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5.1246736363817387E-2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20" s="5" cm="1">
        <f t="array" ref="O120">MIN(IF((OutputTable[GroupByKey]=OutputTable[[#This Row],[GroupByKey]]),(OutputTable[GroupByKey]=OutputTable[[#This Row],[GroupByKey]])*OutputTable[RecordedValue]))</f>
        <v>0.248961473715994</v>
      </c>
      <c r="P120" s="5" cm="1">
        <f t="array" ref="P120">MAX(IF((OutputTable[GroupByKey]=OutputTable[[#This Row],[GroupByKey]]),(OutputTable[GroupByKey]=OutputTable[[#This Row],[GroupByKey]])*OutputTable[RecordedValue]))</f>
        <v>0.449747634188089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89.2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9.3085055654529505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21" s="5" cm="1">
        <f t="array" ref="O121">MIN(IF((OutputTable[GroupByKey]=OutputTable[[#This Row],[GroupByKey]]),(OutputTable[GroupByKey]=OutputTable[[#This Row],[GroupByKey]])*OutputTable[RecordedValue]))</f>
        <v>69</v>
      </c>
      <c r="P121" s="5" cm="1">
        <f t="array" ref="P121">MAX(IF((OutputTable[GroupByKey]=OutputTable[[#This Row],[GroupByKey]]),(OutputTable[GroupByKey]=OutputTable[[#This Row],[GroupByKey]])*OutputTable[RecordedValue]))</f>
        <v>108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90.033333333333331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9.3899555040381504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110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89.2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9.3085055654529505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23" s="5" cm="1">
        <f t="array" ref="O123">MIN(IF((OutputTable[GroupByKey]=OutputTable[[#This Row],[GroupByKey]]),(OutputTable[GroupByKey]=OutputTable[[#This Row],[GroupByKey]])*OutputTable[RecordedValue]))</f>
        <v>69</v>
      </c>
      <c r="P123" s="5" cm="1">
        <f t="array" ref="P123">MAX(IF((OutputTable[GroupByKey]=OutputTable[[#This Row],[GroupByKey]]),(OutputTable[GroupByKey]=OutputTable[[#This Row],[GroupByKey]])*OutputTable[RecordedValue]))</f>
        <v>108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90.033333333333331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9.3899555040381504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110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0.31257468305705199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0.34422170660965823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5.1246736363817387E-2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25" s="5" cm="1">
        <f t="array" ref="O125">MIN(IF((OutputTable[GroupByKey]=OutputTable[[#This Row],[GroupByKey]]),(OutputTable[GroupByKey]=OutputTable[[#This Row],[GroupByKey]])*OutputTable[RecordedValue]))</f>
        <v>0.248961473715994</v>
      </c>
      <c r="P125" s="5" cm="1">
        <f t="array" ref="P125">MAX(IF((OutputTable[GroupByKey]=OutputTable[[#This Row],[GroupByKey]]),(OutputTable[GroupByKey]=OutputTable[[#This Row],[GroupByKey]])*OutputTable[RecordedValue]))</f>
        <v>0.449747634188089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89.2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9.3085055654529505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26" s="5" cm="1">
        <f t="array" ref="O126">MIN(IF((OutputTable[GroupByKey]=OutputTable[[#This Row],[GroupByKey]]),(OutputTable[GroupByKey]=OutputTable[[#This Row],[GroupByKey]])*OutputTable[RecordedValue]))</f>
        <v>69</v>
      </c>
      <c r="P126" s="5" cm="1">
        <f t="array" ref="P126">MAX(IF((OutputTable[GroupByKey]=OutputTable[[#This Row],[GroupByKey]]),(OutputTable[GroupByKey]=OutputTable[[#This Row],[GroupByKey]])*OutputTable[RecordedValue]))</f>
        <v>108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90.033333333333331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9.3899555040381504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110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89.2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9.3085055654529505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28" s="5" cm="1">
        <f t="array" ref="O128">MIN(IF((OutputTable[GroupByKey]=OutputTable[[#This Row],[GroupByKey]]),(OutputTable[GroupByKey]=OutputTable[[#This Row],[GroupByKey]])*OutputTable[RecordedValue]))</f>
        <v>69</v>
      </c>
      <c r="P128" s="5" cm="1">
        <f t="array" ref="P128">MAX(IF((OutputTable[GroupByKey]=OutputTable[[#This Row],[GroupByKey]]),(OutputTable[GroupByKey]=OutputTable[[#This Row],[GroupByKey]])*OutputTable[RecordedValue]))</f>
        <v>108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90.033333333333331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9.3899555040381504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110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0.31723283416524001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0.34422170660965823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5.1246736363817387E-2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30" s="5" cm="1">
        <f t="array" ref="O130">MIN(IF((OutputTable[GroupByKey]=OutputTable[[#This Row],[GroupByKey]]),(OutputTable[GroupByKey]=OutputTable[[#This Row],[GroupByKey]])*OutputTable[RecordedValue]))</f>
        <v>0.248961473715994</v>
      </c>
      <c r="P130" s="5" cm="1">
        <f t="array" ref="P130">MAX(IF((OutputTable[GroupByKey]=OutputTable[[#This Row],[GroupByKey]]),(OutputTable[GroupByKey]=OutputTable[[#This Row],[GroupByKey]])*OutputTable[RecordedValue]))</f>
        <v>0.449747634188089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82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89.2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9.3085055654529505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31" s="5" cm="1">
        <f t="array" ref="O131">MIN(IF((OutputTable[GroupByKey]=OutputTable[[#This Row],[GroupByKey]]),(OutputTable[GroupByKey]=OutputTable[[#This Row],[GroupByKey]])*OutputTable[RecordedValue]))</f>
        <v>69</v>
      </c>
      <c r="P131" s="5" cm="1">
        <f t="array" ref="P131">MAX(IF((OutputTable[GroupByKey]=OutputTable[[#This Row],[GroupByKey]]),(OutputTable[GroupByKey]=OutputTable[[#This Row],[GroupByKey]])*OutputTable[RecordedValue]))</f>
        <v>108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90.033333333333331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9.3899555040381504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110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89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89.2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9.3085055654529505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33" s="5" cm="1">
        <f t="array" ref="O133">MIN(IF((OutputTable[GroupByKey]=OutputTable[[#This Row],[GroupByKey]]),(OutputTable[GroupByKey]=OutputTable[[#This Row],[GroupByKey]])*OutputTable[RecordedValue]))</f>
        <v>69</v>
      </c>
      <c r="P133" s="5" cm="1">
        <f t="array" ref="P133">MAX(IF((OutputTable[GroupByKey]=OutputTable[[#This Row],[GroupByKey]]),(OutputTable[GroupByKey]=OutputTable[[#This Row],[GroupByKey]])*OutputTable[RecordedValue]))</f>
        <v>108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90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90.033333333333331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9.3899555040381504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110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0.36375375139139399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0.34422170660965823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5.1246736363817387E-2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35" s="5" cm="1">
        <f t="array" ref="O135">MIN(IF((OutputTable[GroupByKey]=OutputTable[[#This Row],[GroupByKey]]),(OutputTable[GroupByKey]=OutputTable[[#This Row],[GroupByKey]])*OutputTable[RecordedValue]))</f>
        <v>0.248961473715994</v>
      </c>
      <c r="P135" s="5" cm="1">
        <f t="array" ref="P135">MAX(IF((OutputTable[GroupByKey]=OutputTable[[#This Row],[GroupByKey]]),(OutputTable[GroupByKey]=OutputTable[[#This Row],[GroupByKey]])*OutputTable[RecordedValue]))</f>
        <v>0.449747634188089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89.2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9.3085055654529505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36" s="5" cm="1">
        <f t="array" ref="O136">MIN(IF((OutputTable[GroupByKey]=OutputTable[[#This Row],[GroupByKey]]),(OutputTable[GroupByKey]=OutputTable[[#This Row],[GroupByKey]])*OutputTable[RecordedValue]))</f>
        <v>69</v>
      </c>
      <c r="P136" s="5" cm="1">
        <f t="array" ref="P136">MAX(IF((OutputTable[GroupByKey]=OutputTable[[#This Row],[GroupByKey]]),(OutputTable[GroupByKey]=OutputTable[[#This Row],[GroupByKey]])*OutputTable[RecordedValue]))</f>
        <v>108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99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90.033333333333331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9.3899555040381504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110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89.2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9.3085055654529505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38" s="5" cm="1">
        <f t="array" ref="O138">MIN(IF((OutputTable[GroupByKey]=OutputTable[[#This Row],[GroupByKey]]),(OutputTable[GroupByKey]=OutputTable[[#This Row],[GroupByKey]])*OutputTable[RecordedValue]))</f>
        <v>69</v>
      </c>
      <c r="P138" s="5" cm="1">
        <f t="array" ref="P138">MAX(IF((OutputTable[GroupByKey]=OutputTable[[#This Row],[GroupByKey]]),(OutputTable[GroupByKey]=OutputTable[[#This Row],[GroupByKey]])*OutputTable[RecordedValue]))</f>
        <v>108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99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90.033333333333331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9.3899555040381504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110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0.37153193351603298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0.34422170660965823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5.1246736363817387E-2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40" s="5" cm="1">
        <f t="array" ref="O140">MIN(IF((OutputTable[GroupByKey]=OutputTable[[#This Row],[GroupByKey]]),(OutputTable[GroupByKey]=OutputTable[[#This Row],[GroupByKey]])*OutputTable[RecordedValue]))</f>
        <v>0.248961473715994</v>
      </c>
      <c r="P140" s="5" cm="1">
        <f t="array" ref="P140">MAX(IF((OutputTable[GroupByKey]=OutputTable[[#This Row],[GroupByKey]]),(OutputTable[GroupByKey]=OutputTable[[#This Row],[GroupByKey]])*OutputTable[RecordedValue]))</f>
        <v>0.449747634188089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98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89.2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9.3085055654529505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41" s="5" cm="1">
        <f t="array" ref="O141">MIN(IF((OutputTable[GroupByKey]=OutputTable[[#This Row],[GroupByKey]]),(OutputTable[GroupByKey]=OutputTable[[#This Row],[GroupByKey]])*OutputTable[RecordedValue]))</f>
        <v>69</v>
      </c>
      <c r="P141" s="5" cm="1">
        <f t="array" ref="P141">MAX(IF((OutputTable[GroupByKey]=OutputTable[[#This Row],[GroupByKey]]),(OutputTable[GroupByKey]=OutputTable[[#This Row],[GroupByKey]])*OutputTable[RecordedValue]))</f>
        <v>108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94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90.033333333333331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9.3899555040381504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110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91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89.2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9.3085055654529505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43" s="5" cm="1">
        <f t="array" ref="O143">MIN(IF((OutputTable[GroupByKey]=OutputTable[[#This Row],[GroupByKey]]),(OutputTable[GroupByKey]=OutputTable[[#This Row],[GroupByKey]])*OutputTable[RecordedValue]))</f>
        <v>69</v>
      </c>
      <c r="P143" s="5" cm="1">
        <f t="array" ref="P143">MAX(IF((OutputTable[GroupByKey]=OutputTable[[#This Row],[GroupByKey]]),(OutputTable[GroupByKey]=OutputTable[[#This Row],[GroupByKey]])*OutputTable[RecordedValue]))</f>
        <v>108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94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90.033333333333331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9.3899555040381504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110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0.36882133921371302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0.34422170660965823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5.1246736363817387E-2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45" s="5" cm="1">
        <f t="array" ref="O145">MIN(IF((OutputTable[GroupByKey]=OutputTable[[#This Row],[GroupByKey]]),(OutputTable[GroupByKey]=OutputTable[[#This Row],[GroupByKey]])*OutputTable[RecordedValue]))</f>
        <v>0.248961473715994</v>
      </c>
      <c r="P145" s="5" cm="1">
        <f t="array" ref="P145">MAX(IF((OutputTable[GroupByKey]=OutputTable[[#This Row],[GroupByKey]]),(OutputTable[GroupByKey]=OutputTable[[#This Row],[GroupByKey]])*OutputTable[RecordedValue]))</f>
        <v>0.449747634188089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91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89.2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9.3085055654529505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46" s="5" cm="1">
        <f t="array" ref="O146">MIN(IF((OutputTable[GroupByKey]=OutputTable[[#This Row],[GroupByKey]]),(OutputTable[GroupByKey]=OutputTable[[#This Row],[GroupByKey]])*OutputTable[RecordedValue]))</f>
        <v>69</v>
      </c>
      <c r="P146" s="5" cm="1">
        <f t="array" ref="P146">MAX(IF((OutputTable[GroupByKey]=OutputTable[[#This Row],[GroupByKey]]),(OutputTable[GroupByKey]=OutputTable[[#This Row],[GroupByKey]])*OutputTable[RecordedValue]))</f>
        <v>108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90.033333333333331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9.3899555040381504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110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107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89.2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9.3085055654529505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48" s="5" cm="1">
        <f t="array" ref="O148">MIN(IF((OutputTable[GroupByKey]=OutputTable[[#This Row],[GroupByKey]]),(OutputTable[GroupByKey]=OutputTable[[#This Row],[GroupByKey]])*OutputTable[RecordedValue]))</f>
        <v>69</v>
      </c>
      <c r="P148" s="5" cm="1">
        <f t="array" ref="P148">MAX(IF((OutputTable[GroupByKey]=OutputTable[[#This Row],[GroupByKey]]),(OutputTable[GroupByKey]=OutputTable[[#This Row],[GroupByKey]])*OutputTable[RecordedValue]))</f>
        <v>108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90.033333333333331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9.3899555040381504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3.5062670090933432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110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0.42242672292643302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0.34422170660965823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5.1246736363817387E-2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1.9135845847073889E-2</v>
      </c>
      <c r="O150" s="5" cm="1">
        <f t="array" ref="O150">MIN(IF((OutputTable[GroupByKey]=OutputTable[[#This Row],[GroupByKey]]),(OutputTable[GroupByKey]=OutputTable[[#This Row],[GroupByKey]])*OutputTable[RecordedValue]))</f>
        <v>0.248961473715994</v>
      </c>
      <c r="P150" s="5" cm="1">
        <f t="array" ref="P150">MAX(IF((OutputTable[GroupByKey]=OutputTable[[#This Row],[GroupByKey]]),(OutputTable[GroupByKey]=OutputTable[[#This Row],[GroupByKey]])*OutputTable[RecordedValue]))</f>
        <v>0.449747634188089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107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89.2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9.3085055654529505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3.4758531021870596</v>
      </c>
      <c r="O151" s="5" cm="1">
        <f t="array" ref="O151">MIN(IF((OutputTable[GroupByKey]=OutputTable[[#This Row],[GroupByKey]]),(OutputTable[GroupByKey]=OutputTable[[#This Row],[GroupByKey]])*OutputTable[RecordedValue]))</f>
        <v>69</v>
      </c>
      <c r="P151" s="5" cm="1">
        <f t="array" ref="P151">MAX(IF((OutputTable[GroupByKey]=OutputTable[[#This Row],[GroupByKey]]),(OutputTable[GroupByKey]=OutputTable[[#This Row],[GroupByKey]])*OutputTable[RecordedValue]))</f>
        <v>108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2025-02-11T12:45:59Z</dcterms:modified>
</cp:coreProperties>
</file>