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396EAB13-74FC-4992-B19C-08D3AF7DB789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P98" i="20" s="1" a="1"/>
  <c r="P98" i="20" s="1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P28" i="20" s="1" a="1"/>
  <c r="P28" i="20" s="1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O84" i="20" s="1" a="1"/>
  <c r="O84" i="20" s="1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P151" i="20" s="1" a="1"/>
  <c r="P151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J6" i="19" s="1" a="1"/>
  <c r="J6" i="19" s="1"/>
  <c r="H8" i="19"/>
  <c r="H9" i="19"/>
  <c r="H10" i="19"/>
  <c r="H11" i="19"/>
  <c r="K5" i="19" s="1" a="1"/>
  <c r="K5" i="19" s="1"/>
  <c r="H12" i="19"/>
  <c r="K6" i="19" s="1" a="1"/>
  <c r="K6" i="19" s="1"/>
  <c r="H13" i="19"/>
  <c r="H14" i="19"/>
  <c r="H15" i="19"/>
  <c r="H16" i="19"/>
  <c r="H17" i="19"/>
  <c r="H18" i="19"/>
  <c r="H19" i="19"/>
  <c r="K19" i="19" s="1" a="1"/>
  <c r="K19" i="19" s="1"/>
  <c r="H20" i="19"/>
  <c r="K20" i="19" s="1" a="1"/>
  <c r="K20" i="19" s="1"/>
  <c r="H21" i="19"/>
  <c r="K21" i="19" s="1" a="1"/>
  <c r="K21" i="19" s="1"/>
  <c r="H22" i="19"/>
  <c r="K22" i="19" s="1" a="1"/>
  <c r="K22" i="19" s="1"/>
  <c r="H23" i="19"/>
  <c r="J23" i="19" s="1" a="1"/>
  <c r="J23" i="19" s="1"/>
  <c r="H24" i="19"/>
  <c r="J33" i="19" s="1" a="1"/>
  <c r="J33" i="19" s="1"/>
  <c r="H25" i="19"/>
  <c r="H26" i="19"/>
  <c r="H27" i="19"/>
  <c r="J27" i="19" s="1" a="1"/>
  <c r="J27" i="19" s="1"/>
  <c r="H28" i="19"/>
  <c r="H29" i="19"/>
  <c r="J29" i="19" s="1" a="1"/>
  <c r="J29" i="19" s="1"/>
  <c r="H30" i="19"/>
  <c r="H31" i="19"/>
  <c r="H32" i="19"/>
  <c r="H33" i="19"/>
  <c r="N33" i="19" s="1" a="1"/>
  <c r="N33" i="19" s="1"/>
  <c r="H34" i="19"/>
  <c r="H35" i="19"/>
  <c r="H36" i="19"/>
  <c r="H37" i="19"/>
  <c r="H38" i="19"/>
  <c r="H39" i="19"/>
  <c r="O7" i="19" s="1" a="1"/>
  <c r="O7" i="19" s="1"/>
  <c r="H40" i="19"/>
  <c r="H41" i="19"/>
  <c r="H42" i="19"/>
  <c r="K23" i="19" s="1" a="1"/>
  <c r="K23" i="19" s="1"/>
  <c r="H43" i="19"/>
  <c r="H44" i="19"/>
  <c r="K44" i="19" s="1" a="1"/>
  <c r="K44" i="19" s="1"/>
  <c r="H45" i="19"/>
  <c r="J45" i="19" s="1" a="1"/>
  <c r="J45" i="19" s="1"/>
  <c r="H46" i="19"/>
  <c r="J46" i="19" s="1" a="1"/>
  <c r="J46" i="19" s="1"/>
  <c r="H47" i="19"/>
  <c r="J47" i="19" s="1" a="1"/>
  <c r="J47" i="19" s="1"/>
  <c r="H48" i="19"/>
  <c r="H49" i="19"/>
  <c r="H50" i="19"/>
  <c r="H51" i="19"/>
  <c r="H52" i="19"/>
  <c r="H53" i="19"/>
  <c r="K53" i="19" s="1" a="1"/>
  <c r="K53" i="19" s="1"/>
  <c r="H54" i="19"/>
  <c r="K54" i="19" s="1" a="1"/>
  <c r="K54" i="19" s="1"/>
  <c r="H55" i="19"/>
  <c r="K55" i="19" s="1" a="1"/>
  <c r="K55" i="19" s="1"/>
  <c r="H56" i="19"/>
  <c r="H57" i="19"/>
  <c r="H58" i="19"/>
  <c r="H59" i="19"/>
  <c r="H60" i="19"/>
  <c r="K60" i="19" s="1" a="1"/>
  <c r="K60" i="19" s="1"/>
  <c r="H6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/>
  <c r="I21" i="19" a="1"/>
  <c r="I21" i="19" s="1"/>
  <c r="I22" i="19" a="1"/>
  <c r="I22" i="19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5" i="19" a="1"/>
  <c r="J5" i="19" s="1"/>
  <c r="J13" i="19" a="1"/>
  <c r="J13" i="19" s="1"/>
  <c r="J31" i="19" a="1"/>
  <c r="J31" i="19" s="1"/>
  <c r="J36" i="19" a="1"/>
  <c r="J36" i="19" s="1"/>
  <c r="J38" i="19" a="1"/>
  <c r="J38" i="19" s="1"/>
  <c r="J39" i="19" a="1"/>
  <c r="J39" i="19" s="1"/>
  <c r="J50" i="19" a="1"/>
  <c r="J50" i="19" s="1"/>
  <c r="J51" i="19" a="1"/>
  <c r="J51" i="19" s="1"/>
  <c r="J53" i="19" a="1"/>
  <c r="J53" i="19" s="1"/>
  <c r="J55" i="19" a="1"/>
  <c r="J55" i="19" s="1"/>
  <c r="J57" i="19" a="1"/>
  <c r="J57" i="19" s="1"/>
  <c r="J58" i="19" a="1"/>
  <c r="J58" i="19" s="1"/>
  <c r="J59" i="19" a="1"/>
  <c r="J59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3" i="19" a="1"/>
  <c r="K13" i="19" s="1"/>
  <c r="K14" i="19" a="1"/>
  <c r="K14" i="19" s="1"/>
  <c r="K15" i="19" a="1"/>
  <c r="K15" i="19" s="1"/>
  <c r="K16" i="19" a="1"/>
  <c r="K16" i="19" s="1"/>
  <c r="K24" i="19" a="1"/>
  <c r="K24" i="19" s="1"/>
  <c r="K25" i="19" a="1"/>
  <c r="K25" i="19" s="1"/>
  <c r="K26" i="19" a="1"/>
  <c r="K26" i="19" s="1"/>
  <c r="K27" i="19" a="1"/>
  <c r="K27" i="19" s="1"/>
  <c r="K29" i="19" a="1"/>
  <c r="K29" i="19" s="1"/>
  <c r="K30" i="19" a="1"/>
  <c r="K30" i="19" s="1"/>
  <c r="K31" i="19" a="1"/>
  <c r="K31" i="19" s="1"/>
  <c r="K32" i="19" a="1"/>
  <c r="K32" i="19" s="1"/>
  <c r="K33" i="19" a="1"/>
  <c r="K33" i="19" s="1"/>
  <c r="K41" i="19" a="1"/>
  <c r="K41" i="19" s="1"/>
  <c r="K42" i="19" a="1"/>
  <c r="K42" i="19" s="1"/>
  <c r="K43" i="19" a="1"/>
  <c r="K43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8" i="19" a="1"/>
  <c r="K58" i="19" s="1"/>
  <c r="K59" i="19" a="1"/>
  <c r="K59" i="19" s="1"/>
  <c r="K61" i="19" a="1"/>
  <c r="K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M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M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2" i="19" a="1"/>
  <c r="N2" i="19" s="1"/>
  <c r="N3" i="19" a="1"/>
  <c r="N3" i="19" s="1"/>
  <c r="N4" i="19" a="1"/>
  <c r="N4" i="19" s="1"/>
  <c r="N5" i="19" a="1"/>
  <c r="N5" i="19" s="1"/>
  <c r="N7" i="19" a="1"/>
  <c r="N7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4" i="19" a="1"/>
  <c r="N14" i="19" s="1"/>
  <c r="N18" i="19" a="1"/>
  <c r="N18" i="19" s="1"/>
  <c r="N19" i="19" a="1"/>
  <c r="N19" i="19" s="1"/>
  <c r="N20" i="19" a="1"/>
  <c r="N20" i="19" s="1"/>
  <c r="N21" i="19" a="1"/>
  <c r="N21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S34" i="18" s="1" a="1"/>
  <c r="S34" i="18" s="1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T70" i="18" s="1" a="1"/>
  <c r="T70" i="18" s="1"/>
  <c r="M26" i="18"/>
  <c r="M27" i="18"/>
  <c r="M28" i="18"/>
  <c r="M29" i="18"/>
  <c r="M30" i="18"/>
  <c r="M31" i="18"/>
  <c r="M32" i="18"/>
  <c r="S67" i="18" s="1" a="1"/>
  <c r="S67" i="18" s="1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T76" i="18" s="1" a="1"/>
  <c r="T76" i="18" s="1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P119" i="18" s="1" a="1"/>
  <c r="P119" i="18" s="1"/>
  <c r="M120" i="18"/>
  <c r="M121" i="18"/>
  <c r="M122" i="18"/>
  <c r="M123" i="18"/>
  <c r="M124" i="18"/>
  <c r="M125" i="18"/>
  <c r="M126" i="18"/>
  <c r="M127" i="18"/>
  <c r="M128" i="18"/>
  <c r="S98" i="18" s="1" a="1"/>
  <c r="S98" i="18" s="1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/>
  <c r="N150" i="18" a="1"/>
  <c r="N150" i="18" s="1"/>
  <c r="N151" i="18" a="1"/>
  <c r="N151" i="18" s="1"/>
  <c r="Q2" i="18" a="1"/>
  <c r="Q2" i="18" s="1"/>
  <c r="Q3" i="18" a="1"/>
  <c r="Q3" i="18" s="1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32" i="18" a="1"/>
  <c r="S32" i="18" s="1"/>
  <c r="S68" i="18" a="1"/>
  <c r="S68" i="18" s="1"/>
  <c r="S128" i="18" a="1"/>
  <c r="S128" i="18" s="1"/>
  <c r="S130" i="18" a="1"/>
  <c r="S130" i="18" s="1"/>
  <c r="T10" i="18" a="1"/>
  <c r="T10" i="18" s="1"/>
  <c r="T30" i="18" a="1"/>
  <c r="T30" i="18" s="1"/>
  <c r="T38" i="18" a="1"/>
  <c r="T38" i="18" s="1"/>
  <c r="T40" i="18" a="1"/>
  <c r="T40" i="18" s="1"/>
  <c r="T56" i="18" a="1"/>
  <c r="T56" i="18" s="1"/>
  <c r="T59" i="18" a="1"/>
  <c r="T59" i="18" s="1"/>
  <c r="T61" i="18" a="1"/>
  <c r="T61" i="18" s="1"/>
  <c r="T68" i="18" a="1"/>
  <c r="T68" i="18" s="1"/>
  <c r="T78" i="18" a="1"/>
  <c r="T78" i="18" s="1"/>
  <c r="T79" i="18" a="1"/>
  <c r="T79" i="18" s="1"/>
  <c r="T80" i="18" a="1"/>
  <c r="T80" i="18" s="1"/>
  <c r="T83" i="18" a="1"/>
  <c r="T83" i="18" s="1"/>
  <c r="T86" i="18" a="1"/>
  <c r="T86" i="18" s="1"/>
  <c r="T89" i="18" a="1"/>
  <c r="T89" i="18" s="1"/>
  <c r="T91" i="18" a="1"/>
  <c r="T91" i="18" s="1"/>
  <c r="T94" i="18" a="1"/>
  <c r="T94" i="18" s="1"/>
  <c r="T98" i="18" a="1"/>
  <c r="T98" i="18" s="1"/>
  <c r="T100" i="18" a="1"/>
  <c r="T100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3" i="18" a="1"/>
  <c r="T113" i="18" s="1"/>
  <c r="T114" i="18" a="1"/>
  <c r="T114" i="18" s="1"/>
  <c r="T115" i="18" a="1"/>
  <c r="T115" i="18" s="1"/>
  <c r="T116" i="18" a="1"/>
  <c r="T116" i="18" s="1"/>
  <c r="T119" i="18" a="1"/>
  <c r="T119" i="18" s="1"/>
  <c r="T120" i="18" a="1"/>
  <c r="T120" i="18" s="1"/>
  <c r="T121" i="18" a="1"/>
  <c r="T121" i="18" s="1"/>
  <c r="T123" i="18" a="1"/>
  <c r="T123" i="18" s="1"/>
  <c r="T125" i="18" a="1"/>
  <c r="T125" i="18" s="1"/>
  <c r="T126" i="18" a="1"/>
  <c r="T126" i="18" s="1"/>
  <c r="T128" i="18" a="1"/>
  <c r="T128" i="18" s="1"/>
  <c r="T130" i="18" a="1"/>
  <c r="T130" i="18" s="1"/>
  <c r="T131" i="18" a="1"/>
  <c r="T131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3" i="18" a="1"/>
  <c r="T143" i="18" s="1"/>
  <c r="T144" i="18" a="1"/>
  <c r="T144" i="18" s="1"/>
  <c r="T145" i="18" a="1"/>
  <c r="T145" i="18" s="1"/>
  <c r="T146" i="18" a="1"/>
  <c r="T146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L182" i="17"/>
  <c r="L8" i="17"/>
  <c r="L9" i="17"/>
  <c r="O114" i="17" s="1" a="1"/>
  <c r="O114" i="17" s="1"/>
  <c r="L10" i="17"/>
  <c r="O10" i="17" s="1" a="1"/>
  <c r="O10" i="17" s="1"/>
  <c r="L11" i="17"/>
  <c r="L12" i="17"/>
  <c r="L13" i="17"/>
  <c r="L183" i="17"/>
  <c r="L14" i="17"/>
  <c r="L15" i="17"/>
  <c r="L16" i="17"/>
  <c r="L17" i="17"/>
  <c r="L18" i="17"/>
  <c r="L19" i="17"/>
  <c r="L184" i="17"/>
  <c r="L20" i="17"/>
  <c r="N123" i="17" s="1" a="1"/>
  <c r="N123" i="17" s="1"/>
  <c r="L21" i="17"/>
  <c r="L22" i="17"/>
  <c r="L23" i="17"/>
  <c r="L24" i="17"/>
  <c r="L25" i="17"/>
  <c r="L185" i="17"/>
  <c r="L26" i="17"/>
  <c r="O146" i="17" s="1" a="1"/>
  <c r="O146" i="17" s="1"/>
  <c r="L27" i="17"/>
  <c r="L28" i="17"/>
  <c r="O22" i="17" s="1" a="1"/>
  <c r="O22" i="17" s="1"/>
  <c r="L29" i="17"/>
  <c r="L30" i="17"/>
  <c r="L31" i="17"/>
  <c r="L186" i="17"/>
  <c r="L32" i="17"/>
  <c r="L33" i="17"/>
  <c r="L34" i="17"/>
  <c r="L35" i="17"/>
  <c r="L36" i="17"/>
  <c r="L37" i="17"/>
  <c r="O37" i="17" s="1" a="1"/>
  <c r="O37" i="17" s="1"/>
  <c r="L187" i="17"/>
  <c r="L38" i="17"/>
  <c r="L39" i="17"/>
  <c r="O134" i="17" s="1" a="1"/>
  <c r="O134" i="17" s="1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O65" i="17" s="1" a="1"/>
  <c r="O65" i="17" s="1"/>
  <c r="L66" i="17"/>
  <c r="L67" i="17"/>
  <c r="N67" i="17" s="1" a="1"/>
  <c r="N67" i="17" s="1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O78" i="17" s="1" a="1"/>
  <c r="O78" i="17" s="1"/>
  <c r="L79" i="17"/>
  <c r="L194" i="17"/>
  <c r="L80" i="17"/>
  <c r="L81" i="17"/>
  <c r="L82" i="17"/>
  <c r="N155" i="17" s="1" a="1"/>
  <c r="N155" i="17" s="1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O102" i="17" s="1" a="1"/>
  <c r="O102" i="17" s="1"/>
  <c r="L103" i="17"/>
  <c r="L198" i="17"/>
  <c r="L104" i="17"/>
  <c r="L105" i="17"/>
  <c r="L106" i="17"/>
  <c r="L107" i="17"/>
  <c r="L108" i="17"/>
  <c r="L109" i="17"/>
  <c r="L199" i="17"/>
  <c r="N199" i="17" s="1" a="1"/>
  <c r="N199" i="17" s="1"/>
  <c r="L110" i="17"/>
  <c r="L111" i="17"/>
  <c r="L112" i="17"/>
  <c r="L113" i="17"/>
  <c r="L114" i="17"/>
  <c r="L115" i="17"/>
  <c r="L200" i="17"/>
  <c r="N200" i="17" s="1" a="1"/>
  <c r="N200" i="17" s="1"/>
  <c r="L116" i="17"/>
  <c r="L117" i="17"/>
  <c r="L118" i="17"/>
  <c r="N118" i="17" s="1" a="1"/>
  <c r="N118" i="17" s="1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N136" i="17" s="1" a="1"/>
  <c r="N136" i="17" s="1"/>
  <c r="L137" i="17"/>
  <c r="O8" i="17" s="1" a="1"/>
  <c r="O8" i="17" s="1"/>
  <c r="L138" i="17"/>
  <c r="N138" i="17" s="1" a="1"/>
  <c r="N138" i="17" s="1"/>
  <c r="L139" i="17"/>
  <c r="N139" i="17" s="1" a="1"/>
  <c r="N139" i="17" s="1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N149" i="17" s="1" a="1"/>
  <c r="N149" i="17" s="1"/>
  <c r="L150" i="17"/>
  <c r="L151" i="17"/>
  <c r="L206" i="17"/>
  <c r="L152" i="17"/>
  <c r="L153" i="17"/>
  <c r="L154" i="17"/>
  <c r="L155" i="17"/>
  <c r="L156" i="17"/>
  <c r="L157" i="17"/>
  <c r="L207" i="17"/>
  <c r="N207" i="17" s="1" a="1"/>
  <c r="N207" i="17" s="1"/>
  <c r="L158" i="17"/>
  <c r="L159" i="17"/>
  <c r="L160" i="17"/>
  <c r="L161" i="17"/>
  <c r="L162" i="17"/>
  <c r="L163" i="17"/>
  <c r="N163" i="17" s="1" a="1"/>
  <c r="N163" i="17" s="1"/>
  <c r="L208" i="17"/>
  <c r="L164" i="17"/>
  <c r="R40" i="17" s="1" a="1"/>
  <c r="R40" i="17" s="1"/>
  <c r="L165" i="17"/>
  <c r="L166" i="17"/>
  <c r="N166" i="17" s="1" a="1"/>
  <c r="N166" i="17" s="1"/>
  <c r="L167" i="17"/>
  <c r="L168" i="17"/>
  <c r="L169" i="17"/>
  <c r="L209" i="17"/>
  <c r="L170" i="17"/>
  <c r="L171" i="17"/>
  <c r="L172" i="17"/>
  <c r="L173" i="17"/>
  <c r="L174" i="17"/>
  <c r="N174" i="17" s="1" a="1"/>
  <c r="N174" i="17" s="1"/>
  <c r="L175" i="17"/>
  <c r="N175" i="17" s="1" a="1"/>
  <c r="N175" i="17" s="1"/>
  <c r="L210" i="17"/>
  <c r="L176" i="17"/>
  <c r="N176" i="17" s="1" a="1"/>
  <c r="N176" i="17" s="1"/>
  <c r="L177" i="17"/>
  <c r="L178" i="17"/>
  <c r="L179" i="17"/>
  <c r="L180" i="17"/>
  <c r="L181" i="17"/>
  <c r="L211" i="17"/>
  <c r="M2" i="17" a="1"/>
  <c r="M2" i="17"/>
  <c r="M3" i="17" a="1"/>
  <c r="M3" i="17" s="1"/>
  <c r="M4" i="17" a="1"/>
  <c r="M4" i="17" s="1"/>
  <c r="M5" i="17" a="1"/>
  <c r="M5" i="17" s="1"/>
  <c r="Y5" i="17" s="1"/>
  <c r="M6" i="17" a="1"/>
  <c r="M6" i="17" s="1"/>
  <c r="M7" i="17" a="1"/>
  <c r="M7" i="17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Y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/>
  <c r="M37" i="17" a="1"/>
  <c r="M37" i="17" s="1"/>
  <c r="M187" i="17" a="1"/>
  <c r="M187" i="17" s="1"/>
  <c r="M38" i="17" a="1"/>
  <c r="M38" i="17" s="1"/>
  <c r="M39" i="17" a="1"/>
  <c r="M39" i="17" s="1"/>
  <c r="M40" i="17" a="1"/>
  <c r="M40" i="17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/>
  <c r="M75" i="17" a="1"/>
  <c r="M75" i="17" s="1"/>
  <c r="M76" i="17" a="1"/>
  <c r="M76" i="17" s="1"/>
  <c r="M77" i="17" a="1"/>
  <c r="M77" i="17"/>
  <c r="M78" i="17" a="1"/>
  <c r="M78" i="17" s="1"/>
  <c r="M79" i="17" a="1"/>
  <c r="M79" i="17" s="1"/>
  <c r="M194" i="17" a="1"/>
  <c r="M194" i="17" s="1"/>
  <c r="M80" i="17" a="1"/>
  <c r="M80" i="17"/>
  <c r="M81" i="17" a="1"/>
  <c r="M81" i="17" s="1"/>
  <c r="M82" i="17" a="1"/>
  <c r="M82" i="17"/>
  <c r="M83" i="17" a="1"/>
  <c r="M83" i="17" s="1"/>
  <c r="M84" i="17" a="1"/>
  <c r="M84" i="17" s="1"/>
  <c r="M85" i="17" a="1"/>
  <c r="M85" i="17" s="1"/>
  <c r="M195" i="17" a="1"/>
  <c r="M19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/>
  <c r="M200" i="17" a="1"/>
  <c r="M200" i="17" s="1"/>
  <c r="M116" i="17" a="1"/>
  <c r="M116" i="17"/>
  <c r="M117" i="17" a="1"/>
  <c r="M117" i="17"/>
  <c r="M118" i="17" a="1"/>
  <c r="M118" i="17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/>
  <c r="M136" i="17" a="1"/>
  <c r="M136" i="17" s="1"/>
  <c r="M137" i="17" a="1"/>
  <c r="M137" i="17" s="1"/>
  <c r="M138" i="17" a="1"/>
  <c r="M138" i="17" s="1"/>
  <c r="M139" i="17" a="1"/>
  <c r="M139" i="17"/>
  <c r="M204" i="17" a="1"/>
  <c r="M204" i="17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Y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N105" i="17" a="1"/>
  <c r="N105" i="17" s="1"/>
  <c r="N154" i="17" a="1"/>
  <c r="N154" i="17" s="1"/>
  <c r="O6" i="17" a="1"/>
  <c r="O6" i="17" s="1"/>
  <c r="O7" i="17" a="1"/>
  <c r="O7" i="17" s="1"/>
  <c r="O182" i="17" a="1"/>
  <c r="O182" i="17" s="1"/>
  <c r="O32" i="17" a="1"/>
  <c r="O32" i="17" s="1"/>
  <c r="O33" i="17" a="1"/>
  <c r="O33" i="17" s="1"/>
  <c r="O34" i="17" a="1"/>
  <c r="O34" i="17" s="1"/>
  <c r="O47" i="17" a="1"/>
  <c r="O47" i="17" s="1"/>
  <c r="O58" i="17" a="1"/>
  <c r="O58" i="17" s="1"/>
  <c r="O61" i="17" a="1"/>
  <c r="O61" i="17" s="1"/>
  <c r="O191" i="17" a="1"/>
  <c r="O191" i="17" s="1"/>
  <c r="O62" i="17" a="1"/>
  <c r="O62" i="17" s="1"/>
  <c r="O74" i="17" a="1"/>
  <c r="O74" i="17" s="1"/>
  <c r="O75" i="17" a="1"/>
  <c r="O75" i="17" s="1"/>
  <c r="O76" i="17" a="1"/>
  <c r="O76" i="17" s="1"/>
  <c r="O85" i="17" a="1"/>
  <c r="O8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197" i="17" a="1"/>
  <c r="O197" i="17" s="1"/>
  <c r="O98" i="17" a="1"/>
  <c r="O98" i="17" s="1"/>
  <c r="O99" i="17" a="1"/>
  <c r="O99" i="17" s="1"/>
  <c r="O100" i="17" a="1"/>
  <c r="O100" i="17" s="1"/>
  <c r="O105" i="17" a="1"/>
  <c r="O105" i="17" s="1"/>
  <c r="O106" i="17" a="1"/>
  <c r="O106" i="17" s="1"/>
  <c r="O108" i="17" a="1"/>
  <c r="O108" i="17" s="1"/>
  <c r="O109" i="17" a="1"/>
  <c r="O109" i="17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5" i="17" a="1"/>
  <c r="O115" i="17" s="1"/>
  <c r="O117" i="17" a="1"/>
  <c r="O117" i="17" s="1"/>
  <c r="O118" i="17" a="1"/>
  <c r="O118" i="17" s="1"/>
  <c r="O120" i="17" a="1"/>
  <c r="O120" i="17" s="1"/>
  <c r="O121" i="17" a="1"/>
  <c r="O121" i="17" s="1"/>
  <c r="O201" i="17" a="1"/>
  <c r="O201" i="17" s="1"/>
  <c r="O124" i="17" a="1"/>
  <c r="O124" i="17" s="1"/>
  <c r="O126" i="17" a="1"/>
  <c r="O126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5" i="17" a="1"/>
  <c r="O135" i="17"/>
  <c r="O136" i="17" a="1"/>
  <c r="O136" i="17" s="1"/>
  <c r="O137" i="17" a="1"/>
  <c r="O137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7" i="17" a="1"/>
  <c r="O147" i="17" s="1"/>
  <c r="O148" i="17" a="1"/>
  <c r="O148" i="17" s="1"/>
  <c r="O149" i="17" a="1"/>
  <c r="O149" i="17" s="1"/>
  <c r="O150" i="17" a="1"/>
  <c r="O150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P2" i="17" a="1"/>
  <c r="P2" i="17"/>
  <c r="P3" i="17" a="1"/>
  <c r="P3" i="17" s="1"/>
  <c r="P4" i="17" a="1"/>
  <c r="P4" i="17" s="1"/>
  <c r="P5" i="17" a="1"/>
  <c r="P5" i="17"/>
  <c r="P6" i="17" a="1"/>
  <c r="P6" i="17"/>
  <c r="P7" i="17" a="1"/>
  <c r="P7" i="17" s="1"/>
  <c r="P182" i="17" a="1"/>
  <c r="P182" i="17" s="1"/>
  <c r="P8" i="17" a="1"/>
  <c r="P8" i="17" s="1"/>
  <c r="P9" i="17" a="1"/>
  <c r="P9" i="17" s="1"/>
  <c r="P10" i="17" a="1"/>
  <c r="P10" i="17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/>
  <c r="P20" i="17" a="1"/>
  <c r="P20" i="17" s="1"/>
  <c r="P21" i="17" a="1"/>
  <c r="P21" i="17" s="1"/>
  <c r="P22" i="17" a="1"/>
  <c r="P22" i="17" s="1"/>
  <c r="P23" i="17" a="1"/>
  <c r="P23" i="17" s="1"/>
  <c r="P24" i="17" a="1"/>
  <c r="P24" i="17"/>
  <c r="P25" i="17" a="1"/>
  <c r="P25" i="17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/>
  <c r="P50" i="17" a="1"/>
  <c r="P50" i="17" s="1"/>
  <c r="P51" i="17" a="1"/>
  <c r="P51" i="17" s="1"/>
  <c r="P52" i="17" a="1"/>
  <c r="P52" i="17" s="1"/>
  <c r="P53" i="17" a="1"/>
  <c r="P53" i="17" s="1"/>
  <c r="P54" i="17" a="1"/>
  <c r="P54" i="17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/>
  <c r="P194" i="17" a="1"/>
  <c r="P194" i="17" s="1"/>
  <c r="P80" i="17" a="1"/>
  <c r="P80" i="17"/>
  <c r="P81" i="17" a="1"/>
  <c r="P81" i="17"/>
  <c r="P82" i="17" a="1"/>
  <c r="P82" i="17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/>
  <c r="P99" i="17" a="1"/>
  <c r="P99" i="17" s="1"/>
  <c r="P100" i="17" a="1"/>
  <c r="P100" i="17" s="1"/>
  <c r="P101" i="17" a="1"/>
  <c r="P101" i="17" s="1"/>
  <c r="P102" i="17" a="1"/>
  <c r="P102" i="17"/>
  <c r="P103" i="17" a="1"/>
  <c r="P103" i="17"/>
  <c r="P198" i="17" a="1"/>
  <c r="P198" i="17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/>
  <c r="P109" i="17" a="1"/>
  <c r="P109" i="17"/>
  <c r="P199" i="17" a="1"/>
  <c r="P199" i="17"/>
  <c r="P110" i="17" a="1"/>
  <c r="P110" i="17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/>
  <c r="P130" i="17" a="1"/>
  <c r="P130" i="17" s="1"/>
  <c r="P131" i="17" a="1"/>
  <c r="P131" i="17" s="1"/>
  <c r="P132" i="17" a="1"/>
  <c r="P132" i="17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/>
  <c r="P210" i="17" a="1"/>
  <c r="P210" i="17" s="1"/>
  <c r="P176" i="17" a="1"/>
  <c r="P176" i="17" s="1"/>
  <c r="P177" i="17" a="1"/>
  <c r="P177" i="17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 s="1"/>
  <c r="R11" i="17" a="1"/>
  <c r="R11" i="17"/>
  <c r="R12" i="17" a="1"/>
  <c r="R12" i="17"/>
  <c r="R13" i="17" a="1"/>
  <c r="R13" i="17"/>
  <c r="R183" i="17" a="1"/>
  <c r="R183" i="17" s="1"/>
  <c r="R14" i="17" a="1"/>
  <c r="R14" i="17" s="1"/>
  <c r="R15" i="17" a="1"/>
  <c r="R15" i="17" s="1"/>
  <c r="R16" i="17" a="1"/>
  <c r="R16" i="17" s="1"/>
  <c r="R18" i="17" a="1"/>
  <c r="R18" i="17" s="1"/>
  <c r="R19" i="17" a="1"/>
  <c r="R19" i="17" s="1"/>
  <c r="R184" i="17" a="1"/>
  <c r="R184" i="17" s="1"/>
  <c r="R20" i="17" a="1"/>
  <c r="R20" i="17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85" i="17" a="1"/>
  <c r="R18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38" i="17" a="1"/>
  <c r="R38" i="17" s="1"/>
  <c r="R39" i="17" a="1"/>
  <c r="R39" i="17" s="1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5" i="17" a="1"/>
  <c r="R55" i="17" s="1"/>
  <c r="R190" i="17" a="1"/>
  <c r="R190" i="17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91" i="17" a="1"/>
  <c r="R191" i="17" s="1"/>
  <c r="R62" i="17" a="1"/>
  <c r="R62" i="17" s="1"/>
  <c r="R63" i="17" a="1"/>
  <c r="R63" i="17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/>
  <c r="R111" i="17" a="1"/>
  <c r="R111" i="17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/>
  <c r="R148" i="17" a="1"/>
  <c r="R148" i="17" s="1"/>
  <c r="R149" i="17" a="1"/>
  <c r="R149" i="17" s="1"/>
  <c r="R150" i="17" a="1"/>
  <c r="R150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/>
  <c r="S182" i="17" a="1"/>
  <c r="S182" i="17" s="1"/>
  <c r="S8" i="17" a="1"/>
  <c r="S8" i="17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32" i="17" a="1"/>
  <c r="S32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/>
  <c r="S38" i="17" a="1"/>
  <c r="S38" i="17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/>
  <c r="S124" i="17" a="1"/>
  <c r="S124" i="17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/>
  <c r="S129" i="17" a="1"/>
  <c r="S129" i="17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/>
  <c r="S155" i="17" a="1"/>
  <c r="S155" i="17"/>
  <c r="S156" i="17" a="1"/>
  <c r="S156" i="17" s="1"/>
  <c r="S157" i="17" a="1"/>
  <c r="S157" i="17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 s="1"/>
  <c r="T3" i="17" a="1"/>
  <c r="T3" i="17" s="1"/>
  <c r="T4" i="17" a="1"/>
  <c r="T4" i="17"/>
  <c r="T5" i="17" a="1"/>
  <c r="T5" i="17" s="1"/>
  <c r="T6" i="17" a="1"/>
  <c r="T6" i="17" s="1"/>
  <c r="T7" i="17" a="1"/>
  <c r="T7" i="17" s="1"/>
  <c r="T182" i="17" a="1"/>
  <c r="T182" i="17" s="1"/>
  <c r="T8" i="17" a="1"/>
  <c r="T8" i="17"/>
  <c r="T9" i="17" a="1"/>
  <c r="T9" i="17" s="1"/>
  <c r="T10" i="17" a="1"/>
  <c r="T10" i="17" s="1"/>
  <c r="T11" i="17" a="1"/>
  <c r="T11" i="17" s="1"/>
  <c r="T12" i="17" a="1"/>
  <c r="T12" i="17" s="1"/>
  <c r="T13" i="17" a="1"/>
  <c r="T13" i="17"/>
  <c r="T183" i="17" a="1"/>
  <c r="T183" i="17"/>
  <c r="T14" i="17" a="1"/>
  <c r="T14" i="17" s="1"/>
  <c r="T15" i="17" a="1"/>
  <c r="T15" i="17" s="1"/>
  <c r="T16" i="17" a="1"/>
  <c r="T16" i="17"/>
  <c r="T17" i="17" a="1"/>
  <c r="T17" i="17" s="1"/>
  <c r="T18" i="17" a="1"/>
  <c r="T18" i="17" s="1"/>
  <c r="T19" i="17" a="1"/>
  <c r="T19" i="17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/>
  <c r="T46" i="17" a="1"/>
  <c r="T46" i="17" s="1"/>
  <c r="T47" i="17" a="1"/>
  <c r="T47" i="17" s="1"/>
  <c r="T48" i="17" a="1"/>
  <c r="T48" i="17" s="1"/>
  <c r="T49" i="17" a="1"/>
  <c r="T49" i="17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 s="1"/>
  <c r="U83" i="17" a="1"/>
  <c r="U83" i="17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/>
  <c r="U96" i="17" a="1"/>
  <c r="U96" i="17" s="1"/>
  <c r="U97" i="17" a="1"/>
  <c r="U97" i="17" s="1"/>
  <c r="U197" i="17" a="1"/>
  <c r="U197" i="17" s="1"/>
  <c r="U98" i="17" a="1"/>
  <c r="U98" i="17" s="1"/>
  <c r="U99" i="17" a="1"/>
  <c r="U99" i="17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/>
  <c r="U114" i="17" a="1"/>
  <c r="U114" i="17" s="1"/>
  <c r="U115" i="17" a="1"/>
  <c r="U115" i="17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/>
  <c r="U136" i="17" a="1"/>
  <c r="U136" i="17"/>
  <c r="U137" i="17" a="1"/>
  <c r="U137" i="17" s="1"/>
  <c r="U138" i="17" a="1"/>
  <c r="U138" i="17" s="1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 s="1"/>
  <c r="U143" i="17" a="1"/>
  <c r="U143" i="17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 s="1"/>
  <c r="U161" i="17" a="1"/>
  <c r="U161" i="17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/>
  <c r="U167" i="17" a="1"/>
  <c r="U167" i="17" s="1"/>
  <c r="U168" i="17" a="1"/>
  <c r="U168" i="17" s="1"/>
  <c r="U169" i="17" a="1"/>
  <c r="U169" i="17" s="1"/>
  <c r="U209" i="17" a="1"/>
  <c r="U209" i="17" s="1"/>
  <c r="U170" i="17" a="1"/>
  <c r="U170" i="17" s="1"/>
  <c r="U171" i="17" a="1"/>
  <c r="U171" i="17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/>
  <c r="V17" i="17" a="1"/>
  <c r="V17" i="17" s="1"/>
  <c r="V18" i="17" a="1"/>
  <c r="V18" i="17" s="1"/>
  <c r="V19" i="17" a="1"/>
  <c r="V19" i="17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/>
  <c r="V42" i="17" a="1"/>
  <c r="V42" i="17" s="1"/>
  <c r="V43" i="17" a="1"/>
  <c r="V43" i="17" s="1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/>
  <c r="V125" i="17" a="1"/>
  <c r="V125" i="17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/>
  <c r="V163" i="17" a="1"/>
  <c r="V163" i="17" s="1"/>
  <c r="V208" i="17" a="1"/>
  <c r="V208" i="17" s="1"/>
  <c r="V164" i="17" a="1"/>
  <c r="V164" i="17"/>
  <c r="V165" i="17" a="1"/>
  <c r="V165" i="17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/>
  <c r="V181" i="17" a="1"/>
  <c r="V181" i="17" s="1"/>
  <c r="V211" i="17" a="1"/>
  <c r="V211" i="17" s="1"/>
  <c r="X2" i="17" a="1"/>
  <c r="X2" i="17" s="1"/>
  <c r="Y2" i="17" s="1"/>
  <c r="X3" i="17" a="1"/>
  <c r="X3" i="17" s="1"/>
  <c r="X4" i="17" a="1"/>
  <c r="X4" i="17" s="1"/>
  <c r="Y4" i="17" s="1"/>
  <c r="X5" i="17" a="1"/>
  <c r="X5" i="17"/>
  <c r="X6" i="17" a="1"/>
  <c r="X6" i="17" s="1"/>
  <c r="Y6" i="17" s="1"/>
  <c r="Q6" i="17" s="1"/>
  <c r="W6" i="17" s="1"/>
  <c r="X7" i="17" a="1"/>
  <c r="X7" i="17" s="1"/>
  <c r="Y7" i="17" s="1"/>
  <c r="X182" i="17" a="1"/>
  <c r="X182" i="17" s="1"/>
  <c r="Y182" i="17" s="1"/>
  <c r="Q182" i="17" s="1"/>
  <c r="W182" i="17" s="1"/>
  <c r="X8" i="17" a="1"/>
  <c r="X8" i="17" s="1"/>
  <c r="X9" i="17" a="1"/>
  <c r="X9" i="17" s="1"/>
  <c r="Y9" i="17" s="1"/>
  <c r="X10" i="17" a="1"/>
  <c r="X10" i="17" s="1"/>
  <c r="Y10" i="17" s="1"/>
  <c r="X11" i="17" a="1"/>
  <c r="X11" i="17" s="1"/>
  <c r="X12" i="17" a="1"/>
  <c r="X12" i="17" s="1"/>
  <c r="X13" i="17" a="1"/>
  <c r="X13" i="17" s="1"/>
  <c r="Y13" i="17" s="1"/>
  <c r="X183" i="17" a="1"/>
  <c r="X183" i="17" s="1"/>
  <c r="Y183" i="17" s="1"/>
  <c r="X14" i="17" a="1"/>
  <c r="X14" i="17"/>
  <c r="Y14" i="17" s="1"/>
  <c r="X15" i="17" a="1"/>
  <c r="X15" i="17" s="1"/>
  <c r="X16" i="17" a="1"/>
  <c r="X16" i="17" s="1"/>
  <c r="Y16" i="17" s="1"/>
  <c r="X17" i="17" a="1"/>
  <c r="X17" i="17" s="1"/>
  <c r="X18" i="17" a="1"/>
  <c r="X18" i="17" s="1"/>
  <c r="Y18" i="17" s="1"/>
  <c r="X19" i="17" a="1"/>
  <c r="X19" i="17" s="1"/>
  <c r="Y19" i="17" s="1"/>
  <c r="X184" i="17" a="1"/>
  <c r="X184" i="17" s="1"/>
  <c r="Y184" i="17" s="1"/>
  <c r="X20" i="17" a="1"/>
  <c r="X20" i="17" s="1"/>
  <c r="Y20" i="17" s="1"/>
  <c r="X21" i="17" a="1"/>
  <c r="X21" i="17" s="1"/>
  <c r="X22" i="17" a="1"/>
  <c r="X22" i="17"/>
  <c r="X23" i="17" a="1"/>
  <c r="X23" i="17" s="1"/>
  <c r="Y23" i="17" s="1"/>
  <c r="X24" i="17" a="1"/>
  <c r="X24" i="17" s="1"/>
  <c r="Y24" i="17" s="1"/>
  <c r="X25" i="17" a="1"/>
  <c r="X25" i="17" s="1"/>
  <c r="Y25" i="17" s="1"/>
  <c r="X185" i="17" a="1"/>
  <c r="X185" i="17" s="1"/>
  <c r="X26" i="17" a="1"/>
  <c r="X26" i="17"/>
  <c r="X27" i="17" a="1"/>
  <c r="X27" i="17" s="1"/>
  <c r="Y27" i="17" s="1"/>
  <c r="X28" i="17" a="1"/>
  <c r="X28" i="17" s="1"/>
  <c r="Y28" i="17" s="1"/>
  <c r="X29" i="17" a="1"/>
  <c r="X29" i="17" s="1"/>
  <c r="X30" i="17" a="1"/>
  <c r="X30" i="17" s="1"/>
  <c r="Y30" i="17" s="1"/>
  <c r="X31" i="17" a="1"/>
  <c r="X31" i="17" s="1"/>
  <c r="Y31" i="17" s="1"/>
  <c r="X186" i="17" a="1"/>
  <c r="X186" i="17" s="1"/>
  <c r="X32" i="17" a="1"/>
  <c r="X32" i="17" s="1"/>
  <c r="X33" i="17" a="1"/>
  <c r="X33" i="17" s="1"/>
  <c r="X34" i="17" a="1"/>
  <c r="X34" i="17" s="1"/>
  <c r="Y34" i="17" s="1"/>
  <c r="Q34" i="17" s="1"/>
  <c r="X35" i="17" a="1"/>
  <c r="X35" i="17" s="1"/>
  <c r="X36" i="17" a="1"/>
  <c r="X36" i="17" s="1"/>
  <c r="Y36" i="17" s="1"/>
  <c r="X37" i="17" a="1"/>
  <c r="X37" i="17" s="1"/>
  <c r="Y37" i="17" s="1"/>
  <c r="X187" i="17" a="1"/>
  <c r="X187" i="17" s="1"/>
  <c r="Y187" i="17" s="1"/>
  <c r="X38" i="17" a="1"/>
  <c r="X38" i="17" s="1"/>
  <c r="X39" i="17" a="1"/>
  <c r="X39" i="17" s="1"/>
  <c r="X40" i="17" a="1"/>
  <c r="X40" i="17" s="1"/>
  <c r="Y40" i="17" s="1"/>
  <c r="X41" i="17" a="1"/>
  <c r="X41" i="17"/>
  <c r="X42" i="17" a="1"/>
  <c r="X42" i="17" s="1"/>
  <c r="Y42" i="17" s="1"/>
  <c r="X43" i="17" a="1"/>
  <c r="X43" i="17" s="1"/>
  <c r="X188" i="17" a="1"/>
  <c r="X188" i="17" s="1"/>
  <c r="Y188" i="17" s="1"/>
  <c r="X44" i="17" a="1"/>
  <c r="X44" i="17" s="1"/>
  <c r="X45" i="17" a="1"/>
  <c r="X45" i="17" s="1"/>
  <c r="Y45" i="17" s="1"/>
  <c r="X46" i="17" a="1"/>
  <c r="X46" i="17" s="1"/>
  <c r="X47" i="17" a="1"/>
  <c r="X47" i="17" s="1"/>
  <c r="Y47" i="17" s="1"/>
  <c r="Q47" i="17" s="1"/>
  <c r="W47" i="17" s="1"/>
  <c r="X48" i="17" a="1"/>
  <c r="X48" i="17" s="1"/>
  <c r="Y48" i="17" s="1"/>
  <c r="X49" i="17" a="1"/>
  <c r="X49" i="17" s="1"/>
  <c r="Y49" i="17" s="1"/>
  <c r="X189" i="17" a="1"/>
  <c r="X189" i="17" s="1"/>
  <c r="X50" i="17" a="1"/>
  <c r="X50" i="17" s="1"/>
  <c r="Y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54" i="17" a="1"/>
  <c r="X54" i="17" s="1"/>
  <c r="Y54" i="17" s="1"/>
  <c r="X55" i="17" a="1"/>
  <c r="X55" i="17" s="1"/>
  <c r="Y55" i="17" s="1"/>
  <c r="X190" i="17" a="1"/>
  <c r="X190" i="17" s="1"/>
  <c r="Y190" i="17" s="1"/>
  <c r="X56" i="17" a="1"/>
  <c r="X56" i="17" s="1"/>
  <c r="X57" i="17" a="1"/>
  <c r="X57" i="17" s="1"/>
  <c r="X58" i="17" a="1"/>
  <c r="X58" i="17" s="1"/>
  <c r="X59" i="17" a="1"/>
  <c r="X59" i="17" s="1"/>
  <c r="Y59" i="17" s="1"/>
  <c r="X60" i="17" a="1"/>
  <c r="X60" i="17" s="1"/>
  <c r="Y60" i="17" s="1"/>
  <c r="X61" i="17" a="1"/>
  <c r="X61" i="17" s="1"/>
  <c r="Y61" i="17" s="1"/>
  <c r="Q61" i="17" s="1"/>
  <c r="W61" i="17" s="1"/>
  <c r="X191" i="17" a="1"/>
  <c r="X191" i="17" s="1"/>
  <c r="X62" i="17" a="1"/>
  <c r="X62" i="17" s="1"/>
  <c r="X63" i="17" a="1"/>
  <c r="X63" i="17" s="1"/>
  <c r="X64" i="17" a="1"/>
  <c r="X64" i="17" s="1"/>
  <c r="Y64" i="17" s="1"/>
  <c r="X65" i="17" a="1"/>
  <c r="X65" i="17" s="1"/>
  <c r="Y65" i="17" s="1"/>
  <c r="X66" i="17" a="1"/>
  <c r="X66" i="17" s="1"/>
  <c r="X67" i="17" a="1"/>
  <c r="X67" i="17" s="1"/>
  <c r="Y67" i="17" s="1"/>
  <c r="X192" i="17" a="1"/>
  <c r="X192" i="17" s="1"/>
  <c r="X68" i="17" a="1"/>
  <c r="X68" i="17" s="1"/>
  <c r="Y68" i="17" s="1"/>
  <c r="X69" i="17" a="1"/>
  <c r="X69" i="17" s="1"/>
  <c r="Y69" i="17" s="1"/>
  <c r="X70" i="17" a="1"/>
  <c r="X70" i="17" s="1"/>
  <c r="Y70" i="17" s="1"/>
  <c r="X71" i="17" a="1"/>
  <c r="X71" i="17" s="1"/>
  <c r="X72" i="17" a="1"/>
  <c r="X72" i="17" s="1"/>
  <c r="X73" i="17" a="1"/>
  <c r="X73" i="17" s="1"/>
  <c r="Y73" i="17" s="1"/>
  <c r="X193" i="17" a="1"/>
  <c r="X193" i="17" s="1"/>
  <c r="X74" i="17" a="1"/>
  <c r="X74" i="17" s="1"/>
  <c r="Y74" i="17" s="1"/>
  <c r="X75" i="17" a="1"/>
  <c r="X75" i="17" s="1"/>
  <c r="Y75" i="17" s="1"/>
  <c r="X76" i="17" a="1"/>
  <c r="X76" i="17" s="1"/>
  <c r="X77" i="17" a="1"/>
  <c r="X77" i="17" s="1"/>
  <c r="Y77" i="17" s="1"/>
  <c r="X78" i="17" a="1"/>
  <c r="X78" i="17" s="1"/>
  <c r="Y78" i="17" s="1"/>
  <c r="X79" i="17" a="1"/>
  <c r="X79" i="17" s="1"/>
  <c r="Y79" i="17" s="1"/>
  <c r="X194" i="17" a="1"/>
  <c r="X194" i="17" s="1"/>
  <c r="Y194" i="17" s="1"/>
  <c r="X80" i="17" a="1"/>
  <c r="X80" i="17" s="1"/>
  <c r="Y80" i="17" s="1"/>
  <c r="X81" i="17" a="1"/>
  <c r="X81" i="17" s="1"/>
  <c r="Y81" i="17" s="1"/>
  <c r="X82" i="17" a="1"/>
  <c r="X82" i="17" s="1"/>
  <c r="Y82" i="17" s="1"/>
  <c r="X83" i="17" a="1"/>
  <c r="X83" i="17" s="1"/>
  <c r="Y83" i="17" s="1"/>
  <c r="X84" i="17" a="1"/>
  <c r="X84" i="17" s="1"/>
  <c r="Y84" i="17" s="1"/>
  <c r="X85" i="17" a="1"/>
  <c r="X85" i="17" s="1"/>
  <c r="X195" i="17" a="1"/>
  <c r="X195" i="17" s="1"/>
  <c r="X86" i="17" a="1"/>
  <c r="X86" i="17" s="1"/>
  <c r="X87" i="17" a="1"/>
  <c r="X87" i="17" s="1"/>
  <c r="X88" i="17" a="1"/>
  <c r="X88" i="17" s="1"/>
  <c r="X89" i="17" a="1"/>
  <c r="X89" i="17" s="1"/>
  <c r="Y89" i="17" s="1"/>
  <c r="Q89" i="17" s="1"/>
  <c r="X90" i="17" a="1"/>
  <c r="X90" i="17" s="1"/>
  <c r="Y90" i="17" s="1"/>
  <c r="X91" i="17" a="1"/>
  <c r="X91" i="17" s="1"/>
  <c r="X196" i="17" a="1"/>
  <c r="X196" i="17" s="1"/>
  <c r="Y196" i="17" s="1"/>
  <c r="X92" i="17" a="1"/>
  <c r="X92" i="17" s="1"/>
  <c r="Y92" i="17" s="1"/>
  <c r="X93" i="17" a="1"/>
  <c r="X93" i="17" s="1"/>
  <c r="X94" i="17" a="1"/>
  <c r="X94" i="17" s="1"/>
  <c r="X95" i="17" a="1"/>
  <c r="X95" i="17" s="1"/>
  <c r="Y95" i="17" s="1"/>
  <c r="X96" i="17" a="1"/>
  <c r="X96" i="17" s="1"/>
  <c r="Y96" i="17" s="1"/>
  <c r="X97" i="17" a="1"/>
  <c r="X97" i="17" s="1"/>
  <c r="Y97" i="17" s="1"/>
  <c r="X197" i="17" a="1"/>
  <c r="X197" i="17" s="1"/>
  <c r="X98" i="17" a="1"/>
  <c r="X98" i="17" s="1"/>
  <c r="Y98" i="17" s="1"/>
  <c r="Q98" i="17" s="1"/>
  <c r="W98" i="17" s="1"/>
  <c r="X99" i="17" a="1"/>
  <c r="X99" i="17" s="1"/>
  <c r="X100" i="17" a="1"/>
  <c r="X100" i="17" s="1"/>
  <c r="Y100" i="17" s="1"/>
  <c r="X101" i="17" a="1"/>
  <c r="X101" i="17" s="1"/>
  <c r="X102" i="17" a="1"/>
  <c r="X102" i="17" s="1"/>
  <c r="Y102" i="17" s="1"/>
  <c r="X103" i="17" a="1"/>
  <c r="X103" i="17" s="1"/>
  <c r="Y103" i="17" s="1"/>
  <c r="X198" i="17" a="1"/>
  <c r="X198" i="17" s="1"/>
  <c r="X104" i="17" a="1"/>
  <c r="X104" i="17" s="1"/>
  <c r="Y104" i="17" s="1"/>
  <c r="X105" i="17" a="1"/>
  <c r="X105" i="17" s="1"/>
  <c r="Y105" i="17" s="1"/>
  <c r="Q105" i="17" s="1"/>
  <c r="W105" i="17" s="1"/>
  <c r="X106" i="17" a="1"/>
  <c r="X106" i="17" s="1"/>
  <c r="Y106" i="17" s="1"/>
  <c r="X107" i="17" a="1"/>
  <c r="X107" i="17" s="1"/>
  <c r="Y107" i="17" s="1"/>
  <c r="X108" i="17" a="1"/>
  <c r="X108" i="17" s="1"/>
  <c r="Y108" i="17" s="1"/>
  <c r="Q108" i="17" s="1"/>
  <c r="W108" i="17" s="1"/>
  <c r="X109" i="17" a="1"/>
  <c r="X109" i="17" s="1"/>
  <c r="Y109" i="17" s="1"/>
  <c r="Q109" i="17" s="1"/>
  <c r="W109" i="17" s="1"/>
  <c r="X199" i="17" a="1"/>
  <c r="X199" i="17" s="1"/>
  <c r="Y199" i="17" s="1"/>
  <c r="Q199" i="17" s="1"/>
  <c r="W199" i="17" s="1"/>
  <c r="X110" i="17" a="1"/>
  <c r="X110" i="17" s="1"/>
  <c r="Y110" i="17" s="1"/>
  <c r="Q110" i="17" s="1"/>
  <c r="W110" i="17" s="1"/>
  <c r="X111" i="17" a="1"/>
  <c r="X111" i="17" s="1"/>
  <c r="X112" i="17" a="1"/>
  <c r="X112" i="17" s="1"/>
  <c r="Y112" i="17" s="1"/>
  <c r="X113" i="17" a="1"/>
  <c r="X113" i="17" s="1"/>
  <c r="X114" i="17" a="1"/>
  <c r="X114" i="17" s="1"/>
  <c r="Y114" i="17" s="1"/>
  <c r="X115" i="17" a="1"/>
  <c r="X115" i="17" s="1"/>
  <c r="Y115" i="17" s="1"/>
  <c r="X200" i="17" a="1"/>
  <c r="X200" i="17" s="1"/>
  <c r="X116" i="17" a="1"/>
  <c r="X116" i="17" s="1"/>
  <c r="Y116" i="17" s="1"/>
  <c r="X117" i="17" a="1"/>
  <c r="X117" i="17" s="1"/>
  <c r="Y117" i="17" s="1"/>
  <c r="X118" i="17" a="1"/>
  <c r="X118" i="17" s="1"/>
  <c r="Y118" i="17" s="1"/>
  <c r="X119" i="17" a="1"/>
  <c r="X119" i="17" s="1"/>
  <c r="Y119" i="17" s="1"/>
  <c r="X120" i="17" a="1"/>
  <c r="X120" i="17" s="1"/>
  <c r="Y120" i="17" s="1"/>
  <c r="X121" i="17" a="1"/>
  <c r="X121" i="17" s="1"/>
  <c r="Y121" i="17" s="1"/>
  <c r="X201" i="17" a="1"/>
  <c r="X201" i="17" s="1"/>
  <c r="Y201" i="17" s="1"/>
  <c r="X122" i="17" a="1"/>
  <c r="X122" i="17" s="1"/>
  <c r="X123" i="17" a="1"/>
  <c r="X123" i="17" s="1"/>
  <c r="Y123" i="17" s="1"/>
  <c r="X124" i="17" a="1"/>
  <c r="X124" i="17" s="1"/>
  <c r="Y124" i="17" s="1"/>
  <c r="X125" i="17" a="1"/>
  <c r="X125" i="17" s="1"/>
  <c r="Y125" i="17" s="1"/>
  <c r="X126" i="17" a="1"/>
  <c r="X126" i="17" s="1"/>
  <c r="X127" i="17" a="1"/>
  <c r="X127" i="17" s="1"/>
  <c r="X202" i="17" a="1"/>
  <c r="X202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Y130" i="17" s="1"/>
  <c r="Q130" i="17" s="1"/>
  <c r="W130" i="17" s="1"/>
  <c r="X131" i="17" a="1"/>
  <c r="X131" i="17" s="1"/>
  <c r="X132" i="17" a="1"/>
  <c r="X132" i="17" s="1"/>
  <c r="X133" i="17" a="1"/>
  <c r="X133" i="17" s="1"/>
  <c r="Y133" i="17" s="1"/>
  <c r="Q133" i="17" s="1"/>
  <c r="W133" i="17" s="1"/>
  <c r="X203" i="17" a="1"/>
  <c r="X203" i="17" s="1"/>
  <c r="Y203" i="17" s="1"/>
  <c r="Q203" i="17" s="1"/>
  <c r="W203" i="17" s="1"/>
  <c r="X134" i="17" a="1"/>
  <c r="X134" i="17" s="1"/>
  <c r="Y134" i="17" s="1"/>
  <c r="X135" i="17" a="1"/>
  <c r="X135" i="17" s="1"/>
  <c r="Y135" i="17" s="1"/>
  <c r="Q135" i="17" s="1"/>
  <c r="W135" i="17" s="1"/>
  <c r="X136" i="17" a="1"/>
  <c r="X136" i="17" s="1"/>
  <c r="Y136" i="17" s="1"/>
  <c r="Q136" i="17" s="1"/>
  <c r="W136" i="17" s="1"/>
  <c r="X137" i="17" a="1"/>
  <c r="X137" i="17" s="1"/>
  <c r="Y137" i="17" s="1"/>
  <c r="X138" i="17" a="1"/>
  <c r="X138" i="17" s="1"/>
  <c r="Y138" i="17" s="1"/>
  <c r="X139" i="17" a="1"/>
  <c r="X139" i="17" s="1"/>
  <c r="Y139" i="17" s="1"/>
  <c r="X204" i="17" a="1"/>
  <c r="X204" i="17" s="1"/>
  <c r="Y204" i="17" s="1"/>
  <c r="Q204" i="17" s="1"/>
  <c r="W204" i="17" s="1"/>
  <c r="X140" i="17" a="1"/>
  <c r="X140" i="17" s="1"/>
  <c r="Y140" i="17" s="1"/>
  <c r="Q140" i="17" s="1"/>
  <c r="W140" i="17" s="1"/>
  <c r="X141" i="17" a="1"/>
  <c r="X141" i="17" s="1"/>
  <c r="X142" i="17" a="1"/>
  <c r="X142" i="17" s="1"/>
  <c r="Y142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X205" i="17" a="1"/>
  <c r="X205" i="17" s="1"/>
  <c r="X146" i="17" a="1"/>
  <c r="X146" i="17" s="1"/>
  <c r="Y146" i="17" s="1"/>
  <c r="X147" i="17" a="1"/>
  <c r="X147" i="17" s="1"/>
  <c r="Y147" i="17" s="1"/>
  <c r="X148" i="17" a="1"/>
  <c r="X148" i="17" s="1"/>
  <c r="X149" i="17" a="1"/>
  <c r="X149" i="17" s="1"/>
  <c r="X150" i="17" a="1"/>
  <c r="X150" i="17" s="1"/>
  <c r="Y150" i="17" s="1"/>
  <c r="X151" i="17" a="1"/>
  <c r="X151" i="17" s="1"/>
  <c r="Y151" i="17" s="1"/>
  <c r="X206" i="17" a="1"/>
  <c r="X206" i="17" s="1"/>
  <c r="Y206" i="17" s="1"/>
  <c r="X152" i="17" a="1"/>
  <c r="X152" i="17" s="1"/>
  <c r="Y152" i="17" s="1"/>
  <c r="Q152" i="17" s="1"/>
  <c r="W152" i="17" s="1"/>
  <c r="X153" i="17" a="1"/>
  <c r="X153" i="17" s="1"/>
  <c r="X154" i="17" a="1"/>
  <c r="X154" i="17" s="1"/>
  <c r="X155" i="17" a="1"/>
  <c r="X155" i="17" s="1"/>
  <c r="Y155" i="17" s="1"/>
  <c r="X156" i="17" a="1"/>
  <c r="X156" i="17" s="1"/>
  <c r="Y156" i="17" s="1"/>
  <c r="X157" i="17" a="1"/>
  <c r="X157" i="17" s="1"/>
  <c r="Y157" i="17" s="1"/>
  <c r="Q157" i="17" s="1"/>
  <c r="W157" i="17" s="1"/>
  <c r="X207" i="17" a="1"/>
  <c r="X207" i="17" s="1"/>
  <c r="X158" i="17" a="1"/>
  <c r="X158" i="17" s="1"/>
  <c r="Y158" i="17" s="1"/>
  <c r="X159" i="17" a="1"/>
  <c r="X159" i="17" s="1"/>
  <c r="Y159" i="17" s="1"/>
  <c r="X160" i="17" a="1"/>
  <c r="X160" i="17" s="1"/>
  <c r="Y160" i="17" s="1"/>
  <c r="Q160" i="17" s="1"/>
  <c r="W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X208" i="17" a="1"/>
  <c r="X208" i="17" s="1"/>
  <c r="X164" i="17" a="1"/>
  <c r="X164" i="17" s="1"/>
  <c r="X165" i="17" a="1"/>
  <c r="X165" i="17" s="1"/>
  <c r="Y165" i="17" s="1"/>
  <c r="X166" i="17" a="1"/>
  <c r="X166" i="17" s="1"/>
  <c r="X167" i="17" a="1"/>
  <c r="X167" i="17" s="1"/>
  <c r="Y167" i="17" s="1"/>
  <c r="X168" i="17" a="1"/>
  <c r="X168" i="17" s="1"/>
  <c r="Y168" i="17" s="1"/>
  <c r="Q168" i="17" s="1"/>
  <c r="W168" i="17" s="1"/>
  <c r="X169" i="17" a="1"/>
  <c r="X169" i="17" s="1"/>
  <c r="Y169" i="17" s="1"/>
  <c r="X209" i="17" a="1"/>
  <c r="X209" i="17" s="1"/>
  <c r="X170" i="17" a="1"/>
  <c r="X170" i="17" s="1"/>
  <c r="Y170" i="17" s="1"/>
  <c r="X171" i="17" a="1"/>
  <c r="X171" i="17" s="1"/>
  <c r="X172" i="17" a="1"/>
  <c r="X172" i="17" s="1"/>
  <c r="Y172" i="17" s="1"/>
  <c r="X173" i="17" a="1"/>
  <c r="X173" i="17" s="1"/>
  <c r="X174" i="17" a="1"/>
  <c r="X174" i="17" s="1"/>
  <c r="Y174" i="17" s="1"/>
  <c r="Q174" i="17" s="1"/>
  <c r="W174" i="17" s="1"/>
  <c r="X175" i="17" a="1"/>
  <c r="X175" i="17" s="1"/>
  <c r="Y175" i="17" s="1"/>
  <c r="X210" i="17" a="1"/>
  <c r="X210" i="17" s="1"/>
  <c r="Y210" i="17" s="1"/>
  <c r="Q210" i="17" s="1"/>
  <c r="W210" i="17" s="1"/>
  <c r="X176" i="17" a="1"/>
  <c r="X176" i="17" s="1"/>
  <c r="Y176" i="17" s="1"/>
  <c r="Q176" i="17" s="1"/>
  <c r="W176" i="17" s="1"/>
  <c r="X177" i="17" a="1"/>
  <c r="X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211" i="17" a="1"/>
  <c r="X211" i="17" s="1"/>
  <c r="Y26" i="17"/>
  <c r="Y38" i="17"/>
  <c r="G2" i="16"/>
  <c r="P143" i="20" l="1" a="1"/>
  <c r="P143" i="20" s="1"/>
  <c r="P141" i="20" a="1"/>
  <c r="P141" i="20" s="1"/>
  <c r="P140" i="20" a="1"/>
  <c r="P140" i="20" s="1"/>
  <c r="P139" i="20" a="1"/>
  <c r="P139" i="20" s="1"/>
  <c r="P130" i="20" a="1"/>
  <c r="P130" i="20" s="1"/>
  <c r="P126" i="20" a="1"/>
  <c r="P126" i="20" s="1"/>
  <c r="P112" i="20" a="1"/>
  <c r="P112" i="20" s="1"/>
  <c r="P109" i="20" a="1"/>
  <c r="P109" i="20" s="1"/>
  <c r="K129" i="20" a="1"/>
  <c r="K129" i="20" s="1"/>
  <c r="L129" i="20" a="1"/>
  <c r="L129" i="20" s="1"/>
  <c r="O129" i="20" a="1"/>
  <c r="O129" i="20" s="1"/>
  <c r="K97" i="20" a="1"/>
  <c r="K97" i="20" s="1"/>
  <c r="L97" i="20" a="1"/>
  <c r="L97" i="20" s="1"/>
  <c r="O97" i="20" a="1"/>
  <c r="O97" i="20" s="1"/>
  <c r="K65" i="20" a="1"/>
  <c r="K65" i="20" s="1"/>
  <c r="L65" i="20" a="1"/>
  <c r="L65" i="20" s="1"/>
  <c r="N65" i="20" s="1"/>
  <c r="O65" i="20" a="1"/>
  <c r="O65" i="20" s="1"/>
  <c r="K33" i="20" a="1"/>
  <c r="K33" i="20" s="1"/>
  <c r="K49" i="20" a="1"/>
  <c r="K49" i="20" s="1"/>
  <c r="K81" i="20" a="1"/>
  <c r="K81" i="20" s="1"/>
  <c r="K113" i="20" a="1"/>
  <c r="K113" i="20" s="1"/>
  <c r="K145" i="20" a="1"/>
  <c r="K145" i="20" s="1"/>
  <c r="L11" i="20" a="1"/>
  <c r="L11" i="20" s="1"/>
  <c r="L27" i="20" a="1"/>
  <c r="L27" i="20" s="1"/>
  <c r="N27" i="20" s="1"/>
  <c r="L43" i="20" a="1"/>
  <c r="L43" i="20" s="1"/>
  <c r="L59" i="20" a="1"/>
  <c r="L59" i="20" s="1"/>
  <c r="N59" i="20" s="1"/>
  <c r="L75" i="20" a="1"/>
  <c r="L75" i="20" s="1"/>
  <c r="L91" i="20" a="1"/>
  <c r="L91" i="20" s="1"/>
  <c r="N91" i="20" s="1"/>
  <c r="L107" i="20" a="1"/>
  <c r="L107" i="20" s="1"/>
  <c r="N107" i="20" s="1"/>
  <c r="L123" i="20" a="1"/>
  <c r="L123" i="20" s="1"/>
  <c r="N123" i="20" s="1"/>
  <c r="L139" i="20" a="1"/>
  <c r="L139" i="20" s="1"/>
  <c r="N139" i="20" s="1"/>
  <c r="O4" i="20" a="1"/>
  <c r="O4" i="20" s="1"/>
  <c r="O20" i="20" a="1"/>
  <c r="O20" i="20" s="1"/>
  <c r="K34" i="20" a="1"/>
  <c r="K34" i="20" s="1"/>
  <c r="K50" i="20" a="1"/>
  <c r="K50" i="20" s="1"/>
  <c r="K98" i="20" a="1"/>
  <c r="K98" i="20" s="1"/>
  <c r="K130" i="20" a="1"/>
  <c r="K130" i="20" s="1"/>
  <c r="L12" i="20" a="1"/>
  <c r="L12" i="20" s="1"/>
  <c r="L44" i="20" a="1"/>
  <c r="L44" i="20" s="1"/>
  <c r="L76" i="20" a="1"/>
  <c r="L76" i="20" s="1"/>
  <c r="L108" i="20" a="1"/>
  <c r="L108" i="20" s="1"/>
  <c r="L140" i="20" a="1"/>
  <c r="L140" i="20" s="1"/>
  <c r="O21" i="20" a="1"/>
  <c r="O21" i="20" s="1"/>
  <c r="O37" i="20" a="1"/>
  <c r="O37" i="20" s="1"/>
  <c r="O69" i="20" a="1"/>
  <c r="O69" i="20" s="1"/>
  <c r="O101" i="20" a="1"/>
  <c r="O101" i="20" s="1"/>
  <c r="O133" i="20" a="1"/>
  <c r="O133" i="20" s="1"/>
  <c r="P15" i="20" a="1"/>
  <c r="P15" i="20" s="1"/>
  <c r="P47" i="20" a="1"/>
  <c r="P47" i="20" s="1"/>
  <c r="P79" i="20" a="1"/>
  <c r="P79" i="20" s="1"/>
  <c r="K66" i="20" a="1"/>
  <c r="K66" i="20" s="1"/>
  <c r="K82" i="20" a="1"/>
  <c r="K82" i="20" s="1"/>
  <c r="K114" i="20" a="1"/>
  <c r="K114" i="20" s="1"/>
  <c r="K146" i="20" a="1"/>
  <c r="K146" i="20" s="1"/>
  <c r="L28" i="20" a="1"/>
  <c r="L28" i="20" s="1"/>
  <c r="L60" i="20" a="1"/>
  <c r="L60" i="20" s="1"/>
  <c r="L92" i="20" a="1"/>
  <c r="L92" i="20" s="1"/>
  <c r="L124" i="20" a="1"/>
  <c r="L124" i="20" s="1"/>
  <c r="O5" i="20" a="1"/>
  <c r="O5" i="20" s="1"/>
  <c r="O53" i="20" a="1"/>
  <c r="O53" i="20" s="1"/>
  <c r="O85" i="20" a="1"/>
  <c r="O85" i="20" s="1"/>
  <c r="O117" i="20" a="1"/>
  <c r="O117" i="20" s="1"/>
  <c r="O149" i="20" a="1"/>
  <c r="O149" i="20" s="1"/>
  <c r="P31" i="20" a="1"/>
  <c r="P31" i="20" s="1"/>
  <c r="P63" i="20" a="1"/>
  <c r="P63" i="20" s="1"/>
  <c r="P95" i="20" a="1"/>
  <c r="P95" i="20" s="1"/>
  <c r="K19" i="20" a="1"/>
  <c r="K19" i="20" s="1"/>
  <c r="K51" i="20" a="1"/>
  <c r="K51" i="20" s="1"/>
  <c r="K83" i="20" a="1"/>
  <c r="K83" i="20" s="1"/>
  <c r="K115" i="20" a="1"/>
  <c r="K115" i="20" s="1"/>
  <c r="K147" i="20" a="1"/>
  <c r="K147" i="20" s="1"/>
  <c r="L29" i="20" a="1"/>
  <c r="L29" i="20" s="1"/>
  <c r="L61" i="20" a="1"/>
  <c r="L61" i="20" s="1"/>
  <c r="L77" i="20" a="1"/>
  <c r="L77" i="20" s="1"/>
  <c r="L109" i="20" a="1"/>
  <c r="L109" i="20" s="1"/>
  <c r="L141" i="20" a="1"/>
  <c r="L141" i="20" s="1"/>
  <c r="O22" i="20" a="1"/>
  <c r="O22" i="20" s="1"/>
  <c r="O54" i="20" a="1"/>
  <c r="O54" i="20" s="1"/>
  <c r="O86" i="20" a="1"/>
  <c r="O86" i="20" s="1"/>
  <c r="O118" i="20" a="1"/>
  <c r="O118" i="20" s="1"/>
  <c r="O150" i="20" a="1"/>
  <c r="O150" i="20" s="1"/>
  <c r="P32" i="20" a="1"/>
  <c r="P32" i="20" s="1"/>
  <c r="P64" i="20" a="1"/>
  <c r="P64" i="20" s="1"/>
  <c r="K35" i="20" a="1"/>
  <c r="K35" i="20" s="1"/>
  <c r="K67" i="20" a="1"/>
  <c r="K67" i="20" s="1"/>
  <c r="K99" i="20" a="1"/>
  <c r="K99" i="20" s="1"/>
  <c r="K131" i="20" a="1"/>
  <c r="K131" i="20" s="1"/>
  <c r="L13" i="20" a="1"/>
  <c r="L13" i="20" s="1"/>
  <c r="L45" i="20" a="1"/>
  <c r="L45" i="20" s="1"/>
  <c r="L93" i="20" a="1"/>
  <c r="L93" i="20" s="1"/>
  <c r="N93" i="20" s="1"/>
  <c r="L125" i="20" a="1"/>
  <c r="L125" i="20" s="1"/>
  <c r="O6" i="20" a="1"/>
  <c r="O6" i="20" s="1"/>
  <c r="O38" i="20" a="1"/>
  <c r="O38" i="20" s="1"/>
  <c r="O70" i="20" a="1"/>
  <c r="O70" i="20" s="1"/>
  <c r="O102" i="20" a="1"/>
  <c r="O102" i="20" s="1"/>
  <c r="O134" i="20" a="1"/>
  <c r="O134" i="20" s="1"/>
  <c r="P16" i="20" a="1"/>
  <c r="P16" i="20" s="1"/>
  <c r="P48" i="20" a="1"/>
  <c r="P48" i="20" s="1"/>
  <c r="K20" i="20" a="1"/>
  <c r="K20" i="20" s="1"/>
  <c r="K52" i="20" a="1"/>
  <c r="K52" i="20" s="1"/>
  <c r="K84" i="20" a="1"/>
  <c r="K84" i="20" s="1"/>
  <c r="K116" i="20" a="1"/>
  <c r="K116" i="20" s="1"/>
  <c r="K148" i="20" a="1"/>
  <c r="K148" i="20" s="1"/>
  <c r="L30" i="20" a="1"/>
  <c r="L30" i="20" s="1"/>
  <c r="L62" i="20" a="1"/>
  <c r="L62" i="20" s="1"/>
  <c r="L94" i="20" a="1"/>
  <c r="L94" i="20" s="1"/>
  <c r="L126" i="20" a="1"/>
  <c r="L126" i="20" s="1"/>
  <c r="O7" i="20" a="1"/>
  <c r="O7" i="20" s="1"/>
  <c r="O39" i="20" a="1"/>
  <c r="O39" i="20" s="1"/>
  <c r="O71" i="20" a="1"/>
  <c r="O71" i="20" s="1"/>
  <c r="O103" i="20" a="1"/>
  <c r="O103" i="20" s="1"/>
  <c r="K4" i="20" a="1"/>
  <c r="K4" i="20" s="1"/>
  <c r="K36" i="20" a="1"/>
  <c r="K36" i="20" s="1"/>
  <c r="K68" i="20" a="1"/>
  <c r="K68" i="20" s="1"/>
  <c r="K100" i="20" a="1"/>
  <c r="K100" i="20" s="1"/>
  <c r="K132" i="20" a="1"/>
  <c r="K132" i="20" s="1"/>
  <c r="L14" i="20" a="1"/>
  <c r="L14" i="20" s="1"/>
  <c r="L46" i="20" a="1"/>
  <c r="L46" i="20" s="1"/>
  <c r="L78" i="20" a="1"/>
  <c r="L78" i="20" s="1"/>
  <c r="L110" i="20" a="1"/>
  <c r="L110" i="20" s="1"/>
  <c r="L142" i="20" a="1"/>
  <c r="L142" i="20" s="1"/>
  <c r="O23" i="20" a="1"/>
  <c r="O23" i="20" s="1"/>
  <c r="O55" i="20" a="1"/>
  <c r="O55" i="20" s="1"/>
  <c r="O87" i="20" a="1"/>
  <c r="O87" i="20" s="1"/>
  <c r="K21" i="20" a="1"/>
  <c r="K21" i="20" s="1"/>
  <c r="K37" i="20" a="1"/>
  <c r="K37" i="20" s="1"/>
  <c r="K69" i="20" a="1"/>
  <c r="K69" i="20" s="1"/>
  <c r="K101" i="20" a="1"/>
  <c r="K101" i="20" s="1"/>
  <c r="K133" i="20" a="1"/>
  <c r="K133" i="20" s="1"/>
  <c r="L15" i="20" a="1"/>
  <c r="L15" i="20" s="1"/>
  <c r="L47" i="20" a="1"/>
  <c r="L47" i="20" s="1"/>
  <c r="L79" i="20" a="1"/>
  <c r="L79" i="20" s="1"/>
  <c r="L111" i="20" a="1"/>
  <c r="L111" i="20" s="1"/>
  <c r="L143" i="20" a="1"/>
  <c r="L143" i="20" s="1"/>
  <c r="O24" i="20" a="1"/>
  <c r="O24" i="20" s="1"/>
  <c r="O56" i="20" a="1"/>
  <c r="O56" i="20" s="1"/>
  <c r="O88" i="20" a="1"/>
  <c r="O88" i="20" s="1"/>
  <c r="O120" i="20" a="1"/>
  <c r="O120" i="20" s="1"/>
  <c r="K5" i="20" a="1"/>
  <c r="K5" i="20" s="1"/>
  <c r="K53" i="20" a="1"/>
  <c r="K53" i="20" s="1"/>
  <c r="K85" i="20" a="1"/>
  <c r="K85" i="20" s="1"/>
  <c r="K117" i="20" a="1"/>
  <c r="K117" i="20" s="1"/>
  <c r="K149" i="20" a="1"/>
  <c r="K149" i="20" s="1"/>
  <c r="L31" i="20" a="1"/>
  <c r="L31" i="20" s="1"/>
  <c r="L63" i="20" a="1"/>
  <c r="L63" i="20" s="1"/>
  <c r="L95" i="20" a="1"/>
  <c r="L95" i="20" s="1"/>
  <c r="L127" i="20" a="1"/>
  <c r="L127" i="20" s="1"/>
  <c r="O8" i="20" a="1"/>
  <c r="O8" i="20" s="1"/>
  <c r="O40" i="20" a="1"/>
  <c r="O40" i="20" s="1"/>
  <c r="O72" i="20" a="1"/>
  <c r="O72" i="20" s="1"/>
  <c r="O104" i="20" a="1"/>
  <c r="O104" i="20" s="1"/>
  <c r="K22" i="20" a="1"/>
  <c r="K22" i="20" s="1"/>
  <c r="K54" i="20" a="1"/>
  <c r="K54" i="20" s="1"/>
  <c r="K86" i="20" a="1"/>
  <c r="K86" i="20" s="1"/>
  <c r="K118" i="20" a="1"/>
  <c r="K118" i="20" s="1"/>
  <c r="K150" i="20" a="1"/>
  <c r="K150" i="20" s="1"/>
  <c r="L32" i="20" a="1"/>
  <c r="L32" i="20" s="1"/>
  <c r="N32" i="20" s="1"/>
  <c r="L64" i="20" a="1"/>
  <c r="L64" i="20" s="1"/>
  <c r="N64" i="20" s="1"/>
  <c r="L96" i="20" a="1"/>
  <c r="L96" i="20" s="1"/>
  <c r="N96" i="20" s="1"/>
  <c r="L128" i="20" a="1"/>
  <c r="L128" i="20" s="1"/>
  <c r="N128" i="20" s="1"/>
  <c r="O9" i="20" a="1"/>
  <c r="O9" i="20" s="1"/>
  <c r="O41" i="20" a="1"/>
  <c r="O41" i="20" s="1"/>
  <c r="O57" i="20" a="1"/>
  <c r="O57" i="20" s="1"/>
  <c r="O89" i="20" a="1"/>
  <c r="O89" i="20" s="1"/>
  <c r="K6" i="20" a="1"/>
  <c r="K6" i="20" s="1"/>
  <c r="K38" i="20" a="1"/>
  <c r="K38" i="20" s="1"/>
  <c r="K70" i="20" a="1"/>
  <c r="K70" i="20" s="1"/>
  <c r="K102" i="20" a="1"/>
  <c r="K102" i="20" s="1"/>
  <c r="K134" i="20" a="1"/>
  <c r="K134" i="20" s="1"/>
  <c r="L16" i="20" a="1"/>
  <c r="L16" i="20" s="1"/>
  <c r="L48" i="20" a="1"/>
  <c r="L48" i="20" s="1"/>
  <c r="L80" i="20" a="1"/>
  <c r="L80" i="20" s="1"/>
  <c r="L112" i="20" a="1"/>
  <c r="L112" i="20" s="1"/>
  <c r="L144" i="20" a="1"/>
  <c r="L144" i="20" s="1"/>
  <c r="O25" i="20" a="1"/>
  <c r="O25" i="20" s="1"/>
  <c r="O73" i="20" a="1"/>
  <c r="O73" i="20" s="1"/>
  <c r="O105" i="20" a="1"/>
  <c r="O105" i="20" s="1"/>
  <c r="K23" i="20" a="1"/>
  <c r="K23" i="20" s="1"/>
  <c r="K55" i="20" a="1"/>
  <c r="K55" i="20" s="1"/>
  <c r="K87" i="20" a="1"/>
  <c r="K87" i="20" s="1"/>
  <c r="K119" i="20" a="1"/>
  <c r="K119" i="20" s="1"/>
  <c r="K151" i="20" a="1"/>
  <c r="K151" i="20" s="1"/>
  <c r="L33" i="20" a="1"/>
  <c r="L33" i="20" s="1"/>
  <c r="L49" i="20" a="1"/>
  <c r="L49" i="20" s="1"/>
  <c r="L113" i="20" a="1"/>
  <c r="L113" i="20" s="1"/>
  <c r="O10" i="20" a="1"/>
  <c r="O10" i="20" s="1"/>
  <c r="O42" i="20" a="1"/>
  <c r="O42" i="20" s="1"/>
  <c r="O74" i="20" a="1"/>
  <c r="O74" i="20" s="1"/>
  <c r="O106" i="20" a="1"/>
  <c r="O106" i="20" s="1"/>
  <c r="O138" i="20" a="1"/>
  <c r="O138" i="20" s="1"/>
  <c r="P20" i="20" a="1"/>
  <c r="P20" i="20" s="1"/>
  <c r="K7" i="20" a="1"/>
  <c r="K7" i="20" s="1"/>
  <c r="K39" i="20" a="1"/>
  <c r="K39" i="20" s="1"/>
  <c r="K71" i="20" a="1"/>
  <c r="K71" i="20" s="1"/>
  <c r="K103" i="20" a="1"/>
  <c r="K103" i="20" s="1"/>
  <c r="K135" i="20" a="1"/>
  <c r="K135" i="20" s="1"/>
  <c r="L17" i="20" a="1"/>
  <c r="L17" i="20" s="1"/>
  <c r="L81" i="20" a="1"/>
  <c r="L81" i="20" s="1"/>
  <c r="L145" i="20" a="1"/>
  <c r="L145" i="20" s="1"/>
  <c r="O26" i="20" a="1"/>
  <c r="O26" i="20" s="1"/>
  <c r="O58" i="20" a="1"/>
  <c r="O58" i="20" s="1"/>
  <c r="O90" i="20" a="1"/>
  <c r="O90" i="20" s="1"/>
  <c r="O122" i="20" a="1"/>
  <c r="O122" i="20" s="1"/>
  <c r="P4" i="20" a="1"/>
  <c r="P4" i="20" s="1"/>
  <c r="K24" i="20" a="1"/>
  <c r="K24" i="20" s="1"/>
  <c r="K56" i="20" a="1"/>
  <c r="K56" i="20" s="1"/>
  <c r="K72" i="20" a="1"/>
  <c r="K72" i="20" s="1"/>
  <c r="K104" i="20" a="1"/>
  <c r="K104" i="20" s="1"/>
  <c r="K136" i="20" a="1"/>
  <c r="K136" i="20" s="1"/>
  <c r="L18" i="20" a="1"/>
  <c r="L18" i="20" s="1"/>
  <c r="L50" i="20" a="1"/>
  <c r="L50" i="20" s="1"/>
  <c r="L82" i="20" a="1"/>
  <c r="L82" i="20" s="1"/>
  <c r="L114" i="20" a="1"/>
  <c r="L114" i="20" s="1"/>
  <c r="L146" i="20" a="1"/>
  <c r="L146" i="20" s="1"/>
  <c r="O11" i="20" a="1"/>
  <c r="O11" i="20" s="1"/>
  <c r="O43" i="20" a="1"/>
  <c r="O43" i="20" s="1"/>
  <c r="O75" i="20" a="1"/>
  <c r="O75" i="20" s="1"/>
  <c r="O107" i="20" a="1"/>
  <c r="O107" i="20" s="1"/>
  <c r="O139" i="20" a="1"/>
  <c r="O139" i="20" s="1"/>
  <c r="P21" i="20" a="1"/>
  <c r="P21" i="20" s="1"/>
  <c r="P37" i="20" a="1"/>
  <c r="P37" i="20" s="1"/>
  <c r="P69" i="20" a="1"/>
  <c r="P69" i="20" s="1"/>
  <c r="P101" i="20" a="1"/>
  <c r="P101" i="20" s="1"/>
  <c r="K40" i="20" a="1"/>
  <c r="K40" i="20" s="1"/>
  <c r="K88" i="20" a="1"/>
  <c r="K88" i="20" s="1"/>
  <c r="K120" i="20" a="1"/>
  <c r="K120" i="20" s="1"/>
  <c r="L2" i="20" a="1"/>
  <c r="L2" i="20" s="1"/>
  <c r="L34" i="20" a="1"/>
  <c r="L34" i="20" s="1"/>
  <c r="L66" i="20" a="1"/>
  <c r="L66" i="20" s="1"/>
  <c r="L98" i="20" a="1"/>
  <c r="L98" i="20" s="1"/>
  <c r="L130" i="20" a="1"/>
  <c r="L130" i="20" s="1"/>
  <c r="O27" i="20" a="1"/>
  <c r="O27" i="20" s="1"/>
  <c r="O59" i="20" a="1"/>
  <c r="O59" i="20" s="1"/>
  <c r="O91" i="20" a="1"/>
  <c r="O91" i="20" s="1"/>
  <c r="O123" i="20" a="1"/>
  <c r="O123" i="20" s="1"/>
  <c r="P5" i="20" a="1"/>
  <c r="P5" i="20" s="1"/>
  <c r="P53" i="20" a="1"/>
  <c r="P53" i="20" s="1"/>
  <c r="P85" i="20" a="1"/>
  <c r="P85" i="20" s="1"/>
  <c r="P117" i="20" a="1"/>
  <c r="P117" i="20" s="1"/>
  <c r="K25" i="20" a="1"/>
  <c r="K25" i="20" s="1"/>
  <c r="K41" i="20" a="1"/>
  <c r="K41" i="20" s="1"/>
  <c r="K57" i="20" a="1"/>
  <c r="K57" i="20" s="1"/>
  <c r="K89" i="20" a="1"/>
  <c r="K89" i="20" s="1"/>
  <c r="K121" i="20" a="1"/>
  <c r="K121" i="20" s="1"/>
  <c r="L3" i="20" a="1"/>
  <c r="L3" i="20" s="1"/>
  <c r="L35" i="20" a="1"/>
  <c r="L35" i="20" s="1"/>
  <c r="L67" i="20" a="1"/>
  <c r="L67" i="20" s="1"/>
  <c r="L99" i="20" a="1"/>
  <c r="L99" i="20" s="1"/>
  <c r="L131" i="20" a="1"/>
  <c r="L131" i="20" s="1"/>
  <c r="O12" i="20" a="1"/>
  <c r="O12" i="20" s="1"/>
  <c r="O44" i="20" a="1"/>
  <c r="O44" i="20" s="1"/>
  <c r="O76" i="20" a="1"/>
  <c r="O76" i="20" s="1"/>
  <c r="O108" i="20" a="1"/>
  <c r="O108" i="20" s="1"/>
  <c r="O140" i="20" a="1"/>
  <c r="O140" i="20" s="1"/>
  <c r="P22" i="20" a="1"/>
  <c r="P22" i="20" s="1"/>
  <c r="P54" i="20" a="1"/>
  <c r="P54" i="20" s="1"/>
  <c r="K9" i="20" a="1"/>
  <c r="K9" i="20" s="1"/>
  <c r="K73" i="20" a="1"/>
  <c r="K73" i="20" s="1"/>
  <c r="K105" i="20" a="1"/>
  <c r="K105" i="20" s="1"/>
  <c r="K137" i="20" a="1"/>
  <c r="K137" i="20" s="1"/>
  <c r="L19" i="20" a="1"/>
  <c r="L19" i="20" s="1"/>
  <c r="L51" i="20" a="1"/>
  <c r="L51" i="20" s="1"/>
  <c r="L83" i="20" a="1"/>
  <c r="L83" i="20" s="1"/>
  <c r="L115" i="20" a="1"/>
  <c r="L115" i="20" s="1"/>
  <c r="L147" i="20" a="1"/>
  <c r="L147" i="20" s="1"/>
  <c r="O28" i="20" a="1"/>
  <c r="O28" i="20" s="1"/>
  <c r="O60" i="20" a="1"/>
  <c r="O60" i="20" s="1"/>
  <c r="O92" i="20" a="1"/>
  <c r="O92" i="20" s="1"/>
  <c r="O124" i="20" a="1"/>
  <c r="O124" i="20" s="1"/>
  <c r="P6" i="20" a="1"/>
  <c r="P6" i="20" s="1"/>
  <c r="P38" i="20" a="1"/>
  <c r="P38" i="20" s="1"/>
  <c r="P70" i="20" a="1"/>
  <c r="P70" i="20" s="1"/>
  <c r="K26" i="20" a="1"/>
  <c r="K26" i="20" s="1"/>
  <c r="K42" i="20" a="1"/>
  <c r="K42" i="20" s="1"/>
  <c r="K58" i="20" a="1"/>
  <c r="K58" i="20" s="1"/>
  <c r="K90" i="20" a="1"/>
  <c r="K90" i="20" s="1"/>
  <c r="K138" i="20" a="1"/>
  <c r="K138" i="20" s="1"/>
  <c r="L20" i="20" a="1"/>
  <c r="L20" i="20" s="1"/>
  <c r="L52" i="20" a="1"/>
  <c r="L52" i="20" s="1"/>
  <c r="L84" i="20" a="1"/>
  <c r="L84" i="20" s="1"/>
  <c r="L116" i="20" a="1"/>
  <c r="L116" i="20" s="1"/>
  <c r="L148" i="20" a="1"/>
  <c r="L148" i="20" s="1"/>
  <c r="O29" i="20" a="1"/>
  <c r="O29" i="20" s="1"/>
  <c r="O61" i="20" a="1"/>
  <c r="O61" i="20" s="1"/>
  <c r="O77" i="20" a="1"/>
  <c r="O77" i="20" s="1"/>
  <c r="O109" i="20" a="1"/>
  <c r="O109" i="20" s="1"/>
  <c r="P7" i="20" a="1"/>
  <c r="P7" i="20" s="1"/>
  <c r="P39" i="20" a="1"/>
  <c r="P39" i="20" s="1"/>
  <c r="K10" i="20" a="1"/>
  <c r="K10" i="20" s="1"/>
  <c r="K74" i="20" a="1"/>
  <c r="K74" i="20" s="1"/>
  <c r="K106" i="20" a="1"/>
  <c r="K106" i="20" s="1"/>
  <c r="K122" i="20" a="1"/>
  <c r="K122" i="20" s="1"/>
  <c r="L4" i="20" a="1"/>
  <c r="L4" i="20" s="1"/>
  <c r="L36" i="20" a="1"/>
  <c r="L36" i="20" s="1"/>
  <c r="L68" i="20" a="1"/>
  <c r="L68" i="20" s="1"/>
  <c r="L100" i="20" a="1"/>
  <c r="L100" i="20" s="1"/>
  <c r="L132" i="20" a="1"/>
  <c r="L132" i="20" s="1"/>
  <c r="O13" i="20" a="1"/>
  <c r="O13" i="20" s="1"/>
  <c r="O45" i="20" a="1"/>
  <c r="O45" i="20" s="1"/>
  <c r="O93" i="20" a="1"/>
  <c r="O93" i="20" s="1"/>
  <c r="O125" i="20" a="1"/>
  <c r="O125" i="20" s="1"/>
  <c r="O141" i="20" a="1"/>
  <c r="O141" i="20" s="1"/>
  <c r="P23" i="20" a="1"/>
  <c r="P23" i="20" s="1"/>
  <c r="P55" i="20" a="1"/>
  <c r="P55" i="20" s="1"/>
  <c r="K11" i="20" a="1"/>
  <c r="K11" i="20" s="1"/>
  <c r="K59" i="20" a="1"/>
  <c r="K59" i="20" s="1"/>
  <c r="K91" i="20" a="1"/>
  <c r="K91" i="20" s="1"/>
  <c r="K107" i="20" a="1"/>
  <c r="K107" i="20" s="1"/>
  <c r="K139" i="20" a="1"/>
  <c r="K139" i="20" s="1"/>
  <c r="L21" i="20" a="1"/>
  <c r="L21" i="20" s="1"/>
  <c r="L53" i="20" a="1"/>
  <c r="L53" i="20" s="1"/>
  <c r="L85" i="20" a="1"/>
  <c r="L85" i="20" s="1"/>
  <c r="L117" i="20" a="1"/>
  <c r="L117" i="20" s="1"/>
  <c r="L149" i="20" a="1"/>
  <c r="L149" i="20" s="1"/>
  <c r="O30" i="20" a="1"/>
  <c r="O30" i="20" s="1"/>
  <c r="O78" i="20" a="1"/>
  <c r="O78" i="20" s="1"/>
  <c r="O110" i="20" a="1"/>
  <c r="O110" i="20" s="1"/>
  <c r="O142" i="20" a="1"/>
  <c r="O142" i="20" s="1"/>
  <c r="P24" i="20" a="1"/>
  <c r="P24" i="20" s="1"/>
  <c r="P56" i="20" a="1"/>
  <c r="P56" i="20" s="1"/>
  <c r="K27" i="20" a="1"/>
  <c r="K27" i="20" s="1"/>
  <c r="K43" i="20" a="1"/>
  <c r="K43" i="20" s="1"/>
  <c r="K75" i="20" a="1"/>
  <c r="K75" i="20" s="1"/>
  <c r="K123" i="20" a="1"/>
  <c r="K123" i="20" s="1"/>
  <c r="L5" i="20" a="1"/>
  <c r="L5" i="20" s="1"/>
  <c r="L37" i="20" a="1"/>
  <c r="L37" i="20" s="1"/>
  <c r="N37" i="20" s="1"/>
  <c r="L69" i="20" a="1"/>
  <c r="L69" i="20" s="1"/>
  <c r="L101" i="20" a="1"/>
  <c r="L101" i="20" s="1"/>
  <c r="L133" i="20" a="1"/>
  <c r="L133" i="20" s="1"/>
  <c r="O14" i="20" a="1"/>
  <c r="O14" i="20" s="1"/>
  <c r="O46" i="20" a="1"/>
  <c r="O46" i="20" s="1"/>
  <c r="O62" i="20" a="1"/>
  <c r="O62" i="20" s="1"/>
  <c r="O94" i="20" a="1"/>
  <c r="O94" i="20" s="1"/>
  <c r="O126" i="20" a="1"/>
  <c r="O126" i="20" s="1"/>
  <c r="P8" i="20" a="1"/>
  <c r="P8" i="20" s="1"/>
  <c r="P40" i="20" a="1"/>
  <c r="P40" i="20" s="1"/>
  <c r="K28" i="20" a="1"/>
  <c r="K28" i="20" s="1"/>
  <c r="K60" i="20" a="1"/>
  <c r="K60" i="20" s="1"/>
  <c r="K92" i="20" a="1"/>
  <c r="K92" i="20" s="1"/>
  <c r="K124" i="20" a="1"/>
  <c r="K124" i="20" s="1"/>
  <c r="L6" i="20" a="1"/>
  <c r="L6" i="20" s="1"/>
  <c r="L38" i="20" a="1"/>
  <c r="L38" i="20" s="1"/>
  <c r="L70" i="20" a="1"/>
  <c r="L70" i="20" s="1"/>
  <c r="L102" i="20" a="1"/>
  <c r="L102" i="20" s="1"/>
  <c r="L134" i="20" a="1"/>
  <c r="L134" i="20" s="1"/>
  <c r="O15" i="20" a="1"/>
  <c r="O15" i="20" s="1"/>
  <c r="O47" i="20" a="1"/>
  <c r="O47" i="20" s="1"/>
  <c r="O79" i="20" a="1"/>
  <c r="O79" i="20" s="1"/>
  <c r="O111" i="20" a="1"/>
  <c r="O111" i="20" s="1"/>
  <c r="K12" i="20" a="1"/>
  <c r="K12" i="20" s="1"/>
  <c r="K44" i="20" a="1"/>
  <c r="K44" i="20" s="1"/>
  <c r="K76" i="20" a="1"/>
  <c r="K76" i="20" s="1"/>
  <c r="K108" i="20" a="1"/>
  <c r="K108" i="20" s="1"/>
  <c r="K140" i="20" a="1"/>
  <c r="K140" i="20" s="1"/>
  <c r="L22" i="20" a="1"/>
  <c r="L22" i="20" s="1"/>
  <c r="L54" i="20" a="1"/>
  <c r="L54" i="20" s="1"/>
  <c r="L86" i="20" a="1"/>
  <c r="L86" i="20" s="1"/>
  <c r="L118" i="20" a="1"/>
  <c r="L118" i="20" s="1"/>
  <c r="L150" i="20" a="1"/>
  <c r="L150" i="20" s="1"/>
  <c r="O31" i="20" a="1"/>
  <c r="O31" i="20" s="1"/>
  <c r="O63" i="20" a="1"/>
  <c r="O63" i="20" s="1"/>
  <c r="O95" i="20" a="1"/>
  <c r="O95" i="20" s="1"/>
  <c r="K29" i="20" a="1"/>
  <c r="K29" i="20" s="1"/>
  <c r="K61" i="20" a="1"/>
  <c r="K61" i="20" s="1"/>
  <c r="K77" i="20" a="1"/>
  <c r="K77" i="20" s="1"/>
  <c r="K109" i="20" a="1"/>
  <c r="K109" i="20" s="1"/>
  <c r="K141" i="20" a="1"/>
  <c r="K141" i="20" s="1"/>
  <c r="L23" i="20" a="1"/>
  <c r="L23" i="20" s="1"/>
  <c r="L55" i="20" a="1"/>
  <c r="L55" i="20" s="1"/>
  <c r="L87" i="20" a="1"/>
  <c r="L87" i="20" s="1"/>
  <c r="L119" i="20" a="1"/>
  <c r="L119" i="20" s="1"/>
  <c r="L151" i="20" a="1"/>
  <c r="L151" i="20" s="1"/>
  <c r="N151" i="20" s="1"/>
  <c r="O32" i="20" a="1"/>
  <c r="O32" i="20" s="1"/>
  <c r="O64" i="20" a="1"/>
  <c r="O64" i="20" s="1"/>
  <c r="O96" i="20" a="1"/>
  <c r="O96" i="20" s="1"/>
  <c r="O128" i="20" a="1"/>
  <c r="O128" i="20" s="1"/>
  <c r="K13" i="20" a="1"/>
  <c r="K13" i="20" s="1"/>
  <c r="K45" i="20" a="1"/>
  <c r="K45" i="20" s="1"/>
  <c r="K93" i="20" a="1"/>
  <c r="K93" i="20" s="1"/>
  <c r="K125" i="20" a="1"/>
  <c r="K125" i="20" s="1"/>
  <c r="L7" i="20" a="1"/>
  <c r="L7" i="20" s="1"/>
  <c r="N7" i="20" s="1"/>
  <c r="L39" i="20" a="1"/>
  <c r="L39" i="20" s="1"/>
  <c r="N39" i="20" s="1"/>
  <c r="L71" i="20" a="1"/>
  <c r="L71" i="20" s="1"/>
  <c r="N71" i="20" s="1"/>
  <c r="L103" i="20" a="1"/>
  <c r="L103" i="20" s="1"/>
  <c r="N103" i="20" s="1"/>
  <c r="L135" i="20" a="1"/>
  <c r="L135" i="20" s="1"/>
  <c r="O16" i="20" a="1"/>
  <c r="O16" i="20" s="1"/>
  <c r="O48" i="20" a="1"/>
  <c r="O48" i="20" s="1"/>
  <c r="O80" i="20" a="1"/>
  <c r="O80" i="20" s="1"/>
  <c r="O112" i="20" a="1"/>
  <c r="O112" i="20" s="1"/>
  <c r="K30" i="20" a="1"/>
  <c r="K30" i="20" s="1"/>
  <c r="K62" i="20" a="1"/>
  <c r="K62" i="20" s="1"/>
  <c r="K94" i="20" a="1"/>
  <c r="K94" i="20" s="1"/>
  <c r="K126" i="20" a="1"/>
  <c r="K126" i="20" s="1"/>
  <c r="L8" i="20" a="1"/>
  <c r="L8" i="20" s="1"/>
  <c r="L40" i="20" a="1"/>
  <c r="L40" i="20" s="1"/>
  <c r="L72" i="20" a="1"/>
  <c r="L72" i="20" s="1"/>
  <c r="L104" i="20" a="1"/>
  <c r="L104" i="20" s="1"/>
  <c r="L136" i="20" a="1"/>
  <c r="L136" i="20" s="1"/>
  <c r="O33" i="20" a="1"/>
  <c r="O33" i="20" s="1"/>
  <c r="O49" i="20" a="1"/>
  <c r="O49" i="20" s="1"/>
  <c r="O113" i="20" a="1"/>
  <c r="O113" i="20" s="1"/>
  <c r="P11" i="20" a="1"/>
  <c r="P11" i="20" s="1"/>
  <c r="P27" i="20" a="1"/>
  <c r="P27" i="20" s="1"/>
  <c r="K14" i="20" a="1"/>
  <c r="K14" i="20" s="1"/>
  <c r="K46" i="20" a="1"/>
  <c r="K46" i="20" s="1"/>
  <c r="K78" i="20" a="1"/>
  <c r="K78" i="20" s="1"/>
  <c r="K110" i="20" a="1"/>
  <c r="K110" i="20" s="1"/>
  <c r="K142" i="20" a="1"/>
  <c r="K142" i="20" s="1"/>
  <c r="L24" i="20" a="1"/>
  <c r="L24" i="20" s="1"/>
  <c r="N24" i="20" s="1"/>
  <c r="L56" i="20" a="1"/>
  <c r="L56" i="20" s="1"/>
  <c r="L88" i="20" a="1"/>
  <c r="L88" i="20" s="1"/>
  <c r="L120" i="20" a="1"/>
  <c r="L120" i="20" s="1"/>
  <c r="O17" i="20" a="1"/>
  <c r="O17" i="20" s="1"/>
  <c r="O81" i="20" a="1"/>
  <c r="O81" i="20" s="1"/>
  <c r="O145" i="20" a="1"/>
  <c r="O145" i="20" s="1"/>
  <c r="P43" i="20" a="1"/>
  <c r="P43" i="20" s="1"/>
  <c r="K31" i="20" a="1"/>
  <c r="K31" i="20" s="1"/>
  <c r="K47" i="20" a="1"/>
  <c r="K47" i="20" s="1"/>
  <c r="K79" i="20" a="1"/>
  <c r="K79" i="20" s="1"/>
  <c r="K111" i="20" a="1"/>
  <c r="K111" i="20" s="1"/>
  <c r="K143" i="20" a="1"/>
  <c r="K143" i="20" s="1"/>
  <c r="L25" i="20" a="1"/>
  <c r="L25" i="20" s="1"/>
  <c r="L57" i="20" a="1"/>
  <c r="L57" i="20" s="1"/>
  <c r="L89" i="20" a="1"/>
  <c r="L89" i="20" s="1"/>
  <c r="L121" i="20" a="1"/>
  <c r="L121" i="20" s="1"/>
  <c r="O2" i="20" a="1"/>
  <c r="O2" i="20" s="1"/>
  <c r="O34" i="20" a="1"/>
  <c r="O34" i="20" s="1"/>
  <c r="O66" i="20" a="1"/>
  <c r="O66" i="20" s="1"/>
  <c r="O98" i="20" a="1"/>
  <c r="O98" i="20" s="1"/>
  <c r="K15" i="20" a="1"/>
  <c r="K15" i="20" s="1"/>
  <c r="K63" i="20" a="1"/>
  <c r="K63" i="20" s="1"/>
  <c r="K95" i="20" a="1"/>
  <c r="K95" i="20" s="1"/>
  <c r="K127" i="20" a="1"/>
  <c r="K127" i="20" s="1"/>
  <c r="L9" i="20" a="1"/>
  <c r="L9" i="20" s="1"/>
  <c r="N9" i="20" s="1"/>
  <c r="L41" i="20" a="1"/>
  <c r="L41" i="20" s="1"/>
  <c r="L73" i="20" a="1"/>
  <c r="L73" i="20" s="1"/>
  <c r="L105" i="20" a="1"/>
  <c r="L105" i="20" s="1"/>
  <c r="L137" i="20" a="1"/>
  <c r="L137" i="20" s="1"/>
  <c r="O18" i="20" a="1"/>
  <c r="O18" i="20" s="1"/>
  <c r="O50" i="20" a="1"/>
  <c r="O50" i="20" s="1"/>
  <c r="O82" i="20" a="1"/>
  <c r="O82" i="20" s="1"/>
  <c r="O114" i="20" a="1"/>
  <c r="O114" i="20" s="1"/>
  <c r="K32" i="20" a="1"/>
  <c r="K32" i="20" s="1"/>
  <c r="K64" i="20" a="1"/>
  <c r="K64" i="20" s="1"/>
  <c r="K96" i="20" a="1"/>
  <c r="K96" i="20" s="1"/>
  <c r="K112" i="20" a="1"/>
  <c r="K112" i="20" s="1"/>
  <c r="K144" i="20" a="1"/>
  <c r="K144" i="20" s="1"/>
  <c r="L26" i="20" a="1"/>
  <c r="L26" i="20" s="1"/>
  <c r="N26" i="20" s="1"/>
  <c r="L58" i="20" a="1"/>
  <c r="L58" i="20" s="1"/>
  <c r="L90" i="20" a="1"/>
  <c r="L90" i="20" s="1"/>
  <c r="L122" i="20" a="1"/>
  <c r="L122" i="20" s="1"/>
  <c r="O19" i="20" a="1"/>
  <c r="O19" i="20" s="1"/>
  <c r="O51" i="20" a="1"/>
  <c r="O51" i="20" s="1"/>
  <c r="O67" i="20" a="1"/>
  <c r="O67" i="20" s="1"/>
  <c r="O99" i="20" a="1"/>
  <c r="O99" i="20" s="1"/>
  <c r="O131" i="20" a="1"/>
  <c r="O131" i="20" s="1"/>
  <c r="P13" i="20" a="1"/>
  <c r="P13" i="20" s="1"/>
  <c r="P45" i="20" a="1"/>
  <c r="P45" i="20" s="1"/>
  <c r="P77" i="20" a="1"/>
  <c r="P77" i="20" s="1"/>
  <c r="K16" i="20" a="1"/>
  <c r="K16" i="20" s="1"/>
  <c r="K48" i="20" a="1"/>
  <c r="K48" i="20" s="1"/>
  <c r="K80" i="20" a="1"/>
  <c r="K80" i="20" s="1"/>
  <c r="K128" i="20" a="1"/>
  <c r="K128" i="20" s="1"/>
  <c r="L10" i="20" a="1"/>
  <c r="L10" i="20" s="1"/>
  <c r="N10" i="20" s="1"/>
  <c r="L42" i="20" a="1"/>
  <c r="L42" i="20" s="1"/>
  <c r="L74" i="20" a="1"/>
  <c r="L74" i="20" s="1"/>
  <c r="L106" i="20" a="1"/>
  <c r="L106" i="20" s="1"/>
  <c r="L138" i="20" a="1"/>
  <c r="L138" i="20" s="1"/>
  <c r="O3" i="20" a="1"/>
  <c r="O3" i="20" s="1"/>
  <c r="O35" i="20" a="1"/>
  <c r="O35" i="20" s="1"/>
  <c r="O83" i="20" a="1"/>
  <c r="O83" i="20" s="1"/>
  <c r="O115" i="20" a="1"/>
  <c r="O115" i="20" s="1"/>
  <c r="O147" i="20" a="1"/>
  <c r="O147" i="20" s="1"/>
  <c r="P29" i="20" a="1"/>
  <c r="P29" i="20" s="1"/>
  <c r="P61" i="20" a="1"/>
  <c r="P61" i="20" s="1"/>
  <c r="P93" i="20" a="1"/>
  <c r="P93" i="20" s="1"/>
  <c r="P142" i="20" a="1"/>
  <c r="P142" i="20" s="1"/>
  <c r="P111" i="20" a="1"/>
  <c r="P111" i="20" s="1"/>
  <c r="P76" i="20" a="1"/>
  <c r="P76" i="20" s="1"/>
  <c r="P26" i="20" a="1"/>
  <c r="P26" i="20" s="1"/>
  <c r="N150" i="20"/>
  <c r="N92" i="20"/>
  <c r="N36" i="20"/>
  <c r="P110" i="20" a="1"/>
  <c r="P110" i="20" s="1"/>
  <c r="P75" i="20" a="1"/>
  <c r="P75" i="20" s="1"/>
  <c r="P25" i="20" a="1"/>
  <c r="P25" i="20" s="1"/>
  <c r="O68" i="20" a="1"/>
  <c r="O68" i="20" s="1"/>
  <c r="N120" i="20"/>
  <c r="N63" i="20"/>
  <c r="N35" i="20"/>
  <c r="N8" i="20"/>
  <c r="P74" i="20" a="1"/>
  <c r="P74" i="20" s="1"/>
  <c r="P19" i="20" a="1"/>
  <c r="P19" i="20" s="1"/>
  <c r="N149" i="20"/>
  <c r="N119" i="20"/>
  <c r="N90" i="20"/>
  <c r="N62" i="20"/>
  <c r="N34" i="20"/>
  <c r="P73" i="20" a="1"/>
  <c r="P73" i="20" s="1"/>
  <c r="P18" i="20" a="1"/>
  <c r="P18" i="20" s="1"/>
  <c r="O52" i="20" a="1"/>
  <c r="O52" i="20" s="1"/>
  <c r="N148" i="20"/>
  <c r="N118" i="20"/>
  <c r="N61" i="20"/>
  <c r="N33" i="20"/>
  <c r="N6" i="20"/>
  <c r="P108" i="20" a="1"/>
  <c r="P108" i="20" s="1"/>
  <c r="P72" i="20" a="1"/>
  <c r="P72" i="20" s="1"/>
  <c r="P17" i="20" a="1"/>
  <c r="P17" i="20" s="1"/>
  <c r="N147" i="20"/>
  <c r="N60" i="20"/>
  <c r="P107" i="20" a="1"/>
  <c r="P107" i="20" s="1"/>
  <c r="P14" i="20" a="1"/>
  <c r="P14" i="20" s="1"/>
  <c r="O36" i="20" a="1"/>
  <c r="O36" i="20" s="1"/>
  <c r="N146" i="20"/>
  <c r="N117" i="20"/>
  <c r="N88" i="20"/>
  <c r="N31" i="20"/>
  <c r="N5" i="20"/>
  <c r="K3" i="20" a="1"/>
  <c r="K3" i="20" s="1"/>
  <c r="P71" i="20" a="1"/>
  <c r="P71" i="20" s="1"/>
  <c r="P137" i="20" a="1"/>
  <c r="P137" i="20" s="1"/>
  <c r="P106" i="20" a="1"/>
  <c r="P106" i="20" s="1"/>
  <c r="P68" i="20" a="1"/>
  <c r="P68" i="20" s="1"/>
  <c r="N145" i="20"/>
  <c r="N116" i="20"/>
  <c r="N87" i="20"/>
  <c r="N58" i="20"/>
  <c r="N4" i="20"/>
  <c r="P105" i="20" a="1"/>
  <c r="P105" i="20" s="1"/>
  <c r="P67" i="20" a="1"/>
  <c r="P67" i="20" s="1"/>
  <c r="P12" i="20" a="1"/>
  <c r="P12" i="20" s="1"/>
  <c r="N144" i="20"/>
  <c r="N115" i="20"/>
  <c r="N86" i="20"/>
  <c r="N3" i="20"/>
  <c r="K17" i="20" a="1"/>
  <c r="K17" i="20" s="1"/>
  <c r="P135" i="20" a="1"/>
  <c r="P135" i="20" s="1"/>
  <c r="P104" i="20" a="1"/>
  <c r="P104" i="20" s="1"/>
  <c r="P66" i="20" a="1"/>
  <c r="P66" i="20" s="1"/>
  <c r="P10" i="20" a="1"/>
  <c r="P10" i="20" s="1"/>
  <c r="N143" i="20"/>
  <c r="N114" i="20"/>
  <c r="N29" i="20"/>
  <c r="N2" i="20"/>
  <c r="P138" i="20" a="1"/>
  <c r="P138" i="20" s="1"/>
  <c r="P134" i="20" a="1"/>
  <c r="P134" i="20" s="1"/>
  <c r="P103" i="20" a="1"/>
  <c r="P103" i="20" s="1"/>
  <c r="P65" i="20" a="1"/>
  <c r="P65" i="20" s="1"/>
  <c r="P9" i="20" a="1"/>
  <c r="P9" i="20" s="1"/>
  <c r="N142" i="20"/>
  <c r="N113" i="20"/>
  <c r="N85" i="20"/>
  <c r="N56" i="20"/>
  <c r="N28" i="20"/>
  <c r="P133" i="20" a="1"/>
  <c r="P133" i="20" s="1"/>
  <c r="P102" i="20" a="1"/>
  <c r="P102" i="20" s="1"/>
  <c r="P62" i="20" a="1"/>
  <c r="P62" i="20" s="1"/>
  <c r="P3" i="20" a="1"/>
  <c r="P3" i="20" s="1"/>
  <c r="N141" i="20"/>
  <c r="N112" i="20"/>
  <c r="N84" i="20"/>
  <c r="N55" i="20"/>
  <c r="P136" i="20" a="1"/>
  <c r="P136" i="20" s="1"/>
  <c r="P132" i="20" a="1"/>
  <c r="P132" i="20" s="1"/>
  <c r="P100" i="20" a="1"/>
  <c r="P100" i="20" s="1"/>
  <c r="P2" i="20" a="1"/>
  <c r="P2" i="20" s="1"/>
  <c r="N140" i="20"/>
  <c r="N111" i="20"/>
  <c r="N83" i="20"/>
  <c r="N54" i="20"/>
  <c r="P131" i="20" a="1"/>
  <c r="P131" i="20" s="1"/>
  <c r="P99" i="20" a="1"/>
  <c r="P99" i="20" s="1"/>
  <c r="P60" i="20" a="1"/>
  <c r="P60" i="20" s="1"/>
  <c r="O151" i="20" a="1"/>
  <c r="O151" i="20" s="1"/>
  <c r="N110" i="20"/>
  <c r="N82" i="20"/>
  <c r="P59" i="20" a="1"/>
  <c r="P59" i="20" s="1"/>
  <c r="O148" i="20" a="1"/>
  <c r="O148" i="20" s="1"/>
  <c r="N121" i="20"/>
  <c r="N138" i="20"/>
  <c r="N109" i="20"/>
  <c r="N81" i="20"/>
  <c r="N53" i="20"/>
  <c r="P129" i="20" a="1"/>
  <c r="P129" i="20" s="1"/>
  <c r="P97" i="20" a="1"/>
  <c r="P97" i="20" s="1"/>
  <c r="P58" i="20" a="1"/>
  <c r="P58" i="20" s="1"/>
  <c r="N30" i="20"/>
  <c r="N137" i="20"/>
  <c r="N108" i="20"/>
  <c r="N80" i="20"/>
  <c r="N52" i="20"/>
  <c r="P128" i="20" a="1"/>
  <c r="P128" i="20" s="1"/>
  <c r="P96" i="20" a="1"/>
  <c r="P96" i="20" s="1"/>
  <c r="P57" i="20" a="1"/>
  <c r="P57" i="20" s="1"/>
  <c r="O146" i="20" a="1"/>
  <c r="O146" i="20" s="1"/>
  <c r="N89" i="20"/>
  <c r="N136" i="20"/>
  <c r="N79" i="20"/>
  <c r="N51" i="20"/>
  <c r="N23" i="20"/>
  <c r="P127" i="20" a="1"/>
  <c r="P127" i="20" s="1"/>
  <c r="P94" i="20" a="1"/>
  <c r="P94" i="20" s="1"/>
  <c r="P52" i="20" a="1"/>
  <c r="P52" i="20" s="1"/>
  <c r="O144" i="20" a="1"/>
  <c r="O144" i="20" s="1"/>
  <c r="N135" i="20"/>
  <c r="N106" i="20"/>
  <c r="N78" i="20"/>
  <c r="N50" i="20"/>
  <c r="N22" i="20"/>
  <c r="P51" i="20" a="1"/>
  <c r="P51" i="20" s="1"/>
  <c r="O143" i="20" a="1"/>
  <c r="O143" i="20" s="1"/>
  <c r="N57" i="20"/>
  <c r="N134" i="20"/>
  <c r="N105" i="20"/>
  <c r="N77" i="20"/>
  <c r="N49" i="20"/>
  <c r="P92" i="20" a="1"/>
  <c r="P92" i="20" s="1"/>
  <c r="P50" i="20" a="1"/>
  <c r="P50" i="20" s="1"/>
  <c r="O137" i="20" a="1"/>
  <c r="O137" i="20" s="1"/>
  <c r="N76" i="20"/>
  <c r="N48" i="20"/>
  <c r="N21" i="20"/>
  <c r="P125" i="20" a="1"/>
  <c r="P125" i="20" s="1"/>
  <c r="O136" i="20" a="1"/>
  <c r="O136" i="20" s="1"/>
  <c r="N25" i="20"/>
  <c r="N133" i="20"/>
  <c r="N104" i="20"/>
  <c r="N75" i="20"/>
  <c r="N47" i="20"/>
  <c r="N20" i="20"/>
  <c r="K2" i="20" a="1"/>
  <c r="K2" i="20" s="1"/>
  <c r="P91" i="20" a="1"/>
  <c r="P91" i="20" s="1"/>
  <c r="P90" i="20" a="1"/>
  <c r="P90" i="20" s="1"/>
  <c r="P46" i="20" a="1"/>
  <c r="P46" i="20" s="1"/>
  <c r="O135" i="20" a="1"/>
  <c r="O135" i="20" s="1"/>
  <c r="N132" i="20"/>
  <c r="N74" i="20"/>
  <c r="N46" i="20"/>
  <c r="N19" i="20"/>
  <c r="P49" i="20" a="1"/>
  <c r="P49" i="20" s="1"/>
  <c r="P123" i="20" a="1"/>
  <c r="P123" i="20" s="1"/>
  <c r="P89" i="20" a="1"/>
  <c r="P89" i="20" s="1"/>
  <c r="O132" i="20" a="1"/>
  <c r="O132" i="20" s="1"/>
  <c r="N131" i="20"/>
  <c r="N102" i="20"/>
  <c r="N73" i="20"/>
  <c r="N45" i="20"/>
  <c r="N18" i="20"/>
  <c r="P124" i="20" a="1"/>
  <c r="P124" i="20" s="1"/>
  <c r="P122" i="20" a="1"/>
  <c r="P122" i="20" s="1"/>
  <c r="P88" i="20" a="1"/>
  <c r="P88" i="20" s="1"/>
  <c r="P44" i="20" a="1"/>
  <c r="P44" i="20" s="1"/>
  <c r="N130" i="20"/>
  <c r="N44" i="20"/>
  <c r="N17" i="20"/>
  <c r="P121" i="20" a="1"/>
  <c r="P121" i="20" s="1"/>
  <c r="P87" i="20" a="1"/>
  <c r="P87" i="20" s="1"/>
  <c r="P42" i="20" a="1"/>
  <c r="P42" i="20" s="1"/>
  <c r="O130" i="20" a="1"/>
  <c r="O130" i="20" s="1"/>
  <c r="N129" i="20"/>
  <c r="N101" i="20"/>
  <c r="N72" i="20"/>
  <c r="N43" i="20"/>
  <c r="N16" i="20"/>
  <c r="P150" i="20" a="1"/>
  <c r="P150" i="20" s="1"/>
  <c r="P120" i="20" a="1"/>
  <c r="P120" i="20" s="1"/>
  <c r="P86" i="20" a="1"/>
  <c r="P86" i="20" s="1"/>
  <c r="P41" i="20" a="1"/>
  <c r="P41" i="20" s="1"/>
  <c r="O127" i="20" a="1"/>
  <c r="O127" i="20" s="1"/>
  <c r="N100" i="20"/>
  <c r="N42" i="20"/>
  <c r="N15" i="20"/>
  <c r="N14" i="20"/>
  <c r="P119" i="20" a="1"/>
  <c r="P119" i="20" s="1"/>
  <c r="P84" i="20" a="1"/>
  <c r="P84" i="20" s="1"/>
  <c r="P36" i="20" a="1"/>
  <c r="P36" i="20" s="1"/>
  <c r="O121" i="20" a="1"/>
  <c r="O121" i="20" s="1"/>
  <c r="N127" i="20"/>
  <c r="N99" i="20"/>
  <c r="N70" i="20"/>
  <c r="N41" i="20"/>
  <c r="P118" i="20" a="1"/>
  <c r="P118" i="20" s="1"/>
  <c r="P83" i="20" a="1"/>
  <c r="P83" i="20" s="1"/>
  <c r="P35" i="20" a="1"/>
  <c r="P35" i="20" s="1"/>
  <c r="O119" i="20" a="1"/>
  <c r="O119" i="20" s="1"/>
  <c r="N126" i="20"/>
  <c r="N98" i="20"/>
  <c r="P148" i="20" a="1"/>
  <c r="P148" i="20" s="1"/>
  <c r="P116" i="20" a="1"/>
  <c r="P116" i="20" s="1"/>
  <c r="P82" i="20" a="1"/>
  <c r="P82" i="20" s="1"/>
  <c r="P34" i="20" a="1"/>
  <c r="P34" i="20" s="1"/>
  <c r="O116" i="20" a="1"/>
  <c r="O116" i="20" s="1"/>
  <c r="N125" i="20"/>
  <c r="N97" i="20"/>
  <c r="N69" i="20"/>
  <c r="N40" i="20"/>
  <c r="N13" i="20"/>
  <c r="P149" i="20" a="1"/>
  <c r="P149" i="20" s="1"/>
  <c r="P147" i="20" a="1"/>
  <c r="P147" i="20" s="1"/>
  <c r="P146" i="20" a="1"/>
  <c r="P146" i="20" s="1"/>
  <c r="P115" i="20" a="1"/>
  <c r="P115" i="20" s="1"/>
  <c r="P81" i="20" a="1"/>
  <c r="P81" i="20" s="1"/>
  <c r="P33" i="20" a="1"/>
  <c r="P33" i="20" s="1"/>
  <c r="N124" i="20"/>
  <c r="N68" i="20"/>
  <c r="N12" i="20"/>
  <c r="P145" i="20" a="1"/>
  <c r="P145" i="20" s="1"/>
  <c r="P80" i="20" a="1"/>
  <c r="P80" i="20" s="1"/>
  <c r="P30" i="20" a="1"/>
  <c r="P30" i="20" s="1"/>
  <c r="O100" i="20" a="1"/>
  <c r="O100" i="20" s="1"/>
  <c r="N95" i="20"/>
  <c r="N67" i="20"/>
  <c r="N38" i="20"/>
  <c r="N11" i="20"/>
  <c r="P114" i="20" a="1"/>
  <c r="P114" i="20" s="1"/>
  <c r="P144" i="20" a="1"/>
  <c r="P144" i="20" s="1"/>
  <c r="P113" i="20" a="1"/>
  <c r="P113" i="20" s="1"/>
  <c r="P78" i="20" a="1"/>
  <c r="P78" i="20" s="1"/>
  <c r="N122" i="20"/>
  <c r="N94" i="20"/>
  <c r="N66" i="20"/>
  <c r="K8" i="20" a="1"/>
  <c r="K8" i="20" s="1"/>
  <c r="K18" i="20" a="1"/>
  <c r="K18" i="20" s="1"/>
  <c r="M33" i="19"/>
  <c r="M25" i="19"/>
  <c r="K52" i="19" a="1"/>
  <c r="K52" i="19" s="1"/>
  <c r="K18" i="19" a="1"/>
  <c r="K18" i="19" s="1"/>
  <c r="M18" i="19" s="1"/>
  <c r="J43" i="19" a="1"/>
  <c r="J43" i="19" s="1"/>
  <c r="M24" i="19"/>
  <c r="K17" i="19" a="1"/>
  <c r="K17" i="19" s="1"/>
  <c r="J41" i="19" a="1"/>
  <c r="J41" i="19" s="1"/>
  <c r="J32" i="19" a="1"/>
  <c r="J32" i="19" s="1"/>
  <c r="M55" i="19"/>
  <c r="M23" i="19"/>
  <c r="N22" i="19" a="1"/>
  <c r="N22" i="19" s="1"/>
  <c r="M54" i="19"/>
  <c r="M22" i="19"/>
  <c r="J11" i="19" a="1"/>
  <c r="J11" i="19" s="1"/>
  <c r="M53" i="19"/>
  <c r="M21" i="19"/>
  <c r="J37" i="19" a="1"/>
  <c r="J37" i="19" s="1"/>
  <c r="K28" i="19" a="1"/>
  <c r="K28" i="19" s="1"/>
  <c r="M19" i="19"/>
  <c r="J35" i="19" a="1"/>
  <c r="J35" i="19" s="1"/>
  <c r="J34" i="19" a="1"/>
  <c r="J34" i="19" s="1"/>
  <c r="J26" i="19" a="1"/>
  <c r="J26" i="19" s="1"/>
  <c r="J56" i="19" a="1"/>
  <c r="J56" i="19" s="1"/>
  <c r="J24" i="19" a="1"/>
  <c r="J24" i="19" s="1"/>
  <c r="J30" i="19" a="1"/>
  <c r="J30" i="19" s="1"/>
  <c r="M46" i="19"/>
  <c r="M14" i="19"/>
  <c r="K40" i="19" a="1"/>
  <c r="K40" i="19" s="1"/>
  <c r="M40" i="19" s="1"/>
  <c r="K39" i="19" a="1"/>
  <c r="K39" i="19" s="1"/>
  <c r="J28" i="19" a="1"/>
  <c r="J28" i="19" s="1"/>
  <c r="M20" i="19"/>
  <c r="N17" i="19" a="1"/>
  <c r="N17" i="19" s="1"/>
  <c r="K38" i="19" a="1"/>
  <c r="K38" i="19" s="1"/>
  <c r="M38" i="19" s="1"/>
  <c r="K4" i="19" a="1"/>
  <c r="K4" i="19" s="1"/>
  <c r="N16" i="19" a="1"/>
  <c r="N16" i="19" s="1"/>
  <c r="M43" i="19"/>
  <c r="M11" i="19"/>
  <c r="K37" i="19" a="1"/>
  <c r="K37" i="19" s="1"/>
  <c r="M37" i="19" s="1"/>
  <c r="K3" i="19" a="1"/>
  <c r="K3" i="19" s="1"/>
  <c r="N15" i="19" a="1"/>
  <c r="N15" i="19" s="1"/>
  <c r="K36" i="19" a="1"/>
  <c r="K36" i="19" s="1"/>
  <c r="K2" i="19" a="1"/>
  <c r="K2" i="19" s="1"/>
  <c r="J22" i="19" a="1"/>
  <c r="J22" i="19" s="1"/>
  <c r="M9" i="19"/>
  <c r="K35" i="19" a="1"/>
  <c r="K35" i="19" s="1"/>
  <c r="M35" i="19" s="1"/>
  <c r="J61" i="19" a="1"/>
  <c r="J61" i="19" s="1"/>
  <c r="J21" i="19" a="1"/>
  <c r="J21" i="19" s="1"/>
  <c r="M52" i="19"/>
  <c r="N13" i="19" a="1"/>
  <c r="N13" i="19" s="1"/>
  <c r="K34" i="19" a="1"/>
  <c r="K34" i="19" s="1"/>
  <c r="M34" i="19" s="1"/>
  <c r="J60" i="19" a="1"/>
  <c r="J60" i="19" s="1"/>
  <c r="J20" i="19" a="1"/>
  <c r="J20" i="19" s="1"/>
  <c r="J19" i="19" a="1"/>
  <c r="J19" i="19" s="1"/>
  <c r="M6" i="19"/>
  <c r="J18" i="19" a="1"/>
  <c r="J18" i="19" s="1"/>
  <c r="J42" i="19" a="1"/>
  <c r="J42" i="19" s="1"/>
  <c r="M5" i="19"/>
  <c r="J14" i="19" a="1"/>
  <c r="J14" i="19" s="1"/>
  <c r="K12" i="19" a="1"/>
  <c r="K12" i="19" s="1"/>
  <c r="J54" i="19" a="1"/>
  <c r="J54" i="19" s="1"/>
  <c r="J12" i="19" a="1"/>
  <c r="J12" i="19" s="1"/>
  <c r="J7" i="19" a="1"/>
  <c r="J7" i="19" s="1"/>
  <c r="J10" i="19" a="1"/>
  <c r="J10" i="19" s="1"/>
  <c r="J52" i="19" a="1"/>
  <c r="J52" i="19" s="1"/>
  <c r="M36" i="19"/>
  <c r="M4" i="19"/>
  <c r="J40" i="19" a="1"/>
  <c r="J40" i="19" s="1"/>
  <c r="J8" i="19" a="1"/>
  <c r="J8" i="19" s="1"/>
  <c r="M31" i="19"/>
  <c r="J4" i="19" a="1"/>
  <c r="J4" i="19" s="1"/>
  <c r="N6" i="19" a="1"/>
  <c r="N6" i="19" s="1"/>
  <c r="J49" i="19" a="1"/>
  <c r="J49" i="19" s="1"/>
  <c r="J3" i="19" a="1"/>
  <c r="J3" i="19" s="1"/>
  <c r="N35" i="19" a="1"/>
  <c r="N35" i="19" s="1"/>
  <c r="M61" i="19"/>
  <c r="K56" i="19" a="1"/>
  <c r="K56" i="19" s="1"/>
  <c r="M56" i="19" s="1"/>
  <c r="K57" i="19" a="1"/>
  <c r="K57" i="19" s="1"/>
  <c r="M57" i="19" s="1"/>
  <c r="O38" i="19" a="1"/>
  <c r="O38" i="19" s="1"/>
  <c r="O6" i="19" a="1"/>
  <c r="O6" i="19" s="1"/>
  <c r="N34" i="19" a="1"/>
  <c r="N34" i="19" s="1"/>
  <c r="O39" i="19" a="1"/>
  <c r="O39" i="19" s="1"/>
  <c r="O37" i="19" a="1"/>
  <c r="O37" i="19" s="1"/>
  <c r="O5" i="19" a="1"/>
  <c r="O5" i="19" s="1"/>
  <c r="O36" i="19" a="1"/>
  <c r="O36" i="19" s="1"/>
  <c r="O4" i="19" a="1"/>
  <c r="O4" i="19" s="1"/>
  <c r="N32" i="19" a="1"/>
  <c r="N32" i="19" s="1"/>
  <c r="J44" i="19" a="1"/>
  <c r="J44" i="19" s="1"/>
  <c r="M51" i="19"/>
  <c r="M49" i="19"/>
  <c r="M17" i="19"/>
  <c r="M47" i="19"/>
  <c r="M15" i="19"/>
  <c r="M45" i="19"/>
  <c r="M13" i="19"/>
  <c r="M50" i="19"/>
  <c r="M44" i="19"/>
  <c r="M12" i="19"/>
  <c r="M42" i="19"/>
  <c r="M10" i="19"/>
  <c r="M41" i="19"/>
  <c r="M16" i="19"/>
  <c r="M8" i="19"/>
  <c r="M39" i="19"/>
  <c r="M3" i="19"/>
  <c r="M2" i="19"/>
  <c r="M30" i="19"/>
  <c r="M32" i="19"/>
  <c r="M29" i="19"/>
  <c r="M28" i="19"/>
  <c r="M59" i="19"/>
  <c r="M27" i="19"/>
  <c r="M60" i="19"/>
  <c r="M58" i="19"/>
  <c r="M26" i="19"/>
  <c r="J2" i="19" a="1"/>
  <c r="J2" i="19" s="1"/>
  <c r="J17" i="19" a="1"/>
  <c r="J17" i="19" s="1"/>
  <c r="J16" i="19" a="1"/>
  <c r="J16" i="19" s="1"/>
  <c r="J48" i="19" a="1"/>
  <c r="J48" i="19" s="1"/>
  <c r="J15" i="19" a="1"/>
  <c r="J15" i="19" s="1"/>
  <c r="J9" i="19" a="1"/>
  <c r="J9" i="19" s="1"/>
  <c r="J25" i="19" a="1"/>
  <c r="J25" i="19" s="1"/>
  <c r="T8" i="18" a="1"/>
  <c r="T8" i="18" s="1"/>
  <c r="O129" i="18" a="1"/>
  <c r="O129" i="18" s="1"/>
  <c r="P129" i="18" a="1"/>
  <c r="P129" i="18" s="1"/>
  <c r="O97" i="18" a="1"/>
  <c r="O97" i="18" s="1"/>
  <c r="P97" i="18" a="1"/>
  <c r="P97" i="18" s="1"/>
  <c r="O65" i="18" a="1"/>
  <c r="O65" i="18" s="1"/>
  <c r="P65" i="18" a="1"/>
  <c r="P65" i="18" s="1"/>
  <c r="O33" i="18" a="1"/>
  <c r="O33" i="18" s="1"/>
  <c r="O49" i="18" a="1"/>
  <c r="O49" i="18" s="1"/>
  <c r="O81" i="18" a="1"/>
  <c r="O81" i="18" s="1"/>
  <c r="O113" i="18" a="1"/>
  <c r="O113" i="18" s="1"/>
  <c r="O145" i="18" a="1"/>
  <c r="O145" i="18" s="1"/>
  <c r="P11" i="18" a="1"/>
  <c r="P11" i="18" s="1"/>
  <c r="P27" i="18" a="1"/>
  <c r="P27" i="18" s="1"/>
  <c r="R27" i="18" s="1"/>
  <c r="P43" i="18" a="1"/>
  <c r="P43" i="18" s="1"/>
  <c r="P59" i="18" a="1"/>
  <c r="P59" i="18" s="1"/>
  <c r="R59" i="18" s="1"/>
  <c r="U59" i="18" s="1"/>
  <c r="O50" i="18" a="1"/>
  <c r="O50" i="18" s="1"/>
  <c r="O82" i="18" a="1"/>
  <c r="O82" i="18" s="1"/>
  <c r="O114" i="18" a="1"/>
  <c r="O114" i="18" s="1"/>
  <c r="O146" i="18" a="1"/>
  <c r="O146" i="18" s="1"/>
  <c r="P28" i="18" a="1"/>
  <c r="P28" i="18" s="1"/>
  <c r="R28" i="18" s="1"/>
  <c r="U28" i="18" s="1"/>
  <c r="P60" i="18" a="1"/>
  <c r="P60" i="18" s="1"/>
  <c r="R60" i="18" s="1"/>
  <c r="U60" i="18" s="1"/>
  <c r="P92" i="18" a="1"/>
  <c r="P92" i="18" s="1"/>
  <c r="R92" i="18" s="1"/>
  <c r="U92" i="18" s="1"/>
  <c r="P124" i="18" a="1"/>
  <c r="P124" i="18" s="1"/>
  <c r="R124" i="18" s="1"/>
  <c r="U124" i="18" s="1"/>
  <c r="O34" i="18" a="1"/>
  <c r="O34" i="18" s="1"/>
  <c r="O66" i="18" a="1"/>
  <c r="O66" i="18" s="1"/>
  <c r="O98" i="18" a="1"/>
  <c r="O98" i="18" s="1"/>
  <c r="O130" i="18" a="1"/>
  <c r="O130" i="18" s="1"/>
  <c r="P12" i="18" a="1"/>
  <c r="P12" i="18" s="1"/>
  <c r="P44" i="18" a="1"/>
  <c r="P44" i="18" s="1"/>
  <c r="R44" i="18" s="1"/>
  <c r="U44" i="18" s="1"/>
  <c r="P76" i="18" a="1"/>
  <c r="P76" i="18" s="1"/>
  <c r="P108" i="18" a="1"/>
  <c r="P108" i="18" s="1"/>
  <c r="P140" i="18" a="1"/>
  <c r="P140" i="18" s="1"/>
  <c r="O51" i="18" a="1"/>
  <c r="O51" i="18" s="1"/>
  <c r="O67" i="18" a="1"/>
  <c r="O67" i="18" s="1"/>
  <c r="O99" i="18" a="1"/>
  <c r="O99" i="18" s="1"/>
  <c r="O131" i="18" a="1"/>
  <c r="O131" i="18" s="1"/>
  <c r="P13" i="18" a="1"/>
  <c r="P13" i="18" s="1"/>
  <c r="P45" i="18" a="1"/>
  <c r="P45" i="18" s="1"/>
  <c r="P77" i="18" a="1"/>
  <c r="P77" i="18" s="1"/>
  <c r="O35" i="18" a="1"/>
  <c r="O35" i="18" s="1"/>
  <c r="O83" i="18" a="1"/>
  <c r="O83" i="18" s="1"/>
  <c r="O115" i="18" a="1"/>
  <c r="O115" i="18" s="1"/>
  <c r="O147" i="18" a="1"/>
  <c r="O147" i="18" s="1"/>
  <c r="P29" i="18" a="1"/>
  <c r="P29" i="18" s="1"/>
  <c r="P61" i="18" a="1"/>
  <c r="P61" i="18" s="1"/>
  <c r="P93" i="18" a="1"/>
  <c r="P93" i="18" s="1"/>
  <c r="O36" i="18" a="1"/>
  <c r="O36" i="18" s="1"/>
  <c r="O52" i="18" a="1"/>
  <c r="O52" i="18" s="1"/>
  <c r="O84" i="18" a="1"/>
  <c r="O84" i="18" s="1"/>
  <c r="O100" i="18" a="1"/>
  <c r="O100" i="18" s="1"/>
  <c r="O132" i="18" a="1"/>
  <c r="O132" i="18" s="1"/>
  <c r="O148" i="18" a="1"/>
  <c r="O148" i="18" s="1"/>
  <c r="P30" i="18" a="1"/>
  <c r="P30" i="18" s="1"/>
  <c r="R30" i="18" s="1"/>
  <c r="U30" i="18" s="1"/>
  <c r="P62" i="18" a="1"/>
  <c r="P62" i="18" s="1"/>
  <c r="R62" i="18" s="1"/>
  <c r="U62" i="18" s="1"/>
  <c r="P94" i="18" a="1"/>
  <c r="P94" i="18" s="1"/>
  <c r="R94" i="18" s="1"/>
  <c r="U94" i="18" s="1"/>
  <c r="P126" i="18" a="1"/>
  <c r="P126" i="18" s="1"/>
  <c r="R126" i="18" s="1"/>
  <c r="U126" i="18" s="1"/>
  <c r="P142" i="18" a="1"/>
  <c r="P142" i="18" s="1"/>
  <c r="O68" i="18" a="1"/>
  <c r="O68" i="18" s="1"/>
  <c r="O116" i="18" a="1"/>
  <c r="O116" i="18" s="1"/>
  <c r="P14" i="18" a="1"/>
  <c r="P14" i="18" s="1"/>
  <c r="P46" i="18" a="1"/>
  <c r="P46" i="18" s="1"/>
  <c r="R46" i="18" s="1"/>
  <c r="U46" i="18" s="1"/>
  <c r="P78" i="18" a="1"/>
  <c r="P78" i="18" s="1"/>
  <c r="P110" i="18" a="1"/>
  <c r="P110" i="18" s="1"/>
  <c r="S7" i="18" a="1"/>
  <c r="S7" i="18" s="1"/>
  <c r="O37" i="18" a="1"/>
  <c r="O37" i="18" s="1"/>
  <c r="O69" i="18" a="1"/>
  <c r="O69" i="18" s="1"/>
  <c r="O101" i="18" a="1"/>
  <c r="O101" i="18" s="1"/>
  <c r="O133" i="18" a="1"/>
  <c r="O133" i="18" s="1"/>
  <c r="P15" i="18" a="1"/>
  <c r="P15" i="18" s="1"/>
  <c r="P63" i="18" a="1"/>
  <c r="P63" i="18" s="1"/>
  <c r="P95" i="18" a="1"/>
  <c r="P95" i="18" s="1"/>
  <c r="O53" i="18" a="1"/>
  <c r="O53" i="18" s="1"/>
  <c r="O85" i="18" a="1"/>
  <c r="O85" i="18" s="1"/>
  <c r="O117" i="18" a="1"/>
  <c r="O117" i="18" s="1"/>
  <c r="O149" i="18" a="1"/>
  <c r="O149" i="18" s="1"/>
  <c r="P31" i="18" a="1"/>
  <c r="P31" i="18" s="1"/>
  <c r="P47" i="18" a="1"/>
  <c r="P47" i="18" s="1"/>
  <c r="P79" i="18" a="1"/>
  <c r="P79" i="18" s="1"/>
  <c r="O38" i="18" a="1"/>
  <c r="O38" i="18" s="1"/>
  <c r="O70" i="18" a="1"/>
  <c r="O70" i="18" s="1"/>
  <c r="O102" i="18" a="1"/>
  <c r="O102" i="18" s="1"/>
  <c r="O134" i="18" a="1"/>
  <c r="O134" i="18" s="1"/>
  <c r="P16" i="18" a="1"/>
  <c r="P16" i="18" s="1"/>
  <c r="R16" i="18" s="1"/>
  <c r="U16" i="18" s="1"/>
  <c r="P48" i="18" a="1"/>
  <c r="P48" i="18" s="1"/>
  <c r="R48" i="18" s="1"/>
  <c r="U48" i="18" s="1"/>
  <c r="P80" i="18" a="1"/>
  <c r="P80" i="18" s="1"/>
  <c r="R80" i="18" s="1"/>
  <c r="U80" i="18" s="1"/>
  <c r="O54" i="18" a="1"/>
  <c r="O54" i="18" s="1"/>
  <c r="O86" i="18" a="1"/>
  <c r="O86" i="18" s="1"/>
  <c r="O118" i="18" a="1"/>
  <c r="O118" i="18" s="1"/>
  <c r="O150" i="18" a="1"/>
  <c r="O150" i="18" s="1"/>
  <c r="P32" i="18" a="1"/>
  <c r="P32" i="18" s="1"/>
  <c r="R32" i="18" s="1"/>
  <c r="U32" i="18" s="1"/>
  <c r="P64" i="18" a="1"/>
  <c r="P64" i="18" s="1"/>
  <c r="R64" i="18" s="1"/>
  <c r="U64" i="18" s="1"/>
  <c r="P96" i="18" a="1"/>
  <c r="P96" i="18" s="1"/>
  <c r="R96" i="18" s="1"/>
  <c r="U96" i="18" s="1"/>
  <c r="O71" i="18" a="1"/>
  <c r="O71" i="18" s="1"/>
  <c r="O119" i="18" a="1"/>
  <c r="O119" i="18" s="1"/>
  <c r="O151" i="18" a="1"/>
  <c r="O151" i="18" s="1"/>
  <c r="P81" i="18" a="1"/>
  <c r="P81" i="18" s="1"/>
  <c r="P145" i="18" a="1"/>
  <c r="P145" i="18" s="1"/>
  <c r="S26" i="18" a="1"/>
  <c r="S26" i="18" s="1"/>
  <c r="S58" i="18" a="1"/>
  <c r="S58" i="18" s="1"/>
  <c r="O39" i="18" a="1"/>
  <c r="O39" i="18" s="1"/>
  <c r="O55" i="18" a="1"/>
  <c r="O55" i="18" s="1"/>
  <c r="O87" i="18" a="1"/>
  <c r="O87" i="18" s="1"/>
  <c r="O103" i="18" a="1"/>
  <c r="O103" i="18" s="1"/>
  <c r="O135" i="18" a="1"/>
  <c r="O135" i="18" s="1"/>
  <c r="P17" i="18" a="1"/>
  <c r="P17" i="18" s="1"/>
  <c r="P33" i="18" a="1"/>
  <c r="P33" i="18" s="1"/>
  <c r="P49" i="18" a="1"/>
  <c r="P49" i="18" s="1"/>
  <c r="P113" i="18" a="1"/>
  <c r="P113" i="18" s="1"/>
  <c r="S10" i="18" a="1"/>
  <c r="S10" i="18" s="1"/>
  <c r="S42" i="18" a="1"/>
  <c r="S42" i="18" s="1"/>
  <c r="O40" i="18" a="1"/>
  <c r="O40" i="18" s="1"/>
  <c r="O56" i="18" a="1"/>
  <c r="O56" i="18" s="1"/>
  <c r="O88" i="18" a="1"/>
  <c r="O88" i="18" s="1"/>
  <c r="O120" i="18" a="1"/>
  <c r="O120" i="18" s="1"/>
  <c r="P2" i="18" a="1"/>
  <c r="P2" i="18" s="1"/>
  <c r="P34" i="18" a="1"/>
  <c r="P34" i="18" s="1"/>
  <c r="P66" i="18" a="1"/>
  <c r="P66" i="18" s="1"/>
  <c r="R66" i="18" s="1"/>
  <c r="U66" i="18" s="1"/>
  <c r="P82" i="18" a="1"/>
  <c r="P82" i="18" s="1"/>
  <c r="R82" i="18" s="1"/>
  <c r="U82" i="18" s="1"/>
  <c r="P114" i="18" a="1"/>
  <c r="P114" i="18" s="1"/>
  <c r="R114" i="18" s="1"/>
  <c r="U114" i="18" s="1"/>
  <c r="P146" i="18" a="1"/>
  <c r="P146" i="18" s="1"/>
  <c r="R146" i="18" s="1"/>
  <c r="U146" i="18" s="1"/>
  <c r="O72" i="18" a="1"/>
  <c r="O72" i="18" s="1"/>
  <c r="O104" i="18" a="1"/>
  <c r="O104" i="18" s="1"/>
  <c r="O136" i="18" a="1"/>
  <c r="O136" i="18" s="1"/>
  <c r="P18" i="18" a="1"/>
  <c r="P18" i="18" s="1"/>
  <c r="R18" i="18" s="1"/>
  <c r="U18" i="18" s="1"/>
  <c r="P50" i="18" a="1"/>
  <c r="P50" i="18" s="1"/>
  <c r="R50" i="18" s="1"/>
  <c r="U50" i="18" s="1"/>
  <c r="P98" i="18" a="1"/>
  <c r="P98" i="18" s="1"/>
  <c r="P130" i="18" a="1"/>
  <c r="P130" i="18" s="1"/>
  <c r="S11" i="18" a="1"/>
  <c r="S11" i="18" s="1"/>
  <c r="O89" i="18" a="1"/>
  <c r="O89" i="18" s="1"/>
  <c r="O121" i="18" a="1"/>
  <c r="O121" i="18" s="1"/>
  <c r="P3" i="18" a="1"/>
  <c r="P3" i="18" s="1"/>
  <c r="P35" i="18" a="1"/>
  <c r="P35" i="18" s="1"/>
  <c r="P83" i="18" a="1"/>
  <c r="P83" i="18" s="1"/>
  <c r="P115" i="18" a="1"/>
  <c r="P115" i="18" s="1"/>
  <c r="P147" i="18" a="1"/>
  <c r="P147" i="18" s="1"/>
  <c r="S28" i="18" a="1"/>
  <c r="S28" i="18" s="1"/>
  <c r="O41" i="18" a="1"/>
  <c r="O41" i="18" s="1"/>
  <c r="O57" i="18" a="1"/>
  <c r="O57" i="18" s="1"/>
  <c r="O73" i="18" a="1"/>
  <c r="O73" i="18" s="1"/>
  <c r="O105" i="18" a="1"/>
  <c r="O105" i="18" s="1"/>
  <c r="O137" i="18" a="1"/>
  <c r="O137" i="18" s="1"/>
  <c r="P19" i="18" a="1"/>
  <c r="P19" i="18" s="1"/>
  <c r="P51" i="18" a="1"/>
  <c r="P51" i="18" s="1"/>
  <c r="P67" i="18" a="1"/>
  <c r="P67" i="18" s="1"/>
  <c r="P99" i="18" a="1"/>
  <c r="P99" i="18" s="1"/>
  <c r="P131" i="18" a="1"/>
  <c r="P131" i="18" s="1"/>
  <c r="S12" i="18" a="1"/>
  <c r="S12" i="18" s="1"/>
  <c r="S44" i="18" a="1"/>
  <c r="S44" i="18" s="1"/>
  <c r="O42" i="18" a="1"/>
  <c r="O42" i="18" s="1"/>
  <c r="O58" i="18" a="1"/>
  <c r="O58" i="18" s="1"/>
  <c r="O74" i="18" a="1"/>
  <c r="O74" i="18" s="1"/>
  <c r="O106" i="18" a="1"/>
  <c r="O106" i="18" s="1"/>
  <c r="O122" i="18" a="1"/>
  <c r="O122" i="18" s="1"/>
  <c r="O138" i="18" a="1"/>
  <c r="O138" i="18" s="1"/>
  <c r="P20" i="18" a="1"/>
  <c r="P20" i="18" s="1"/>
  <c r="R20" i="18" s="1"/>
  <c r="U20" i="18" s="1"/>
  <c r="P52" i="18" a="1"/>
  <c r="P52" i="18" s="1"/>
  <c r="R52" i="18" s="1"/>
  <c r="U52" i="18" s="1"/>
  <c r="P84" i="18" a="1"/>
  <c r="P84" i="18" s="1"/>
  <c r="R84" i="18" s="1"/>
  <c r="U84" i="18" s="1"/>
  <c r="P100" i="18" a="1"/>
  <c r="P100" i="18" s="1"/>
  <c r="R100" i="18" s="1"/>
  <c r="U100" i="18" s="1"/>
  <c r="P132" i="18" a="1"/>
  <c r="P132" i="18" s="1"/>
  <c r="R132" i="18" s="1"/>
  <c r="U132" i="18" s="1"/>
  <c r="S13" i="18" a="1"/>
  <c r="S13" i="18" s="1"/>
  <c r="S29" i="18" a="1"/>
  <c r="S29" i="18" s="1"/>
  <c r="S61" i="18" a="1"/>
  <c r="S61" i="18" s="1"/>
  <c r="O90" i="18" a="1"/>
  <c r="O90" i="18" s="1"/>
  <c r="P4" i="18" a="1"/>
  <c r="P4" i="18" s="1"/>
  <c r="R4" i="18" s="1"/>
  <c r="U4" i="18" s="1"/>
  <c r="P36" i="18" a="1"/>
  <c r="P36" i="18" s="1"/>
  <c r="R36" i="18" s="1"/>
  <c r="U36" i="18" s="1"/>
  <c r="P68" i="18" a="1"/>
  <c r="P68" i="18" s="1"/>
  <c r="R68" i="18" s="1"/>
  <c r="U68" i="18" s="1"/>
  <c r="P116" i="18" a="1"/>
  <c r="P116" i="18" s="1"/>
  <c r="R116" i="18" s="1"/>
  <c r="U116" i="18" s="1"/>
  <c r="P148" i="18" a="1"/>
  <c r="P148" i="18" s="1"/>
  <c r="R148" i="18" s="1"/>
  <c r="U148" i="18" s="1"/>
  <c r="S45" i="18" a="1"/>
  <c r="S45" i="18" s="1"/>
  <c r="S77" i="18" a="1"/>
  <c r="S77" i="18" s="1"/>
  <c r="O43" i="18" a="1"/>
  <c r="O43" i="18" s="1"/>
  <c r="O75" i="18" a="1"/>
  <c r="O75" i="18" s="1"/>
  <c r="O107" i="18" a="1"/>
  <c r="O107" i="18" s="1"/>
  <c r="O139" i="18" a="1"/>
  <c r="O139" i="18" s="1"/>
  <c r="P5" i="18" a="1"/>
  <c r="P5" i="18" s="1"/>
  <c r="P37" i="18" a="1"/>
  <c r="P37" i="18" s="1"/>
  <c r="R37" i="18" s="1"/>
  <c r="U37" i="18" s="1"/>
  <c r="P69" i="18" a="1"/>
  <c r="P69" i="18" s="1"/>
  <c r="P101" i="18" a="1"/>
  <c r="P101" i="18" s="1"/>
  <c r="O59" i="18" a="1"/>
  <c r="O59" i="18" s="1"/>
  <c r="O91" i="18" a="1"/>
  <c r="O91" i="18" s="1"/>
  <c r="O123" i="18" a="1"/>
  <c r="O123" i="18" s="1"/>
  <c r="P21" i="18" a="1"/>
  <c r="P21" i="18" s="1"/>
  <c r="P53" i="18" a="1"/>
  <c r="P53" i="18" s="1"/>
  <c r="P85" i="18" a="1"/>
  <c r="P85" i="18" s="1"/>
  <c r="P117" i="18" a="1"/>
  <c r="P117" i="18" s="1"/>
  <c r="O60" i="18" a="1"/>
  <c r="O60" i="18" s="1"/>
  <c r="O92" i="18" a="1"/>
  <c r="O92" i="18" s="1"/>
  <c r="O124" i="18" a="1"/>
  <c r="O124" i="18" s="1"/>
  <c r="P6" i="18" a="1"/>
  <c r="P6" i="18" s="1"/>
  <c r="R6" i="18" s="1"/>
  <c r="U6" i="18" s="1"/>
  <c r="P38" i="18" a="1"/>
  <c r="P38" i="18" s="1"/>
  <c r="R38" i="18" s="1"/>
  <c r="U38" i="18" s="1"/>
  <c r="P70" i="18" a="1"/>
  <c r="P70" i="18" s="1"/>
  <c r="R70" i="18" s="1"/>
  <c r="U70" i="18" s="1"/>
  <c r="P102" i="18" a="1"/>
  <c r="P102" i="18" s="1"/>
  <c r="R102" i="18" s="1"/>
  <c r="U102" i="18" s="1"/>
  <c r="O44" i="18" a="1"/>
  <c r="O44" i="18" s="1"/>
  <c r="O76" i="18" a="1"/>
  <c r="O76" i="18" s="1"/>
  <c r="O108" i="18" a="1"/>
  <c r="O108" i="18" s="1"/>
  <c r="O140" i="18" a="1"/>
  <c r="O140" i="18" s="1"/>
  <c r="P22" i="18" a="1"/>
  <c r="P22" i="18" s="1"/>
  <c r="R22" i="18" s="1"/>
  <c r="U22" i="18" s="1"/>
  <c r="P54" i="18" a="1"/>
  <c r="P54" i="18" s="1"/>
  <c r="R54" i="18" s="1"/>
  <c r="U54" i="18" s="1"/>
  <c r="P86" i="18" a="1"/>
  <c r="P86" i="18" s="1"/>
  <c r="R86" i="18" s="1"/>
  <c r="U86" i="18" s="1"/>
  <c r="O29" i="18" a="1"/>
  <c r="O29" i="18" s="1"/>
  <c r="O61" i="18" a="1"/>
  <c r="O61" i="18" s="1"/>
  <c r="O93" i="18" a="1"/>
  <c r="O93" i="18" s="1"/>
  <c r="O125" i="18" a="1"/>
  <c r="O125" i="18" s="1"/>
  <c r="P7" i="18" a="1"/>
  <c r="P7" i="18" s="1"/>
  <c r="P39" i="18" a="1"/>
  <c r="P39" i="18" s="1"/>
  <c r="P71" i="18" a="1"/>
  <c r="P71" i="18" s="1"/>
  <c r="P87" i="18" a="1"/>
  <c r="P87" i="18" s="1"/>
  <c r="O45" i="18" a="1"/>
  <c r="O45" i="18" s="1"/>
  <c r="O77" i="18" a="1"/>
  <c r="O77" i="18" s="1"/>
  <c r="O109" i="18" a="1"/>
  <c r="O109" i="18" s="1"/>
  <c r="O141" i="18" a="1"/>
  <c r="O141" i="18" s="1"/>
  <c r="P23" i="18" a="1"/>
  <c r="P23" i="18" s="1"/>
  <c r="P55" i="18" a="1"/>
  <c r="P55" i="18" s="1"/>
  <c r="P103" i="18" a="1"/>
  <c r="P103" i="18" s="1"/>
  <c r="O62" i="18" a="1"/>
  <c r="O62" i="18" s="1"/>
  <c r="O78" i="18" a="1"/>
  <c r="O78" i="18" s="1"/>
  <c r="O110" i="18" a="1"/>
  <c r="O110" i="18" s="1"/>
  <c r="O142" i="18" a="1"/>
  <c r="O142" i="18" s="1"/>
  <c r="P24" i="18" a="1"/>
  <c r="P24" i="18" s="1"/>
  <c r="R24" i="18" s="1"/>
  <c r="U24" i="18" s="1"/>
  <c r="P56" i="18" a="1"/>
  <c r="P56" i="18" s="1"/>
  <c r="P88" i="18" a="1"/>
  <c r="P88" i="18" s="1"/>
  <c r="R88" i="18" s="1"/>
  <c r="U88" i="18" s="1"/>
  <c r="O46" i="18" a="1"/>
  <c r="O46" i="18" s="1"/>
  <c r="O94" i="18" a="1"/>
  <c r="O94" i="18" s="1"/>
  <c r="O126" i="18" a="1"/>
  <c r="O126" i="18" s="1"/>
  <c r="P8" i="18" a="1"/>
  <c r="P8" i="18" s="1"/>
  <c r="P40" i="18" a="1"/>
  <c r="P40" i="18" s="1"/>
  <c r="P72" i="18" a="1"/>
  <c r="P72" i="18" s="1"/>
  <c r="P104" i="18" a="1"/>
  <c r="P104" i="18" s="1"/>
  <c r="O79" i="18" a="1"/>
  <c r="O79" i="18" s="1"/>
  <c r="O127" i="18" a="1"/>
  <c r="O127" i="18" s="1"/>
  <c r="P9" i="18" a="1"/>
  <c r="P9" i="18" s="1"/>
  <c r="R9" i="18" s="1"/>
  <c r="U9" i="18" s="1"/>
  <c r="P41" i="18" a="1"/>
  <c r="P41" i="18" s="1"/>
  <c r="P73" i="18" a="1"/>
  <c r="P73" i="18" s="1"/>
  <c r="P121" i="18" a="1"/>
  <c r="P121" i="18" s="1"/>
  <c r="P137" i="18" a="1"/>
  <c r="P137" i="18" s="1"/>
  <c r="O47" i="18" a="1"/>
  <c r="O47" i="18" s="1"/>
  <c r="O63" i="18" a="1"/>
  <c r="O63" i="18" s="1"/>
  <c r="O95" i="18" a="1"/>
  <c r="O95" i="18" s="1"/>
  <c r="O111" i="18" a="1"/>
  <c r="O111" i="18" s="1"/>
  <c r="O143" i="18" a="1"/>
  <c r="O143" i="18" s="1"/>
  <c r="P25" i="18" a="1"/>
  <c r="P25" i="18" s="1"/>
  <c r="P57" i="18" a="1"/>
  <c r="P57" i="18" s="1"/>
  <c r="P89" i="18" a="1"/>
  <c r="P89" i="18" s="1"/>
  <c r="P105" i="18" a="1"/>
  <c r="P105" i="18" s="1"/>
  <c r="S2" i="18" a="1"/>
  <c r="S2" i="18" s="1"/>
  <c r="O16" i="18" a="1"/>
  <c r="O16" i="18" s="1"/>
  <c r="O32" i="18" a="1"/>
  <c r="O32" i="18" s="1"/>
  <c r="O48" i="18" a="1"/>
  <c r="O48" i="18" s="1"/>
  <c r="O64" i="18" a="1"/>
  <c r="O64" i="18" s="1"/>
  <c r="O80" i="18" a="1"/>
  <c r="O80" i="18" s="1"/>
  <c r="O96" i="18" a="1"/>
  <c r="O96" i="18" s="1"/>
  <c r="O112" i="18" a="1"/>
  <c r="O112" i="18" s="1"/>
  <c r="O128" i="18" a="1"/>
  <c r="O128" i="18" s="1"/>
  <c r="O144" i="18" a="1"/>
  <c r="O144" i="18" s="1"/>
  <c r="T129" i="18" a="1"/>
  <c r="T129" i="18" s="1"/>
  <c r="T99" i="18" a="1"/>
  <c r="T99" i="18" s="1"/>
  <c r="T69" i="18" a="1"/>
  <c r="T69" i="18" s="1"/>
  <c r="T39" i="18" a="1"/>
  <c r="T39" i="18" s="1"/>
  <c r="T9" i="18" a="1"/>
  <c r="T9" i="18" s="1"/>
  <c r="S129" i="18" a="1"/>
  <c r="S129" i="18" s="1"/>
  <c r="S99" i="18" a="1"/>
  <c r="S99" i="18" s="1"/>
  <c r="S33" i="18" a="1"/>
  <c r="S33" i="18" s="1"/>
  <c r="P118" i="18" a="1"/>
  <c r="P118" i="18" s="1"/>
  <c r="R118" i="18" s="1"/>
  <c r="U118" i="18" s="1"/>
  <c r="U121" i="18"/>
  <c r="R121" i="18"/>
  <c r="R93" i="18"/>
  <c r="U93" i="18"/>
  <c r="R65" i="18"/>
  <c r="U65" i="18" s="1"/>
  <c r="R8" i="18"/>
  <c r="U8" i="18" s="1"/>
  <c r="O18" i="18" a="1"/>
  <c r="O18" i="18" s="1"/>
  <c r="P112" i="18" a="1"/>
  <c r="P112" i="18" s="1"/>
  <c r="R112" i="18" s="1"/>
  <c r="U112" i="18" s="1"/>
  <c r="R7" i="18"/>
  <c r="U7" i="18" s="1"/>
  <c r="O2" i="18" a="1"/>
  <c r="O2" i="18" s="1"/>
  <c r="T127" i="18" a="1"/>
  <c r="T127" i="18" s="1"/>
  <c r="T97" i="18" a="1"/>
  <c r="T97" i="18" s="1"/>
  <c r="T67" i="18" a="1"/>
  <c r="T67" i="18" s="1"/>
  <c r="T37" i="18" a="1"/>
  <c r="T37" i="18" s="1"/>
  <c r="T7" i="18" a="1"/>
  <c r="T7" i="18" s="1"/>
  <c r="S127" i="18" a="1"/>
  <c r="S127" i="18" s="1"/>
  <c r="S97" i="18" a="1"/>
  <c r="S97" i="18" s="1"/>
  <c r="S66" i="18" a="1"/>
  <c r="S66" i="18" s="1"/>
  <c r="S31" i="18" a="1"/>
  <c r="S31" i="18" s="1"/>
  <c r="P111" i="18" a="1"/>
  <c r="P111" i="18" s="1"/>
  <c r="R119" i="18"/>
  <c r="U119" i="18" s="1"/>
  <c r="R63" i="18"/>
  <c r="U63" i="18" s="1"/>
  <c r="R35" i="18"/>
  <c r="U35" i="18" s="1"/>
  <c r="T96" i="18" a="1"/>
  <c r="T96" i="18" s="1"/>
  <c r="T66" i="18" a="1"/>
  <c r="T66" i="18" s="1"/>
  <c r="T36" i="18" a="1"/>
  <c r="T36" i="18" s="1"/>
  <c r="T6" i="18" a="1"/>
  <c r="T6" i="18" s="1"/>
  <c r="S126" i="18" a="1"/>
  <c r="S126" i="18" s="1"/>
  <c r="S96" i="18" a="1"/>
  <c r="S96" i="18" s="1"/>
  <c r="S65" i="18" a="1"/>
  <c r="S65" i="18" s="1"/>
  <c r="S30" i="18" a="1"/>
  <c r="S30" i="18" s="1"/>
  <c r="P109" i="18" a="1"/>
  <c r="P109" i="18" s="1"/>
  <c r="R34" i="18"/>
  <c r="U34" i="18" s="1"/>
  <c r="T95" i="18" a="1"/>
  <c r="T95" i="18" s="1"/>
  <c r="T65" i="18" a="1"/>
  <c r="T65" i="18" s="1"/>
  <c r="T35" i="18" a="1"/>
  <c r="T35" i="18" s="1"/>
  <c r="T5" i="18" a="1"/>
  <c r="T5" i="18" s="1"/>
  <c r="S125" i="18" a="1"/>
  <c r="S125" i="18" s="1"/>
  <c r="S95" i="18" a="1"/>
  <c r="S95" i="18" s="1"/>
  <c r="S64" i="18" a="1"/>
  <c r="S64" i="18" s="1"/>
  <c r="S27" i="18" a="1"/>
  <c r="S27" i="18" s="1"/>
  <c r="P107" i="18" a="1"/>
  <c r="P107" i="18" s="1"/>
  <c r="R107" i="18" s="1"/>
  <c r="U107" i="18" s="1"/>
  <c r="R147" i="18"/>
  <c r="U147" i="18" s="1"/>
  <c r="R89" i="18"/>
  <c r="U89" i="18" s="1"/>
  <c r="R61" i="18"/>
  <c r="U61" i="18"/>
  <c r="R33" i="18"/>
  <c r="U33" i="18"/>
  <c r="R5" i="18"/>
  <c r="U5" i="18" s="1"/>
  <c r="O17" i="18" a="1"/>
  <c r="O17" i="18" s="1"/>
  <c r="T64" i="18" a="1"/>
  <c r="T64" i="18" s="1"/>
  <c r="T34" i="18" a="1"/>
  <c r="T34" i="18" s="1"/>
  <c r="T4" i="18" a="1"/>
  <c r="T4" i="18" s="1"/>
  <c r="S124" i="18" a="1"/>
  <c r="S124" i="18" s="1"/>
  <c r="S94" i="18" a="1"/>
  <c r="S94" i="18" s="1"/>
  <c r="S63" i="18" a="1"/>
  <c r="S63" i="18" s="1"/>
  <c r="S25" i="18" a="1"/>
  <c r="S25" i="18" s="1"/>
  <c r="O7" i="18" a="1"/>
  <c r="O7" i="18" s="1"/>
  <c r="T124" i="18" a="1"/>
  <c r="T124" i="18" s="1"/>
  <c r="T63" i="18" a="1"/>
  <c r="T63" i="18" s="1"/>
  <c r="T33" i="18" a="1"/>
  <c r="T33" i="18" s="1"/>
  <c r="T3" i="18" a="1"/>
  <c r="T3" i="18" s="1"/>
  <c r="S123" i="18" a="1"/>
  <c r="S123" i="18" s="1"/>
  <c r="S93" i="18" a="1"/>
  <c r="S93" i="18" s="1"/>
  <c r="S62" i="18" a="1"/>
  <c r="S62" i="18" s="1"/>
  <c r="S24" i="18" a="1"/>
  <c r="S24" i="18" s="1"/>
  <c r="P106" i="18" a="1"/>
  <c r="P106" i="18" s="1"/>
  <c r="R145" i="18"/>
  <c r="U145" i="18" s="1"/>
  <c r="U87" i="18"/>
  <c r="R87" i="18"/>
  <c r="R31" i="18"/>
  <c r="U31" i="18"/>
  <c r="T62" i="18" a="1"/>
  <c r="T62" i="18" s="1"/>
  <c r="T2" i="18" a="1"/>
  <c r="T2" i="18" s="1"/>
  <c r="S122" i="18" a="1"/>
  <c r="S122" i="18" s="1"/>
  <c r="S92" i="18" a="1"/>
  <c r="S92" i="18" s="1"/>
  <c r="S60" i="18" a="1"/>
  <c r="S60" i="18" s="1"/>
  <c r="S23" i="18" a="1"/>
  <c r="S23" i="18" s="1"/>
  <c r="P91" i="18" a="1"/>
  <c r="P91" i="18" s="1"/>
  <c r="R91" i="18" s="1"/>
  <c r="U91" i="18" s="1"/>
  <c r="R3" i="18"/>
  <c r="U3" i="18"/>
  <c r="T93" i="18" a="1"/>
  <c r="T93" i="18" s="1"/>
  <c r="T32" i="18" a="1"/>
  <c r="T32" i="18" s="1"/>
  <c r="T122" i="18" a="1"/>
  <c r="T122" i="18" s="1"/>
  <c r="T92" i="18" a="1"/>
  <c r="T92" i="18" s="1"/>
  <c r="T31" i="18" a="1"/>
  <c r="T31" i="18" s="1"/>
  <c r="S151" i="18" a="1"/>
  <c r="S151" i="18" s="1"/>
  <c r="S121" i="18" a="1"/>
  <c r="S121" i="18" s="1"/>
  <c r="S91" i="18" a="1"/>
  <c r="S91" i="18" s="1"/>
  <c r="S59" i="18" a="1"/>
  <c r="S59" i="18" s="1"/>
  <c r="S22" i="18" a="1"/>
  <c r="S22" i="18" s="1"/>
  <c r="R115" i="18"/>
  <c r="U115" i="18" s="1"/>
  <c r="R57" i="18"/>
  <c r="U57" i="18" s="1"/>
  <c r="R29" i="18"/>
  <c r="U29" i="18" s="1"/>
  <c r="R2" i="18"/>
  <c r="U2" i="18" s="1"/>
  <c r="S150" i="18" a="1"/>
  <c r="S150" i="18" s="1"/>
  <c r="S120" i="18" a="1"/>
  <c r="S120" i="18" s="1"/>
  <c r="S90" i="18" a="1"/>
  <c r="S90" i="18" s="1"/>
  <c r="S57" i="18" a="1"/>
  <c r="S57" i="18" s="1"/>
  <c r="S21" i="18" a="1"/>
  <c r="S21" i="18" s="1"/>
  <c r="P90" i="18" a="1"/>
  <c r="P90" i="18" s="1"/>
  <c r="R90" i="18" s="1"/>
  <c r="U90" i="18" s="1"/>
  <c r="R142" i="18"/>
  <c r="U142" i="18" s="1"/>
  <c r="R56" i="18"/>
  <c r="U56" i="18" s="1"/>
  <c r="T90" i="18" a="1"/>
  <c r="T90" i="18" s="1"/>
  <c r="T60" i="18" a="1"/>
  <c r="T60" i="18" s="1"/>
  <c r="S149" i="18" a="1"/>
  <c r="S149" i="18" s="1"/>
  <c r="S119" i="18" a="1"/>
  <c r="S119" i="18" s="1"/>
  <c r="S89" i="18" a="1"/>
  <c r="S89" i="18" s="1"/>
  <c r="S56" i="18" a="1"/>
  <c r="S56" i="18" s="1"/>
  <c r="S20" i="18" a="1"/>
  <c r="S20" i="18" s="1"/>
  <c r="P75" i="18" a="1"/>
  <c r="P75" i="18" s="1"/>
  <c r="R113" i="18"/>
  <c r="U113" i="18" s="1"/>
  <c r="R55" i="18"/>
  <c r="U55" i="18" s="1"/>
  <c r="U27" i="18"/>
  <c r="T29" i="18" a="1"/>
  <c r="T29" i="18" s="1"/>
  <c r="S148" i="18" a="1"/>
  <c r="S148" i="18" s="1"/>
  <c r="S118" i="18" a="1"/>
  <c r="S118" i="18" s="1"/>
  <c r="S88" i="18" a="1"/>
  <c r="S88" i="18" s="1"/>
  <c r="S55" i="18" a="1"/>
  <c r="S55" i="18" s="1"/>
  <c r="P151" i="18" a="1"/>
  <c r="P151" i="18" s="1"/>
  <c r="R140" i="18"/>
  <c r="U140" i="18" s="1"/>
  <c r="T148" i="18" a="1"/>
  <c r="T148" i="18" s="1"/>
  <c r="T118" i="18" a="1"/>
  <c r="T118" i="18" s="1"/>
  <c r="T88" i="18" a="1"/>
  <c r="T88" i="18" s="1"/>
  <c r="T58" i="18" a="1"/>
  <c r="T58" i="18" s="1"/>
  <c r="T28" i="18" a="1"/>
  <c r="T28" i="18" s="1"/>
  <c r="S117" i="18" a="1"/>
  <c r="S117" i="18" s="1"/>
  <c r="S87" i="18" a="1"/>
  <c r="S87" i="18" s="1"/>
  <c r="S54" i="18" a="1"/>
  <c r="S54" i="18" s="1"/>
  <c r="S19" i="18" a="1"/>
  <c r="S19" i="18" s="1"/>
  <c r="P150" i="18" a="1"/>
  <c r="P150" i="18" s="1"/>
  <c r="R150" i="18" s="1"/>
  <c r="U150" i="18" s="1"/>
  <c r="P74" i="18" a="1"/>
  <c r="P74" i="18" s="1"/>
  <c r="R111" i="18"/>
  <c r="U111" i="18" s="1"/>
  <c r="R83" i="18"/>
  <c r="U83" i="18" s="1"/>
  <c r="U25" i="18"/>
  <c r="R25" i="18"/>
  <c r="T147" i="18" a="1"/>
  <c r="T147" i="18" s="1"/>
  <c r="T117" i="18" a="1"/>
  <c r="T117" i="18" s="1"/>
  <c r="T87" i="18" a="1"/>
  <c r="T87" i="18" s="1"/>
  <c r="T57" i="18" a="1"/>
  <c r="T57" i="18" s="1"/>
  <c r="T27" i="18" a="1"/>
  <c r="T27" i="18" s="1"/>
  <c r="S147" i="18" a="1"/>
  <c r="S147" i="18" s="1"/>
  <c r="S116" i="18" a="1"/>
  <c r="S116" i="18" s="1"/>
  <c r="S86" i="18" a="1"/>
  <c r="S86" i="18" s="1"/>
  <c r="S53" i="18" a="1"/>
  <c r="S53" i="18" s="1"/>
  <c r="S18" i="18" a="1"/>
  <c r="S18" i="18" s="1"/>
  <c r="P149" i="18" a="1"/>
  <c r="P149" i="18" s="1"/>
  <c r="R110" i="18"/>
  <c r="U110" i="18" s="1"/>
  <c r="T26" i="18" a="1"/>
  <c r="T26" i="18" s="1"/>
  <c r="S146" i="18" a="1"/>
  <c r="S146" i="18" s="1"/>
  <c r="S85" i="18" a="1"/>
  <c r="S85" i="18" s="1"/>
  <c r="S52" i="18" a="1"/>
  <c r="S52" i="18" s="1"/>
  <c r="S17" i="18" a="1"/>
  <c r="S17" i="18" s="1"/>
  <c r="P144" i="18" a="1"/>
  <c r="P144" i="18" s="1"/>
  <c r="R144" i="18" s="1"/>
  <c r="U144" i="18" s="1"/>
  <c r="P58" i="18" a="1"/>
  <c r="P58" i="18" s="1"/>
  <c r="R58" i="18" s="1"/>
  <c r="U58" i="18" s="1"/>
  <c r="R137" i="18"/>
  <c r="U137" i="18" s="1"/>
  <c r="R109" i="18"/>
  <c r="U109" i="18" s="1"/>
  <c r="R81" i="18"/>
  <c r="U81" i="18" s="1"/>
  <c r="R23" i="18"/>
  <c r="U23" i="18" s="1"/>
  <c r="T85" i="18" a="1"/>
  <c r="T85" i="18" s="1"/>
  <c r="T55" i="18" a="1"/>
  <c r="T55" i="18" s="1"/>
  <c r="T25" i="18" a="1"/>
  <c r="T25" i="18" s="1"/>
  <c r="S145" i="18" a="1"/>
  <c r="S145" i="18" s="1"/>
  <c r="S115" i="18" a="1"/>
  <c r="S115" i="18" s="1"/>
  <c r="S84" i="18" a="1"/>
  <c r="S84" i="18" s="1"/>
  <c r="S16" i="18" a="1"/>
  <c r="S16" i="18" s="1"/>
  <c r="P143" i="18" a="1"/>
  <c r="P143" i="18" s="1"/>
  <c r="R143" i="18" s="1"/>
  <c r="U143" i="18" s="1"/>
  <c r="R108" i="18"/>
  <c r="U108" i="18" s="1"/>
  <c r="T84" i="18" a="1"/>
  <c r="T84" i="18" s="1"/>
  <c r="T54" i="18" a="1"/>
  <c r="T54" i="18" s="1"/>
  <c r="T24" i="18" a="1"/>
  <c r="T24" i="18" s="1"/>
  <c r="S144" i="18" a="1"/>
  <c r="S144" i="18" s="1"/>
  <c r="S114" i="18" a="1"/>
  <c r="S114" i="18" s="1"/>
  <c r="S51" i="18" a="1"/>
  <c r="S51" i="18" s="1"/>
  <c r="S15" i="18" a="1"/>
  <c r="S15" i="18" s="1"/>
  <c r="P141" i="18" a="1"/>
  <c r="P141" i="18" s="1"/>
  <c r="R141" i="18" s="1"/>
  <c r="U141" i="18" s="1"/>
  <c r="P42" i="18" a="1"/>
  <c r="P42" i="18" s="1"/>
  <c r="R79" i="18"/>
  <c r="U79" i="18" s="1"/>
  <c r="R51" i="18"/>
  <c r="U51" i="18" s="1"/>
  <c r="T53" i="18" a="1"/>
  <c r="T53" i="18" s="1"/>
  <c r="T23" i="18" a="1"/>
  <c r="T23" i="18" s="1"/>
  <c r="S143" i="18" a="1"/>
  <c r="S143" i="18" s="1"/>
  <c r="S113" i="18" a="1"/>
  <c r="S113" i="18" s="1"/>
  <c r="S83" i="18" a="1"/>
  <c r="S83" i="18" s="1"/>
  <c r="S50" i="18" a="1"/>
  <c r="S50" i="18" s="1"/>
  <c r="S14" i="18" a="1"/>
  <c r="S14" i="18" s="1"/>
  <c r="P139" i="18" a="1"/>
  <c r="P139" i="18" s="1"/>
  <c r="R139" i="18" s="1"/>
  <c r="U139" i="18" s="1"/>
  <c r="R106" i="18"/>
  <c r="U106" i="18" s="1"/>
  <c r="R78" i="18"/>
  <c r="U78" i="18" s="1"/>
  <c r="T142" i="18" a="1"/>
  <c r="T142" i="18" s="1"/>
  <c r="T112" i="18" a="1"/>
  <c r="T112" i="18" s="1"/>
  <c r="T82" i="18" a="1"/>
  <c r="T82" i="18" s="1"/>
  <c r="T52" i="18" a="1"/>
  <c r="T52" i="18" s="1"/>
  <c r="T22" i="18" a="1"/>
  <c r="T22" i="18" s="1"/>
  <c r="S142" i="18" a="1"/>
  <c r="S142" i="18" s="1"/>
  <c r="S112" i="18" a="1"/>
  <c r="S112" i="18" s="1"/>
  <c r="S82" i="18" a="1"/>
  <c r="S82" i="18" s="1"/>
  <c r="S49" i="18" a="1"/>
  <c r="S49" i="18" s="1"/>
  <c r="S9" i="18" a="1"/>
  <c r="S9" i="18" s="1"/>
  <c r="P26" i="18" a="1"/>
  <c r="P26" i="18" s="1"/>
  <c r="R26" i="18" s="1"/>
  <c r="U26" i="18" s="1"/>
  <c r="R105" i="18"/>
  <c r="U105" i="18" s="1"/>
  <c r="R77" i="18"/>
  <c r="U77" i="18" s="1"/>
  <c r="R49" i="18"/>
  <c r="U49" i="18" s="1"/>
  <c r="T81" i="18" a="1"/>
  <c r="T81" i="18" s="1"/>
  <c r="T51" i="18" a="1"/>
  <c r="T51" i="18" s="1"/>
  <c r="T21" i="18" a="1"/>
  <c r="T21" i="18" s="1"/>
  <c r="S141" i="18" a="1"/>
  <c r="S141" i="18" s="1"/>
  <c r="S111" i="18" a="1"/>
  <c r="S111" i="18" s="1"/>
  <c r="S81" i="18" a="1"/>
  <c r="S81" i="18" s="1"/>
  <c r="S48" i="18" a="1"/>
  <c r="S48" i="18" s="1"/>
  <c r="S8" i="18" a="1"/>
  <c r="S8" i="18" s="1"/>
  <c r="P138" i="18" a="1"/>
  <c r="P138" i="18" s="1"/>
  <c r="R138" i="18" s="1"/>
  <c r="U138" i="18" s="1"/>
  <c r="R133" i="18"/>
  <c r="U133" i="18" s="1"/>
  <c r="R104" i="18"/>
  <c r="U104" i="18" s="1"/>
  <c r="R76" i="18"/>
  <c r="U76" i="18" s="1"/>
  <c r="T50" i="18" a="1"/>
  <c r="T50" i="18" s="1"/>
  <c r="T20" i="18" a="1"/>
  <c r="T20" i="18" s="1"/>
  <c r="S140" i="18" a="1"/>
  <c r="S140" i="18" s="1"/>
  <c r="S110" i="18" a="1"/>
  <c r="S110" i="18" s="1"/>
  <c r="S80" i="18" a="1"/>
  <c r="S80" i="18" s="1"/>
  <c r="S47" i="18" a="1"/>
  <c r="S47" i="18" s="1"/>
  <c r="S6" i="18" a="1"/>
  <c r="S6" i="18" s="1"/>
  <c r="P136" i="18" a="1"/>
  <c r="P136" i="18" s="1"/>
  <c r="R136" i="18" s="1"/>
  <c r="U136" i="18" s="1"/>
  <c r="P10" i="18" a="1"/>
  <c r="P10" i="18" s="1"/>
  <c r="R10" i="18" s="1"/>
  <c r="U10" i="18" s="1"/>
  <c r="R103" i="18"/>
  <c r="U103" i="18"/>
  <c r="R75" i="18"/>
  <c r="U75" i="18" s="1"/>
  <c r="R47" i="18"/>
  <c r="U47" i="18" s="1"/>
  <c r="U19" i="18"/>
  <c r="R19" i="18"/>
  <c r="T49" i="18" a="1"/>
  <c r="T49" i="18" s="1"/>
  <c r="T19" i="18" a="1"/>
  <c r="T19" i="18" s="1"/>
  <c r="S139" i="18" a="1"/>
  <c r="S139" i="18" s="1"/>
  <c r="S109" i="18" a="1"/>
  <c r="S109" i="18" s="1"/>
  <c r="S79" i="18" a="1"/>
  <c r="S79" i="18" s="1"/>
  <c r="S46" i="18" a="1"/>
  <c r="S46" i="18" s="1"/>
  <c r="S5" i="18" a="1"/>
  <c r="S5" i="18" s="1"/>
  <c r="P135" i="18" a="1"/>
  <c r="P135" i="18" s="1"/>
  <c r="R135" i="18" s="1"/>
  <c r="U135" i="18" s="1"/>
  <c r="R74" i="18"/>
  <c r="U74" i="18" s="1"/>
  <c r="T48" i="18" a="1"/>
  <c r="T48" i="18" s="1"/>
  <c r="T18" i="18" a="1"/>
  <c r="T18" i="18" s="1"/>
  <c r="S138" i="18" a="1"/>
  <c r="S138" i="18" s="1"/>
  <c r="S108" i="18" a="1"/>
  <c r="S108" i="18" s="1"/>
  <c r="S78" i="18" a="1"/>
  <c r="S78" i="18" s="1"/>
  <c r="S43" i="18" a="1"/>
  <c r="S43" i="18" s="1"/>
  <c r="S4" i="18" a="1"/>
  <c r="S4" i="18" s="1"/>
  <c r="P134" i="18" a="1"/>
  <c r="P134" i="18" s="1"/>
  <c r="R134" i="18" s="1"/>
  <c r="U134" i="18" s="1"/>
  <c r="R131" i="18"/>
  <c r="U131" i="18" s="1"/>
  <c r="R73" i="18"/>
  <c r="U73" i="18" s="1"/>
  <c r="R45" i="18"/>
  <c r="U45" i="18" s="1"/>
  <c r="U17" i="18"/>
  <c r="R17" i="18"/>
  <c r="T47" i="18" a="1"/>
  <c r="T47" i="18" s="1"/>
  <c r="T17" i="18" a="1"/>
  <c r="T17" i="18" s="1"/>
  <c r="S137" i="18" a="1"/>
  <c r="S137" i="18" s="1"/>
  <c r="S107" i="18" a="1"/>
  <c r="S107" i="18" s="1"/>
  <c r="S76" i="18" a="1"/>
  <c r="S76" i="18" s="1"/>
  <c r="S41" i="18" a="1"/>
  <c r="S41" i="18" s="1"/>
  <c r="P133" i="18" a="1"/>
  <c r="P133" i="18" s="1"/>
  <c r="R130" i="18"/>
  <c r="U130" i="18" s="1"/>
  <c r="R101" i="18"/>
  <c r="U101" i="18" s="1"/>
  <c r="R72" i="18"/>
  <c r="U72" i="18" s="1"/>
  <c r="T77" i="18" a="1"/>
  <c r="T77" i="18" s="1"/>
  <c r="T46" i="18" a="1"/>
  <c r="T46" i="18" s="1"/>
  <c r="T16" i="18" a="1"/>
  <c r="T16" i="18" s="1"/>
  <c r="S136" i="18" a="1"/>
  <c r="S136" i="18" s="1"/>
  <c r="S106" i="18" a="1"/>
  <c r="S106" i="18" s="1"/>
  <c r="S75" i="18" a="1"/>
  <c r="S75" i="18" s="1"/>
  <c r="S40" i="18" a="1"/>
  <c r="S40" i="18" s="1"/>
  <c r="S3" i="18" a="1"/>
  <c r="S3" i="18" s="1"/>
  <c r="P128" i="18" a="1"/>
  <c r="P128" i="18" s="1"/>
  <c r="R128" i="18" s="1"/>
  <c r="U128" i="18" s="1"/>
  <c r="R129" i="18"/>
  <c r="U129" i="18" s="1"/>
  <c r="R71" i="18"/>
  <c r="U71" i="18" s="1"/>
  <c r="R43" i="18"/>
  <c r="U43" i="18" s="1"/>
  <c r="R15" i="18"/>
  <c r="U15" i="18" s="1"/>
  <c r="T15" i="18" a="1"/>
  <c r="T15" i="18" s="1"/>
  <c r="S135" i="18" a="1"/>
  <c r="S135" i="18" s="1"/>
  <c r="S105" i="18" a="1"/>
  <c r="S105" i="18" s="1"/>
  <c r="S74" i="18" a="1"/>
  <c r="S74" i="18" s="1"/>
  <c r="S39" i="18" a="1"/>
  <c r="S39" i="18" s="1"/>
  <c r="P127" i="18" a="1"/>
  <c r="P127" i="18" s="1"/>
  <c r="R127" i="18" s="1"/>
  <c r="U127" i="18" s="1"/>
  <c r="R42" i="18"/>
  <c r="U42" i="18" s="1"/>
  <c r="R14" i="18"/>
  <c r="U14" i="18" s="1"/>
  <c r="T75" i="18" a="1"/>
  <c r="T75" i="18" s="1"/>
  <c r="T45" i="18" a="1"/>
  <c r="T45" i="18" s="1"/>
  <c r="T14" i="18" a="1"/>
  <c r="T14" i="18" s="1"/>
  <c r="S134" i="18" a="1"/>
  <c r="S134" i="18" s="1"/>
  <c r="S104" i="18" a="1"/>
  <c r="S104" i="18" s="1"/>
  <c r="S73" i="18" a="1"/>
  <c r="S73" i="18" s="1"/>
  <c r="S38" i="18" a="1"/>
  <c r="S38" i="18" s="1"/>
  <c r="P125" i="18" a="1"/>
  <c r="P125" i="18" s="1"/>
  <c r="R125" i="18" s="1"/>
  <c r="U125" i="18" s="1"/>
  <c r="R99" i="18"/>
  <c r="U99" i="18"/>
  <c r="R41" i="18"/>
  <c r="U41" i="18"/>
  <c r="R13" i="18"/>
  <c r="U13" i="18" s="1"/>
  <c r="T74" i="18" a="1"/>
  <c r="T74" i="18" s="1"/>
  <c r="T44" i="18" a="1"/>
  <c r="T44" i="18" s="1"/>
  <c r="S133" i="18" a="1"/>
  <c r="S133" i="18" s="1"/>
  <c r="S103" i="18" a="1"/>
  <c r="S103" i="18" s="1"/>
  <c r="S72" i="18" a="1"/>
  <c r="S72" i="18" s="1"/>
  <c r="S37" i="18" a="1"/>
  <c r="S37" i="18" s="1"/>
  <c r="P123" i="18" a="1"/>
  <c r="P123" i="18" s="1"/>
  <c r="R123" i="18" s="1"/>
  <c r="U123" i="18" s="1"/>
  <c r="R98" i="18"/>
  <c r="U98" i="18" s="1"/>
  <c r="R69" i="18"/>
  <c r="U69" i="18" s="1"/>
  <c r="R40" i="18"/>
  <c r="U40" i="18" s="1"/>
  <c r="R12" i="18"/>
  <c r="U12" i="18" s="1"/>
  <c r="T133" i="18" a="1"/>
  <c r="T133" i="18" s="1"/>
  <c r="T73" i="18" a="1"/>
  <c r="T73" i="18" s="1"/>
  <c r="T13" i="18" a="1"/>
  <c r="T13" i="18" s="1"/>
  <c r="S132" i="18" a="1"/>
  <c r="S132" i="18" s="1"/>
  <c r="S102" i="18" a="1"/>
  <c r="S102" i="18" s="1"/>
  <c r="S71" i="18" a="1"/>
  <c r="S71" i="18" s="1"/>
  <c r="S36" i="18" a="1"/>
  <c r="S36" i="18" s="1"/>
  <c r="R97" i="18"/>
  <c r="U97" i="18" s="1"/>
  <c r="R39" i="18"/>
  <c r="U39" i="18" s="1"/>
  <c r="R11" i="18"/>
  <c r="U11" i="18" s="1"/>
  <c r="T103" i="18" a="1"/>
  <c r="T103" i="18" s="1"/>
  <c r="T43" i="18" a="1"/>
  <c r="T43" i="18" s="1"/>
  <c r="T132" i="18" a="1"/>
  <c r="T132" i="18" s="1"/>
  <c r="T102" i="18" a="1"/>
  <c r="T102" i="18" s="1"/>
  <c r="T72" i="18" a="1"/>
  <c r="T72" i="18" s="1"/>
  <c r="T42" i="18" a="1"/>
  <c r="T42" i="18" s="1"/>
  <c r="T12" i="18" a="1"/>
  <c r="T12" i="18" s="1"/>
  <c r="S101" i="18" a="1"/>
  <c r="S101" i="18" s="1"/>
  <c r="S70" i="18" a="1"/>
  <c r="S70" i="18" s="1"/>
  <c r="P122" i="18" a="1"/>
  <c r="P122" i="18" s="1"/>
  <c r="R122" i="18" s="1"/>
  <c r="U122" i="18" s="1"/>
  <c r="T101" i="18" a="1"/>
  <c r="T101" i="18" s="1"/>
  <c r="T71" i="18" a="1"/>
  <c r="T71" i="18" s="1"/>
  <c r="T41" i="18" a="1"/>
  <c r="T41" i="18" s="1"/>
  <c r="T11" i="18" a="1"/>
  <c r="T11" i="18" s="1"/>
  <c r="S131" i="18" a="1"/>
  <c r="S131" i="18" s="1"/>
  <c r="S100" i="18" a="1"/>
  <c r="S100" i="18" s="1"/>
  <c r="S69" i="18" a="1"/>
  <c r="S69" i="18" s="1"/>
  <c r="S35" i="18" a="1"/>
  <c r="S35" i="18" s="1"/>
  <c r="P120" i="18" a="1"/>
  <c r="P120" i="18" s="1"/>
  <c r="R120" i="18" s="1"/>
  <c r="U120" i="18" s="1"/>
  <c r="R151" i="18"/>
  <c r="U151" i="18" s="1"/>
  <c r="R95" i="18"/>
  <c r="U95" i="18" s="1"/>
  <c r="R67" i="18"/>
  <c r="U67" i="18" s="1"/>
  <c r="O15" i="18" a="1"/>
  <c r="O15" i="18" s="1"/>
  <c r="O31" i="18" a="1"/>
  <c r="O31" i="18" s="1"/>
  <c r="O14" i="18" a="1"/>
  <c r="O14" i="18" s="1"/>
  <c r="O30" i="18" a="1"/>
  <c r="O30" i="18" s="1"/>
  <c r="R149" i="18"/>
  <c r="U149" i="18" s="1"/>
  <c r="R117" i="18"/>
  <c r="U117" i="18" s="1"/>
  <c r="R85" i="18"/>
  <c r="U85" i="18" s="1"/>
  <c r="R53" i="18"/>
  <c r="U53" i="18" s="1"/>
  <c r="R21" i="18"/>
  <c r="U21" i="18" s="1"/>
  <c r="O13" i="18" a="1"/>
  <c r="O13" i="18" s="1"/>
  <c r="O12" i="18" a="1"/>
  <c r="O12" i="18" s="1"/>
  <c r="O28" i="18" a="1"/>
  <c r="O28" i="18" s="1"/>
  <c r="O11" i="18" a="1"/>
  <c r="O11" i="18" s="1"/>
  <c r="O27" i="18" a="1"/>
  <c r="O27" i="18" s="1"/>
  <c r="O10" i="18" a="1"/>
  <c r="O10" i="18" s="1"/>
  <c r="O26" i="18" a="1"/>
  <c r="O26" i="18" s="1"/>
  <c r="O9" i="18" a="1"/>
  <c r="O9" i="18" s="1"/>
  <c r="O25" i="18" a="1"/>
  <c r="O25" i="18" s="1"/>
  <c r="O8" i="18" a="1"/>
  <c r="O8" i="18" s="1"/>
  <c r="O24" i="18" a="1"/>
  <c r="O24" i="18" s="1"/>
  <c r="O23" i="18" a="1"/>
  <c r="O23" i="18" s="1"/>
  <c r="O6" i="18" a="1"/>
  <c r="O6" i="18" s="1"/>
  <c r="O22" i="18" a="1"/>
  <c r="O22" i="18" s="1"/>
  <c r="O5" i="18" a="1"/>
  <c r="O5" i="18" s="1"/>
  <c r="O21" i="18" a="1"/>
  <c r="O21" i="18" s="1"/>
  <c r="O20" i="18" a="1"/>
  <c r="O20" i="18" s="1"/>
  <c r="O4" i="18" a="1"/>
  <c r="O4" i="18" s="1"/>
  <c r="O3" i="18" a="1"/>
  <c r="O3" i="18" s="1"/>
  <c r="O19" i="18" a="1"/>
  <c r="O19" i="18" s="1"/>
  <c r="O64" i="17" a="1"/>
  <c r="O64" i="17" s="1"/>
  <c r="O36" i="17" a="1"/>
  <c r="O36" i="17" s="1"/>
  <c r="O9" i="17" a="1"/>
  <c r="O9" i="17" s="1"/>
  <c r="N157" i="17" a="1"/>
  <c r="N157" i="17" s="1"/>
  <c r="N84" i="17" a="1"/>
  <c r="N84" i="17" s="1"/>
  <c r="N56" i="17" a="1"/>
  <c r="N56" i="17" s="1"/>
  <c r="N150" i="17" a="1"/>
  <c r="N150" i="17" s="1"/>
  <c r="Q150" i="17"/>
  <c r="W150" i="17" s="1"/>
  <c r="Y43" i="17"/>
  <c r="O63" i="17" a="1"/>
  <c r="O63" i="17" s="1"/>
  <c r="O35" i="17" a="1"/>
  <c r="O35" i="17" s="1"/>
  <c r="N108" i="17" a="1"/>
  <c r="N108" i="17" s="1"/>
  <c r="Y163" i="17"/>
  <c r="Q163" i="17" s="1"/>
  <c r="W163" i="17" s="1"/>
  <c r="N137" i="17" a="1"/>
  <c r="N137" i="17" s="1"/>
  <c r="N82" i="17" a="1"/>
  <c r="N82" i="17" s="1"/>
  <c r="N55" i="17" a="1"/>
  <c r="N55" i="17" s="1"/>
  <c r="N152" i="17" a="1"/>
  <c r="N152" i="17" s="1"/>
  <c r="N101" i="17" a="1"/>
  <c r="N101" i="17" s="1"/>
  <c r="N81" i="17" a="1"/>
  <c r="N81" i="17" s="1"/>
  <c r="N151" i="17" a="1"/>
  <c r="N151" i="17" s="1"/>
  <c r="N99" i="17" a="1"/>
  <c r="N99" i="17" s="1"/>
  <c r="N190" i="17" a="1"/>
  <c r="N190" i="17" s="1"/>
  <c r="N171" i="17" a="1"/>
  <c r="N171" i="17" s="1"/>
  <c r="Q65" i="17"/>
  <c r="W65" i="17" s="1"/>
  <c r="O195" i="17" a="1"/>
  <c r="O195" i="17" s="1"/>
  <c r="O60" i="17" a="1"/>
  <c r="O60" i="17" s="1"/>
  <c r="O186" i="17" a="1"/>
  <c r="O186" i="17" s="1"/>
  <c r="O5" i="17" a="1"/>
  <c r="O5" i="17" s="1"/>
  <c r="Q5" i="17" s="1"/>
  <c r="W5" i="17" s="1"/>
  <c r="N88" i="17" a="1"/>
  <c r="N88" i="17" s="1"/>
  <c r="Q64" i="17"/>
  <c r="W64" i="17" s="1"/>
  <c r="Y39" i="17"/>
  <c r="O31" i="17" a="1"/>
  <c r="O31" i="17" s="1"/>
  <c r="Q31" i="17" s="1"/>
  <c r="W31" i="17" s="1"/>
  <c r="O4" i="17" a="1"/>
  <c r="O4" i="17" s="1"/>
  <c r="N147" i="17" a="1"/>
  <c r="N147" i="17" s="1"/>
  <c r="N70" i="17" a="1"/>
  <c r="N70" i="17" s="1"/>
  <c r="N161" i="17" a="1"/>
  <c r="N161" i="17" s="1"/>
  <c r="Q117" i="17"/>
  <c r="W117" i="17" s="1"/>
  <c r="Q90" i="17"/>
  <c r="W90" i="17" s="1"/>
  <c r="Y63" i="17"/>
  <c r="O84" i="17" a="1"/>
  <c r="O84" i="17" s="1"/>
  <c r="O57" i="17" a="1"/>
  <c r="O57" i="17" s="1"/>
  <c r="O30" i="17" a="1"/>
  <c r="O30" i="17" s="1"/>
  <c r="N211" i="17" a="1"/>
  <c r="N211" i="17" s="1"/>
  <c r="N146" i="17" a="1"/>
  <c r="N146" i="17" s="1"/>
  <c r="Y62" i="17"/>
  <c r="Q62" i="17" s="1"/>
  <c r="W62" i="17" s="1"/>
  <c r="O83" i="17" a="1"/>
  <c r="O83" i="17" s="1"/>
  <c r="O56" i="17" a="1"/>
  <c r="O56" i="17" s="1"/>
  <c r="O28" i="17" a="1"/>
  <c r="O28" i="17" s="1"/>
  <c r="Q28" i="17" s="1"/>
  <c r="W28" i="17" s="1"/>
  <c r="N181" i="17" a="1"/>
  <c r="N181" i="17" s="1"/>
  <c r="N205" i="17" a="1"/>
  <c r="N205" i="17" s="1"/>
  <c r="Y173" i="17"/>
  <c r="Y200" i="17"/>
  <c r="Y191" i="17"/>
  <c r="Q191" i="17" s="1"/>
  <c r="W191" i="17" s="1"/>
  <c r="Q37" i="17"/>
  <c r="W37" i="17" s="1"/>
  <c r="O151" i="17" a="1"/>
  <c r="O151" i="17" s="1"/>
  <c r="Q151" i="17" s="1"/>
  <c r="W151" i="17" s="1"/>
  <c r="O107" i="17" a="1"/>
  <c r="O107" i="17" s="1"/>
  <c r="O82" i="17" a="1"/>
  <c r="O82" i="17" s="1"/>
  <c r="O190" i="17" a="1"/>
  <c r="O190" i="17" s="1"/>
  <c r="N180" i="17" a="1"/>
  <c r="N180" i="17" s="1"/>
  <c r="N145" i="17" a="1"/>
  <c r="N145" i="17" s="1"/>
  <c r="Q118" i="17"/>
  <c r="W118" i="17" s="1"/>
  <c r="O81" i="17" a="1"/>
  <c r="O81" i="17" s="1"/>
  <c r="Q81" i="17" s="1"/>
  <c r="W81" i="17" s="1"/>
  <c r="O55" i="17" a="1"/>
  <c r="O55" i="17" s="1"/>
  <c r="O27" i="17" a="1"/>
  <c r="O27" i="17" s="1"/>
  <c r="N178" i="17" a="1"/>
  <c r="N178" i="17" s="1"/>
  <c r="N144" i="17" a="1"/>
  <c r="N144" i="17" s="1"/>
  <c r="Y93" i="17"/>
  <c r="Q170" i="17"/>
  <c r="W170" i="17" s="1"/>
  <c r="Q169" i="17"/>
  <c r="W169" i="17" s="1"/>
  <c r="Q114" i="17"/>
  <c r="W114" i="17" s="1"/>
  <c r="Q60" i="17"/>
  <c r="W60" i="17" s="1"/>
  <c r="O80" i="17" a="1"/>
  <c r="O80" i="17" s="1"/>
  <c r="O54" i="17" a="1"/>
  <c r="O54" i="17" s="1"/>
  <c r="O26" i="17" a="1"/>
  <c r="O26" i="17" s="1"/>
  <c r="N177" i="17" a="1"/>
  <c r="N177" i="17" s="1"/>
  <c r="N143" i="17" a="1"/>
  <c r="N143" i="17" s="1"/>
  <c r="Q172" i="17"/>
  <c r="W172" i="17" s="1"/>
  <c r="O125" i="17" a="1"/>
  <c r="O125" i="17" s="1"/>
  <c r="Q125" i="17" s="1"/>
  <c r="W125" i="17" s="1"/>
  <c r="O104" i="17" a="1"/>
  <c r="O104" i="17" s="1"/>
  <c r="O194" i="17" a="1"/>
  <c r="O194" i="17" s="1"/>
  <c r="Q194" i="17" s="1"/>
  <c r="W194" i="17" s="1"/>
  <c r="O53" i="17" a="1"/>
  <c r="O53" i="17" s="1"/>
  <c r="Q53" i="17" s="1"/>
  <c r="W53" i="17" s="1"/>
  <c r="N142" i="17" a="1"/>
  <c r="N142" i="17" s="1"/>
  <c r="Y33" i="17"/>
  <c r="Q33" i="17" s="1"/>
  <c r="W33" i="17" s="1"/>
  <c r="O170" i="17" a="1"/>
  <c r="O170" i="17" s="1"/>
  <c r="O198" i="17" a="1"/>
  <c r="O198" i="17" s="1"/>
  <c r="O52" i="17" a="1"/>
  <c r="O52" i="17" s="1"/>
  <c r="O185" i="17" a="1"/>
  <c r="O185" i="17" s="1"/>
  <c r="Q185" i="17" s="1"/>
  <c r="W185" i="17" s="1"/>
  <c r="N210" i="17" a="1"/>
  <c r="N210" i="17" s="1"/>
  <c r="N141" i="17" a="1"/>
  <c r="N141" i="17" s="1"/>
  <c r="Q167" i="17"/>
  <c r="W167" i="17" s="1"/>
  <c r="Y166" i="17"/>
  <c r="Q166" i="17" s="1"/>
  <c r="W166" i="17" s="1"/>
  <c r="Y8" i="17"/>
  <c r="O103" i="17" a="1"/>
  <c r="O103" i="17" s="1"/>
  <c r="Q103" i="17" s="1"/>
  <c r="W103" i="17" s="1"/>
  <c r="O79" i="17" a="1"/>
  <c r="O79" i="17" s="1"/>
  <c r="O51" i="17" a="1"/>
  <c r="O51" i="17" s="1"/>
  <c r="O25" i="17" a="1"/>
  <c r="O25" i="17" s="1"/>
  <c r="N204" i="17" a="1"/>
  <c r="N204" i="17" s="1"/>
  <c r="Q175" i="17"/>
  <c r="W175" i="17" s="1"/>
  <c r="Y171" i="17"/>
  <c r="Q171" i="17" s="1"/>
  <c r="W171" i="17" s="1"/>
  <c r="Y58" i="17"/>
  <c r="Q58" i="17" s="1"/>
  <c r="W58" i="17" s="1"/>
  <c r="Q139" i="17"/>
  <c r="W139" i="17" s="1"/>
  <c r="Q165" i="17"/>
  <c r="W165" i="17" s="1"/>
  <c r="Q83" i="17"/>
  <c r="W83" i="17" s="1"/>
  <c r="S56" i="17" a="1"/>
  <c r="S56" i="17" s="1"/>
  <c r="S33" i="17" a="1"/>
  <c r="S33" i="17" s="1"/>
  <c r="R151" i="17" a="1"/>
  <c r="R151" i="17" s="1"/>
  <c r="R198" i="17" a="1"/>
  <c r="R198" i="17" s="1"/>
  <c r="R54" i="17" a="1"/>
  <c r="R54" i="17" s="1"/>
  <c r="Y195" i="17"/>
  <c r="O205" i="17" a="1"/>
  <c r="O205" i="17" s="1"/>
  <c r="O123" i="17" a="1"/>
  <c r="O123" i="17" s="1"/>
  <c r="O101" i="17" a="1"/>
  <c r="O101" i="17" s="1"/>
  <c r="O77" i="17" a="1"/>
  <c r="O77" i="17" s="1"/>
  <c r="O50" i="17" a="1"/>
  <c r="O50" i="17" s="1"/>
  <c r="Q50" i="17" s="1"/>
  <c r="W50" i="17" s="1"/>
  <c r="Y143" i="17"/>
  <c r="Q30" i="17"/>
  <c r="W30" i="17" s="1"/>
  <c r="O145" i="17" a="1"/>
  <c r="O145" i="17" s="1"/>
  <c r="O122" i="17" a="1"/>
  <c r="O122" i="17" s="1"/>
  <c r="O189" i="17" a="1"/>
  <c r="O189" i="17" s="1"/>
  <c r="O21" i="17" a="1"/>
  <c r="O21" i="17" s="1"/>
  <c r="N172" i="17" a="1"/>
  <c r="N172" i="17" s="1"/>
  <c r="Y29" i="17"/>
  <c r="O49" i="17" a="1"/>
  <c r="O49" i="17" s="1"/>
  <c r="O20" i="17" a="1"/>
  <c r="O20" i="17" s="1"/>
  <c r="N170" i="17" a="1"/>
  <c r="N170" i="17" s="1"/>
  <c r="N135" i="17" a="1"/>
  <c r="N135" i="17" s="1"/>
  <c r="Y162" i="17"/>
  <c r="Q162" i="17" s="1"/>
  <c r="W162" i="17" s="1"/>
  <c r="O48" i="17" a="1"/>
  <c r="O48" i="17" s="1"/>
  <c r="O184" i="17" a="1"/>
  <c r="O184" i="17" s="1"/>
  <c r="Q184" i="17" s="1"/>
  <c r="W184" i="17" s="1"/>
  <c r="N209" i="17" a="1"/>
  <c r="N209" i="17" s="1"/>
  <c r="N134" i="17" a="1"/>
  <c r="N134" i="17" s="1"/>
  <c r="Q27" i="17"/>
  <c r="W27" i="17" s="1"/>
  <c r="O19" i="17" a="1"/>
  <c r="O19" i="17" s="1"/>
  <c r="Q19" i="17" s="1"/>
  <c r="W19" i="17" s="1"/>
  <c r="N169" i="17" a="1"/>
  <c r="N169" i="17" s="1"/>
  <c r="N133" i="17" a="1"/>
  <c r="N133" i="17" s="1"/>
  <c r="N185" i="17" a="1"/>
  <c r="N185" i="17" s="1"/>
  <c r="Q79" i="17"/>
  <c r="W79" i="17" s="1"/>
  <c r="Q4" i="17"/>
  <c r="W4" i="17" s="1"/>
  <c r="O119" i="17" a="1"/>
  <c r="O119" i="17" s="1"/>
  <c r="Q119" i="17" s="1"/>
  <c r="W119" i="17" s="1"/>
  <c r="O193" i="17" a="1"/>
  <c r="O193" i="17" s="1"/>
  <c r="O45" i="17" a="1"/>
  <c r="O45" i="17" s="1"/>
  <c r="N168" i="17" a="1"/>
  <c r="N168" i="17" s="1"/>
  <c r="N132" i="17" a="1"/>
  <c r="N132" i="17" s="1"/>
  <c r="N184" i="17" a="1"/>
  <c r="N184" i="17" s="1"/>
  <c r="Q134" i="17"/>
  <c r="W134" i="17" s="1"/>
  <c r="Q78" i="17"/>
  <c r="W78" i="17" s="1"/>
  <c r="Q51" i="17"/>
  <c r="W51" i="17" s="1"/>
  <c r="Y3" i="17"/>
  <c r="O73" i="17" a="1"/>
  <c r="O73" i="17" s="1"/>
  <c r="O44" i="17" a="1"/>
  <c r="O44" i="17" s="1"/>
  <c r="O18" i="17" a="1"/>
  <c r="O18" i="17" s="1"/>
  <c r="Q18" i="17" s="1"/>
  <c r="W18" i="17" s="1"/>
  <c r="N167" i="17" a="1"/>
  <c r="N167" i="17" s="1"/>
  <c r="N131" i="17" a="1"/>
  <c r="N131" i="17" s="1"/>
  <c r="Y177" i="17"/>
  <c r="Q177" i="17" s="1"/>
  <c r="W177" i="17" s="1"/>
  <c r="Y131" i="17"/>
  <c r="Q77" i="17"/>
  <c r="W77" i="17" s="1"/>
  <c r="O97" i="17" a="1"/>
  <c r="O97" i="17" s="1"/>
  <c r="O72" i="17" a="1"/>
  <c r="O72" i="17" s="1"/>
  <c r="O188" i="17" a="1"/>
  <c r="O188" i="17" s="1"/>
  <c r="Q188" i="17" s="1"/>
  <c r="W188" i="17" s="1"/>
  <c r="O17" i="17" a="1"/>
  <c r="O17" i="17" s="1"/>
  <c r="N130" i="17" a="1"/>
  <c r="N130" i="17" s="1"/>
  <c r="Q25" i="17"/>
  <c r="W25" i="17" s="1"/>
  <c r="O208" i="17" a="1"/>
  <c r="O208" i="17" s="1"/>
  <c r="O96" i="17" a="1"/>
  <c r="O96" i="17" s="1"/>
  <c r="Q96" i="17" s="1"/>
  <c r="W96" i="17" s="1"/>
  <c r="O71" i="17" a="1"/>
  <c r="O71" i="17" s="1"/>
  <c r="Q71" i="17" s="1"/>
  <c r="W71" i="17" s="1"/>
  <c r="O43" i="17" a="1"/>
  <c r="O43" i="17" s="1"/>
  <c r="N129" i="17" a="1"/>
  <c r="N129" i="17" s="1"/>
  <c r="N47" i="17" a="1"/>
  <c r="N47" i="17" s="1"/>
  <c r="Q107" i="17"/>
  <c r="W107" i="17" s="1"/>
  <c r="Q102" i="17"/>
  <c r="W102" i="17" s="1"/>
  <c r="O95" i="17" a="1"/>
  <c r="O95" i="17" s="1"/>
  <c r="Q95" i="17" s="1"/>
  <c r="W95" i="17" s="1"/>
  <c r="O70" i="17" a="1"/>
  <c r="O70" i="17" s="1"/>
  <c r="O42" i="17" a="1"/>
  <c r="O42" i="17" s="1"/>
  <c r="O15" i="17" a="1"/>
  <c r="O15" i="17" s="1"/>
  <c r="N165" i="17" a="1"/>
  <c r="N165" i="17" s="1"/>
  <c r="N128" i="17" a="1"/>
  <c r="N128" i="17" s="1"/>
  <c r="Y148" i="17"/>
  <c r="Q80" i="17"/>
  <c r="W80" i="17" s="1"/>
  <c r="Y101" i="17"/>
  <c r="Q101" i="17" s="1"/>
  <c r="W101" i="17" s="1"/>
  <c r="O138" i="17" a="1"/>
  <c r="O138" i="17" s="1"/>
  <c r="Q138" i="17" s="1"/>
  <c r="W138" i="17" s="1"/>
  <c r="O94" i="17" a="1"/>
  <c r="O94" i="17" s="1"/>
  <c r="O69" i="17" a="1"/>
  <c r="O69" i="17" s="1"/>
  <c r="Q69" i="17" s="1"/>
  <c r="W69" i="17" s="1"/>
  <c r="O41" i="17" a="1"/>
  <c r="O41" i="17" s="1"/>
  <c r="O14" i="17" a="1"/>
  <c r="O14" i="17" s="1"/>
  <c r="N164" i="17" a="1"/>
  <c r="N164" i="17" s="1"/>
  <c r="N202" i="17" a="1"/>
  <c r="N202" i="17" s="1"/>
  <c r="Y202" i="17"/>
  <c r="Q100" i="17"/>
  <c r="W100" i="17" s="1"/>
  <c r="O116" i="17" a="1"/>
  <c r="O116" i="17" s="1"/>
  <c r="Q116" i="17" s="1"/>
  <c r="W116" i="17" s="1"/>
  <c r="O93" i="17" a="1"/>
  <c r="O93" i="17" s="1"/>
  <c r="O68" i="17" a="1"/>
  <c r="O68" i="17" s="1"/>
  <c r="Q68" i="17" s="1"/>
  <c r="W68" i="17" s="1"/>
  <c r="O40" i="17" a="1"/>
  <c r="O40" i="17" s="1"/>
  <c r="O183" i="17" a="1"/>
  <c r="O183" i="17" s="1"/>
  <c r="N124" i="17" a="1"/>
  <c r="N124" i="17" s="1"/>
  <c r="Y154" i="17"/>
  <c r="Q73" i="17"/>
  <c r="W73" i="17" s="1"/>
  <c r="O200" i="17" a="1"/>
  <c r="O200" i="17" s="1"/>
  <c r="Q200" i="17" s="1"/>
  <c r="W200" i="17" s="1"/>
  <c r="O92" i="17" a="1"/>
  <c r="O92" i="17" s="1"/>
  <c r="Q92" i="17" s="1"/>
  <c r="W92" i="17" s="1"/>
  <c r="O39" i="17" a="1"/>
  <c r="O39" i="17" s="1"/>
  <c r="O13" i="17" a="1"/>
  <c r="O13" i="17" s="1"/>
  <c r="N160" i="17" a="1"/>
  <c r="N160" i="17" s="1"/>
  <c r="Y153" i="17"/>
  <c r="Y126" i="17"/>
  <c r="Q126" i="17" s="1"/>
  <c r="W126" i="17" s="1"/>
  <c r="Y21" i="17"/>
  <c r="Q21" i="17" s="1"/>
  <c r="W21" i="17" s="1"/>
  <c r="O196" i="17" a="1"/>
  <c r="O196" i="17" s="1"/>
  <c r="Q196" i="17" s="1"/>
  <c r="W196" i="17" s="1"/>
  <c r="O192" i="17" a="1"/>
  <c r="O192" i="17" s="1"/>
  <c r="O38" i="17" a="1"/>
  <c r="O38" i="17" s="1"/>
  <c r="O12" i="17" a="1"/>
  <c r="O12" i="17" s="1"/>
  <c r="N159" i="17" a="1"/>
  <c r="N159" i="17" s="1"/>
  <c r="N121" i="17" a="1"/>
  <c r="N121" i="17" s="1"/>
  <c r="Y12" i="17"/>
  <c r="O91" i="17" a="1"/>
  <c r="O91" i="17" s="1"/>
  <c r="O66" i="17" a="1"/>
  <c r="O66" i="17" s="1"/>
  <c r="O187" i="17" a="1"/>
  <c r="O187" i="17" s="1"/>
  <c r="Q187" i="17" s="1"/>
  <c r="W187" i="17" s="1"/>
  <c r="O11" i="17" a="1"/>
  <c r="O11" i="17" s="1"/>
  <c r="N158" i="17" a="1"/>
  <c r="N158" i="17" s="1"/>
  <c r="Y207" i="17"/>
  <c r="Q207" i="17" s="1"/>
  <c r="W207" i="17" s="1"/>
  <c r="Y71" i="17"/>
  <c r="Q206" i="17"/>
  <c r="W206" i="17" s="1"/>
  <c r="Q124" i="17"/>
  <c r="W124" i="17" s="1"/>
  <c r="Q97" i="17"/>
  <c r="W97" i="17" s="1"/>
  <c r="R17" i="17" a="1"/>
  <c r="R17" i="17" s="1"/>
  <c r="O211" i="17" a="1"/>
  <c r="O211" i="17" s="1"/>
  <c r="O158" i="17" a="1"/>
  <c r="O158" i="17" s="1"/>
  <c r="Q158" i="17" s="1"/>
  <c r="W158" i="17" s="1"/>
  <c r="Q9" i="17"/>
  <c r="W9" i="17" s="1"/>
  <c r="Q148" i="17"/>
  <c r="W148" i="17" s="1"/>
  <c r="Q48" i="17"/>
  <c r="W48" i="17" s="1"/>
  <c r="Q12" i="17"/>
  <c r="W12" i="17" s="1"/>
  <c r="Y11" i="17"/>
  <c r="Q155" i="17"/>
  <c r="W155" i="17" s="1"/>
  <c r="Q49" i="17"/>
  <c r="W49" i="17" s="1"/>
  <c r="N11" i="17" a="1"/>
  <c r="N11" i="17" s="1"/>
  <c r="Q156" i="17"/>
  <c r="W156" i="17" s="1"/>
  <c r="Q149" i="17"/>
  <c r="W149" i="17" s="1"/>
  <c r="Q123" i="17"/>
  <c r="W123" i="17" s="1"/>
  <c r="N148" i="17" a="1"/>
  <c r="N148" i="17" s="1"/>
  <c r="N127" i="17" a="1"/>
  <c r="N127" i="17" s="1"/>
  <c r="N9" i="17" a="1"/>
  <c r="N9" i="17" s="1"/>
  <c r="N28" i="17" a="1"/>
  <c r="N28" i="17" s="1"/>
  <c r="Y122" i="17"/>
  <c r="Q122" i="17" s="1"/>
  <c r="W122" i="17" s="1"/>
  <c r="Q70" i="17"/>
  <c r="W70" i="17" s="1"/>
  <c r="N125" i="17" a="1"/>
  <c r="N125" i="17" s="1"/>
  <c r="N100" i="17" a="1"/>
  <c r="N100" i="17" s="1"/>
  <c r="N69" i="17" a="1"/>
  <c r="N69" i="17" s="1"/>
  <c r="N27" i="17" a="1"/>
  <c r="N27" i="17" s="1"/>
  <c r="Q201" i="17"/>
  <c r="W201" i="17" s="1"/>
  <c r="N192" i="17" a="1"/>
  <c r="N192" i="17" s="1"/>
  <c r="N208" i="17" a="1"/>
  <c r="N208" i="17" s="1"/>
  <c r="N120" i="17" a="1"/>
  <c r="N120" i="17" s="1"/>
  <c r="Q121" i="17"/>
  <c r="W121" i="17" s="1"/>
  <c r="Y94" i="17"/>
  <c r="Y46" i="17"/>
  <c r="N80" i="17" a="1"/>
  <c r="N80" i="17" s="1"/>
  <c r="N53" i="17" a="1"/>
  <c r="N53" i="17" s="1"/>
  <c r="Q120" i="17"/>
  <c r="W120" i="17" s="1"/>
  <c r="Q45" i="17"/>
  <c r="W45" i="17" s="1"/>
  <c r="N122" i="17" a="1"/>
  <c r="N122" i="17" s="1"/>
  <c r="N62" i="17" a="1"/>
  <c r="N62" i="17" s="1"/>
  <c r="N46" i="17" a="1"/>
  <c r="N46" i="17" s="1"/>
  <c r="Y192" i="17"/>
  <c r="Q192" i="17" s="1"/>
  <c r="W192" i="17" s="1"/>
  <c r="Y44" i="17"/>
  <c r="Q44" i="17" s="1"/>
  <c r="W44" i="17" s="1"/>
  <c r="Y22" i="17"/>
  <c r="Q22" i="17" s="1"/>
  <c r="W22" i="17" s="1"/>
  <c r="N197" i="17" a="1"/>
  <c r="N197" i="17" s="1"/>
  <c r="N60" i="17" a="1"/>
  <c r="N60" i="17" s="1"/>
  <c r="N203" i="17" a="1"/>
  <c r="N203" i="17" s="1"/>
  <c r="O29" i="17" a="1"/>
  <c r="O29" i="17" s="1"/>
  <c r="Q29" i="17" s="1"/>
  <c r="W29" i="17" s="1"/>
  <c r="Q173" i="17"/>
  <c r="W173" i="17" s="1"/>
  <c r="Y205" i="17"/>
  <c r="Q205" i="17" s="1"/>
  <c r="W205" i="17" s="1"/>
  <c r="N201" i="17" a="1"/>
  <c r="N201" i="17" s="1"/>
  <c r="N97" i="17" a="1"/>
  <c r="N97" i="17" s="1"/>
  <c r="N58" i="17" a="1"/>
  <c r="N58" i="17" s="1"/>
  <c r="N50" i="17" a="1"/>
  <c r="N50" i="17" s="1"/>
  <c r="N73" i="17" a="1"/>
  <c r="N73" i="17" s="1"/>
  <c r="Q147" i="17"/>
  <c r="W147" i="17" s="1"/>
  <c r="Y66" i="17"/>
  <c r="Q66" i="17" s="1"/>
  <c r="W66" i="17" s="1"/>
  <c r="Q43" i="17"/>
  <c r="W43" i="17" s="1"/>
  <c r="N91" i="17" a="1"/>
  <c r="N91" i="17" s="1"/>
  <c r="N57" i="17" a="1"/>
  <c r="N57" i="17" s="1"/>
  <c r="Y145" i="17"/>
  <c r="Y91" i="17"/>
  <c r="Q42" i="17"/>
  <c r="W42" i="17" s="1"/>
  <c r="Q20" i="17"/>
  <c r="W20" i="17" s="1"/>
  <c r="N119" i="17" a="1"/>
  <c r="N119" i="17" s="1"/>
  <c r="N90" i="17" a="1"/>
  <c r="N90" i="17" s="1"/>
  <c r="Q143" i="17"/>
  <c r="W143" i="17" s="1"/>
  <c r="Y41" i="17"/>
  <c r="Q41" i="17" s="1"/>
  <c r="W41" i="17" s="1"/>
  <c r="N103" i="17" a="1"/>
  <c r="N103" i="17" s="1"/>
  <c r="O59" i="17" a="1"/>
  <c r="O59" i="17" s="1"/>
  <c r="Q59" i="17" s="1"/>
  <c r="W59" i="17" s="1"/>
  <c r="Y209" i="17"/>
  <c r="Q209" i="17" s="1"/>
  <c r="W209" i="17" s="1"/>
  <c r="Q115" i="17"/>
  <c r="W115" i="17" s="1"/>
  <c r="Y88" i="17"/>
  <c r="Q88" i="17" s="1"/>
  <c r="W88" i="17" s="1"/>
  <c r="Q63" i="17"/>
  <c r="W63" i="17" s="1"/>
  <c r="N117" i="17" a="1"/>
  <c r="N117" i="17" s="1"/>
  <c r="N87" i="17" a="1"/>
  <c r="N87" i="17" s="1"/>
  <c r="Q142" i="17"/>
  <c r="W142" i="17" s="1"/>
  <c r="Y141" i="17"/>
  <c r="Q141" i="17" s="1"/>
  <c r="W141" i="17" s="1"/>
  <c r="Y87" i="17"/>
  <c r="Q87" i="17" s="1"/>
  <c r="W87" i="17" s="1"/>
  <c r="Q40" i="17"/>
  <c r="W40" i="17" s="1"/>
  <c r="N116" i="17" a="1"/>
  <c r="N116" i="17" s="1"/>
  <c r="N86" i="17" a="1"/>
  <c r="N86" i="17" s="1"/>
  <c r="N43" i="17" a="1"/>
  <c r="N43" i="17" s="1"/>
  <c r="Q54" i="17"/>
  <c r="W54" i="17" s="1"/>
  <c r="Y86" i="17"/>
  <c r="Q86" i="17" s="1"/>
  <c r="W86" i="17" s="1"/>
  <c r="N195" i="17" a="1"/>
  <c r="N195" i="17" s="1"/>
  <c r="N52" i="17" a="1"/>
  <c r="N52" i="17" s="1"/>
  <c r="Q195" i="17"/>
  <c r="W195" i="17" s="1"/>
  <c r="N115" i="17" a="1"/>
  <c r="N115" i="17" s="1"/>
  <c r="N85" i="17" a="1"/>
  <c r="N85" i="17" s="1"/>
  <c r="N51" i="17" a="1"/>
  <c r="N51" i="17" s="1"/>
  <c r="Y113" i="17"/>
  <c r="Q113" i="17" s="1"/>
  <c r="W113" i="17" s="1"/>
  <c r="Q112" i="17"/>
  <c r="W112" i="17" s="1"/>
  <c r="Y111" i="17"/>
  <c r="Q111" i="17" s="1"/>
  <c r="W111" i="17" s="1"/>
  <c r="Y85" i="17"/>
  <c r="Q85" i="17" s="1"/>
  <c r="W85" i="17" s="1"/>
  <c r="N162" i="17" a="1"/>
  <c r="N162" i="17" s="1"/>
  <c r="N114" i="17" a="1"/>
  <c r="N114" i="17" s="1"/>
  <c r="N189" i="17" a="1"/>
  <c r="N189" i="17" s="1"/>
  <c r="Q84" i="17"/>
  <c r="W84" i="17" s="1"/>
  <c r="N113" i="17" a="1"/>
  <c r="N113" i="17" s="1"/>
  <c r="N83" i="17" a="1"/>
  <c r="N83" i="17" s="1"/>
  <c r="N48" i="17" a="1"/>
  <c r="N48" i="17" s="1"/>
  <c r="Q137" i="17"/>
  <c r="W137" i="17" s="1"/>
  <c r="O24" i="17" a="1"/>
  <c r="O24" i="17" s="1"/>
  <c r="Q24" i="17" s="1"/>
  <c r="W24" i="17" s="1"/>
  <c r="O3" i="17" a="1"/>
  <c r="O3" i="17" s="1"/>
  <c r="Q3" i="17" s="1"/>
  <c r="W3" i="17" s="1"/>
  <c r="N112" i="17" a="1"/>
  <c r="N112" i="17" s="1"/>
  <c r="Y164" i="17"/>
  <c r="Q164" i="17" s="1"/>
  <c r="W164" i="17" s="1"/>
  <c r="Y208" i="17"/>
  <c r="Q208" i="17" s="1"/>
  <c r="W208" i="17" s="1"/>
  <c r="Q82" i="17"/>
  <c r="W82" i="17" s="1"/>
  <c r="Q36" i="17"/>
  <c r="W36" i="17" s="1"/>
  <c r="Y15" i="17"/>
  <c r="Q15" i="17" s="1"/>
  <c r="W15" i="17" s="1"/>
  <c r="O67" i="17" a="1"/>
  <c r="O67" i="17" s="1"/>
  <c r="Q67" i="17" s="1"/>
  <c r="W67" i="17" s="1"/>
  <c r="O46" i="17" a="1"/>
  <c r="O46" i="17" s="1"/>
  <c r="O23" i="17" a="1"/>
  <c r="O23" i="17" s="1"/>
  <c r="Q23" i="17" s="1"/>
  <c r="W23" i="17" s="1"/>
  <c r="O2" i="17" a="1"/>
  <c r="O2" i="17" s="1"/>
  <c r="Q2" i="17" s="1"/>
  <c r="W2" i="17" s="1"/>
  <c r="Y57" i="17"/>
  <c r="Q57" i="17" s="1"/>
  <c r="W57" i="17" s="1"/>
  <c r="Y35" i="17"/>
  <c r="Q35" i="17" s="1"/>
  <c r="W35" i="17" s="1"/>
  <c r="Q14" i="17"/>
  <c r="W14" i="17" s="1"/>
  <c r="N111" i="17" a="1"/>
  <c r="N111" i="17" s="1"/>
  <c r="N194" i="17" a="1"/>
  <c r="N194" i="17" s="1"/>
  <c r="N42" i="17" a="1"/>
  <c r="N42" i="17" s="1"/>
  <c r="Q38" i="17"/>
  <c r="W38" i="17" s="1"/>
  <c r="Y56" i="17"/>
  <c r="Q56" i="17" s="1"/>
  <c r="W56" i="17" s="1"/>
  <c r="N79" i="17" a="1"/>
  <c r="N79" i="17" s="1"/>
  <c r="N40" i="17" a="1"/>
  <c r="N40" i="17" s="1"/>
  <c r="Q106" i="17"/>
  <c r="W106" i="17" s="1"/>
  <c r="Q190" i="17"/>
  <c r="W190" i="17" s="1"/>
  <c r="Q183" i="17"/>
  <c r="W183" i="17" s="1"/>
  <c r="N78" i="17" a="1"/>
  <c r="N78" i="17" s="1"/>
  <c r="N39" i="17" a="1"/>
  <c r="N39" i="17" s="1"/>
  <c r="Q146" i="17"/>
  <c r="W146" i="17" s="1"/>
  <c r="Q26" i="17"/>
  <c r="W26" i="17" s="1"/>
  <c r="Q55" i="17"/>
  <c r="W55" i="17" s="1"/>
  <c r="Q13" i="17"/>
  <c r="W13" i="17" s="1"/>
  <c r="N109" i="17" a="1"/>
  <c r="N109" i="17" s="1"/>
  <c r="N77" i="17" a="1"/>
  <c r="N77" i="17" s="1"/>
  <c r="N187" i="17" a="1"/>
  <c r="N187" i="17" s="1"/>
  <c r="Q159" i="17"/>
  <c r="W159" i="17" s="1"/>
  <c r="Q104" i="17"/>
  <c r="W104" i="17" s="1"/>
  <c r="N75" i="17" a="1"/>
  <c r="N75" i="17" s="1"/>
  <c r="N37" i="17" a="1"/>
  <c r="N37" i="17" s="1"/>
  <c r="Y132" i="17"/>
  <c r="Q132" i="17" s="1"/>
  <c r="W132" i="17" s="1"/>
  <c r="Q131" i="17"/>
  <c r="W131" i="17" s="1"/>
  <c r="Y198" i="17"/>
  <c r="Q198" i="17" s="1"/>
  <c r="W198" i="17" s="1"/>
  <c r="Y32" i="17"/>
  <c r="Q32" i="17" s="1"/>
  <c r="W32" i="17" s="1"/>
  <c r="N107" i="17" a="1"/>
  <c r="N107" i="17" s="1"/>
  <c r="N33" i="17" a="1"/>
  <c r="N33" i="17" s="1"/>
  <c r="Y186" i="17"/>
  <c r="Q186" i="17" s="1"/>
  <c r="W186" i="17" s="1"/>
  <c r="Q10" i="17"/>
  <c r="W10" i="17" s="1"/>
  <c r="N106" i="17" a="1"/>
  <c r="N106" i="17" s="1"/>
  <c r="N74" i="17" a="1"/>
  <c r="N74" i="17" s="1"/>
  <c r="N186" i="17" a="1"/>
  <c r="N186" i="17" s="1"/>
  <c r="Q52" i="17"/>
  <c r="W52" i="17" s="1"/>
  <c r="N193" i="17" a="1"/>
  <c r="N193" i="17" s="1"/>
  <c r="N26" i="17" a="1"/>
  <c r="N26" i="17" s="1"/>
  <c r="Y76" i="17"/>
  <c r="Q76" i="17" s="1"/>
  <c r="W76" i="17" s="1"/>
  <c r="N153" i="17" a="1"/>
  <c r="N153" i="17" s="1"/>
  <c r="N104" i="17" a="1"/>
  <c r="N104" i="17" s="1"/>
  <c r="Q8" i="17"/>
  <c r="W8" i="17" s="1"/>
  <c r="N198" i="17" a="1"/>
  <c r="N198" i="17" s="1"/>
  <c r="N72" i="17" a="1"/>
  <c r="N72" i="17" s="1"/>
  <c r="N25" i="17" a="1"/>
  <c r="N25" i="17" s="1"/>
  <c r="Q75" i="17"/>
  <c r="W75" i="17" s="1"/>
  <c r="Q74" i="17"/>
  <c r="W74" i="17" s="1"/>
  <c r="O16" i="17" a="1"/>
  <c r="O16" i="17" s="1"/>
  <c r="Q16" i="17" s="1"/>
  <c r="W16" i="17" s="1"/>
  <c r="N173" i="17" a="1"/>
  <c r="N173" i="17" s="1"/>
  <c r="N206" i="17" a="1"/>
  <c r="N206" i="17" s="1"/>
  <c r="N24" i="17" a="1"/>
  <c r="N24" i="17" s="1"/>
  <c r="Q202" i="17"/>
  <c r="W202" i="17" s="1"/>
  <c r="Q154" i="17"/>
  <c r="W154" i="17" s="1"/>
  <c r="Q153" i="17"/>
  <c r="W153" i="17" s="1"/>
  <c r="Y193" i="17"/>
  <c r="Q193" i="17" s="1"/>
  <c r="W193" i="17" s="1"/>
  <c r="Y189" i="17"/>
  <c r="Q189" i="17" s="1"/>
  <c r="W189" i="17" s="1"/>
  <c r="N102" i="17" a="1"/>
  <c r="N102" i="17" s="1"/>
  <c r="N71" i="17" a="1"/>
  <c r="N71" i="17" s="1"/>
  <c r="N22" i="17" a="1"/>
  <c r="N22" i="17" s="1"/>
  <c r="Y197" i="17"/>
  <c r="Q197" i="17" s="1"/>
  <c r="W197" i="17" s="1"/>
  <c r="Q7" i="17"/>
  <c r="W7" i="17" s="1"/>
  <c r="Y211" i="17"/>
  <c r="Q211" i="17" s="1"/>
  <c r="W211" i="17" s="1"/>
  <c r="Y99" i="17"/>
  <c r="Q99" i="17" s="1"/>
  <c r="W99" i="17" s="1"/>
  <c r="Y17" i="17"/>
  <c r="Q17" i="17" s="1"/>
  <c r="W17" i="17" s="1"/>
  <c r="W34" i="17"/>
  <c r="Y72" i="17"/>
  <c r="Q72" i="17" s="1"/>
  <c r="W72" i="17" s="1"/>
  <c r="W89" i="17"/>
  <c r="Y127" i="17"/>
  <c r="Q127" i="17" s="1"/>
  <c r="W127" i="17" s="1"/>
  <c r="N10" i="17" a="1"/>
  <c r="N10" i="17" s="1"/>
  <c r="N41" i="17" a="1"/>
  <c r="N41" i="17" s="1"/>
  <c r="N8" i="17" a="1"/>
  <c r="N8" i="17" s="1"/>
  <c r="N54" i="17" a="1"/>
  <c r="N54" i="17" s="1"/>
  <c r="N182" i="17" a="1"/>
  <c r="N182" i="17" s="1"/>
  <c r="N38" i="17" a="1"/>
  <c r="N38" i="17" s="1"/>
  <c r="N23" i="17" a="1"/>
  <c r="N23" i="17" s="1"/>
  <c r="N98" i="17" a="1"/>
  <c r="N98" i="17" s="1"/>
  <c r="N68" i="17" a="1"/>
  <c r="N68" i="17" s="1"/>
  <c r="N6" i="17" a="1"/>
  <c r="N6" i="17" s="1"/>
  <c r="N20" i="17" a="1"/>
  <c r="N20" i="17" s="1"/>
  <c r="N21" i="17" a="1"/>
  <c r="N21" i="17" s="1"/>
  <c r="N5" i="17" a="1"/>
  <c r="N5" i="17" s="1"/>
  <c r="N4" i="17" a="1"/>
  <c r="N4" i="17" s="1"/>
  <c r="N66" i="17" a="1"/>
  <c r="N66" i="17" s="1"/>
  <c r="N36" i="17" a="1"/>
  <c r="N36" i="17" s="1"/>
  <c r="N156" i="17" a="1"/>
  <c r="N156" i="17" s="1"/>
  <c r="N126" i="17" a="1"/>
  <c r="N126" i="17" s="1"/>
  <c r="N96" i="17" a="1"/>
  <c r="N96" i="17" s="1"/>
  <c r="N35" i="17" a="1"/>
  <c r="N35" i="17" s="1"/>
  <c r="N19" i="17" a="1"/>
  <c r="N19" i="17" s="1"/>
  <c r="N3" i="17" a="1"/>
  <c r="N3" i="17" s="1"/>
  <c r="N140" i="17" a="1"/>
  <c r="N140" i="17" s="1"/>
  <c r="N110" i="17" a="1"/>
  <c r="N110" i="17" s="1"/>
  <c r="N95" i="17" a="1"/>
  <c r="N95" i="17" s="1"/>
  <c r="N65" i="17" a="1"/>
  <c r="N65" i="17" s="1"/>
  <c r="N18" i="17" a="1"/>
  <c r="N18" i="17" s="1"/>
  <c r="N2" i="17" a="1"/>
  <c r="N2" i="17" s="1"/>
  <c r="N94" i="17" a="1"/>
  <c r="N94" i="17" s="1"/>
  <c r="N64" i="17" a="1"/>
  <c r="N64" i="17" s="1"/>
  <c r="N49" i="17" a="1"/>
  <c r="N49" i="17" s="1"/>
  <c r="N32" i="17" a="1"/>
  <c r="N32" i="17" s="1"/>
  <c r="N17" i="17" a="1"/>
  <c r="N17" i="17" s="1"/>
  <c r="N93" i="17" a="1"/>
  <c r="N93" i="17" s="1"/>
  <c r="N63" i="17" a="1"/>
  <c r="N63" i="17" s="1"/>
  <c r="N16" i="17" a="1"/>
  <c r="N16" i="17" s="1"/>
  <c r="N92" i="17" a="1"/>
  <c r="N92" i="17" s="1"/>
  <c r="N191" i="17" a="1"/>
  <c r="N191" i="17" s="1"/>
  <c r="N31" i="17" a="1"/>
  <c r="N31" i="17" s="1"/>
  <c r="N15" i="17" a="1"/>
  <c r="N15" i="17" s="1"/>
  <c r="N196" i="17" a="1"/>
  <c r="N196" i="17" s="1"/>
  <c r="N76" i="17" a="1"/>
  <c r="N76" i="17" s="1"/>
  <c r="N61" i="17" a="1"/>
  <c r="N61" i="17" s="1"/>
  <c r="N34" i="17" a="1"/>
  <c r="N34" i="17" s="1"/>
  <c r="N45" i="17" a="1"/>
  <c r="N45" i="17" s="1"/>
  <c r="N30" i="17" a="1"/>
  <c r="N30" i="17" s="1"/>
  <c r="N14" i="17" a="1"/>
  <c r="N14" i="17" s="1"/>
  <c r="N7" i="17" a="1"/>
  <c r="N7" i="17" s="1"/>
  <c r="N44" i="17" a="1"/>
  <c r="N44" i="17" s="1"/>
  <c r="N29" i="17" a="1"/>
  <c r="N29" i="17" s="1"/>
  <c r="N183" i="17" a="1"/>
  <c r="N183" i="17" s="1"/>
  <c r="N89" i="17" a="1"/>
  <c r="N89" i="17" s="1"/>
  <c r="N59" i="17" a="1"/>
  <c r="N59" i="17" s="1"/>
  <c r="N13" i="17" a="1"/>
  <c r="N13" i="17" s="1"/>
  <c r="N188" i="17" a="1"/>
  <c r="N188" i="17" s="1"/>
  <c r="N12" i="17" a="1"/>
  <c r="N12" i="17" s="1"/>
  <c r="N179" i="17" a="1"/>
  <c r="N179" i="17" s="1"/>
  <c r="Q11" i="17" l="1"/>
  <c r="W11" i="17" s="1"/>
  <c r="Q94" i="17"/>
  <c r="W94" i="17" s="1"/>
  <c r="Q91" i="17"/>
  <c r="W91" i="17" s="1"/>
  <c r="Q93" i="17"/>
  <c r="W93" i="17" s="1"/>
  <c r="Q145" i="17"/>
  <c r="W145" i="17" s="1"/>
  <c r="Q39" i="17"/>
  <c r="W39" i="17" s="1"/>
  <c r="Q46" i="17"/>
  <c r="W4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<sst xmlns="http://schemas.openxmlformats.org/spreadsheetml/2006/main" count="3064" uniqueCount="102">
  <si>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</si>
  <si>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</si>
  <si>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</si>
  <si>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</si>
  <si>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</si>
  <si>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</si>
  <si>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</si>
  <si>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</si>
  <si>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</si>
  <si>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</si>
  <si>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</si>
  <si>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</si>
  <si>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</si>
  <si>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</si>
  <si>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</si>
  <si>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</si>
  <si>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</si>
  <si>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</si>
  <si>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</si>
  <si>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</si>
  <si>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</si>
  <si>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</si>
  <si>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</si>
  <si>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</si>
  <si>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</si>
  <si>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</si>
  <si>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</si>
  <si>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</si>
  <si>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</si>
  <si>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</si>
  <si>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</si>
  <si>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</si>
  <si>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</si>
  <si>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</si>
  <si>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</si>
  <si>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</si>
  <si>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</si>
  <si>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</si>
  <si>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</si>
  <si>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</si>
  <si>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</si>
  <si>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</si>
  <si>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</si>
  <si>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</si>
  <si>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</si>
  <si>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</si>
  <si>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</si>
  <si>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</si>
  <si>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</si>
  <si>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</si>
  <si>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</si>
  <si>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</si>
  <si>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</si>
  <si>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</si>
  <si>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</si>
  <si>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</si>
  <si>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</si>
  <si>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</si>
  <si>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</si>
  <si>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</si>
  <si>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</si>
  <si>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</si>
  <si>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</si>
  <si>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</si>
  <si>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</si>
  <si>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</si>
  <si>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</si>
  <si>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</si>
  <si>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20:30:07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</si>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</sst>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4451736108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19540731257165" maxValue="6.386201200675979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4"/>
    </cacheField>
    <cacheField name="LastRecordedValue" numFmtId="0">
      <sharedItems containsSemiMixedTypes="0" containsString="0" containsNumb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66114135173630362" maxValue="2.2932472525272605"/>
    </cacheField>
    <cacheField name="StDevOfAverage" numFmtId="0">
      <sharedItems containsSemiMixedTypes="0" containsString="0" containsNumber="1" minValue="0" maxValue="1.01359588573049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7848292392452848"/>
    </cacheField>
    <cacheField name="MinimumAverage" numFmtId="0">
      <sharedItems containsSemiMixedTypes="0" containsString="0" containsNumber="1" minValue="0.19540731257165" maxValue="2"/>
    </cacheField>
    <cacheField name="MaximumAverage" numFmtId="0">
      <sharedItems containsSemiMixedTypes="0" containsString="0" containsNumber="1" minValue="0.96696734486103797" maxValue="6.3862012006759796"/>
    </cacheField>
    <cacheField name="SummaryHalfWidth" numFmtId="0">
      <sharedItems containsSemiMixedTypes="0" containsString="0" containsNumber="1" minValue="0" maxValue="0.378482923924528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445196759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4452083331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0.9843249030948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866239891585"/>
    </cacheField>
    <cacheField name="Maximum" numFmtId="0">
      <sharedItems containsSemiMixedTypes="0" containsString="0" containsNumber="1" minValue="0" maxValue="92.524967197700306"/>
    </cacheField>
    <cacheField name="NumberObservations" numFmtId="0">
      <sharedItems containsSemiMixedTypes="0" containsString="0" containsNumber="1" containsInteger="1" minValue="64" maxValue="113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3.748700274171075"/>
    </cacheField>
    <cacheField name="StDevOfAverage" numFmtId="0">
      <sharedItems containsSemiMixedTypes="0" containsString="0" containsNumber="1" minValue="0" maxValue="4.811316309360492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7965750357995409"/>
    </cacheField>
    <cacheField name="MinimumAverage" numFmtId="0">
      <sharedItems containsSemiMixedTypes="0" containsString="0" containsNumber="1" minValue="0" maxValue="8.8931227479310593"/>
    </cacheField>
    <cacheField name="MaximumAverage" numFmtId="0">
      <sharedItems containsSemiMixedTypes="0" containsString="0" containsNumber="1" minValue="0" maxValue="30.984324903094802"/>
    </cacheField>
    <cacheField name="OverallMinimum" numFmtId="0">
      <sharedItems containsSemiMixedTypes="0" containsString="0" containsNumber="1" minValue="0" maxValue="6.2754048036595101E-4"/>
    </cacheField>
    <cacheField name="OverallMaximum" numFmtId="0">
      <sharedItems containsSemiMixedTypes="0" containsString="0" containsNumber="1" minValue="0" maxValue="92.524967197700306"/>
    </cacheField>
    <cacheField name="AverageNumberObservations" numFmtId="0">
      <sharedItems containsSemiMixedTypes="0" containsString="0" containsNumber="1" minValue="87.1" maxValue="88.4"/>
    </cacheField>
    <cacheField name="SummaryHalfWidth" numFmtId="0">
      <sharedItems containsSemiMixedTypes="0" containsString="0" containsNumber="1" minValue="0" maxValue="1.7965750357995409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4452199077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44460892146328002" maxValue="1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66114135173630362" maxValue="89.233333333333334"/>
    </cacheField>
    <cacheField name="StandardDeviation" numFmtId="0">
      <sharedItems containsSemiMixedTypes="0" containsString="0" containsNumber="1" minValue="0.10307627324848868" maxValue="9.894907548951577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8489312985140453E-2" maxValue="3.6948192014325687"/>
    </cacheField>
    <cacheField name="Minimum" numFmtId="0">
      <sharedItems containsSemiMixedTypes="0" containsString="0" containsNumber="1" minValue="0.44460892146328002" maxValue="68"/>
    </cacheField>
    <cacheField name="Maximum" numFmtId="0">
      <sharedItems containsSemiMixedTypes="0" containsString="0" containsNumber="1" minValue="0.96696734486103797" maxValue="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4452430554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6" maxValue="111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27.933333333333334" maxValue="87.1"/>
    </cacheField>
    <cacheField name="StandardDeviation" numFmtId="0">
      <sharedItems containsSemiMixedTypes="0" containsString="0" containsNumber="1" minValue="9.5749313493532675" maxValue="17.88455957703090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575338124886025" maxValue="6.6782042992791881"/>
    </cacheField>
    <cacheField name="Minimum" numFmtId="0">
      <sharedItems containsSemiMixedTypes="0" containsString="0" containsNumber="1" containsInteger="1" minValue="6" maxValue="64"/>
    </cacheField>
    <cacheField name="Maximum" numFmtId="0">
      <sharedItems containsSemiMixedTypes="0" containsString="0" containsNumber="1" containsInteger="1" minValue="96" maxValue="1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0:07"/>
    <n v="1"/>
    <x v="0"/>
    <x v="0"/>
    <x v="0"/>
    <n v="2.3615810634841199"/>
    <n v="2E+20"/>
    <n v="0"/>
    <n v="8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"/>
    <x v="1"/>
    <x v="1"/>
    <x v="1"/>
    <n v="0.70511434114097904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"/>
    <x v="1"/>
    <x v="2"/>
    <x v="1"/>
    <n v="1.4102286822819601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"/>
    <x v="2"/>
    <x v="4"/>
    <x v="2"/>
    <n v="0.95135238120216103"/>
    <n v="2E+20"/>
    <n v="0"/>
    <n v="6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"/>
    <x v="0"/>
    <x v="0"/>
    <x v="0"/>
    <n v="3.4809646477534599"/>
    <n v="2E+20"/>
    <n v="0"/>
    <n v="13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"/>
    <x v="1"/>
    <x v="1"/>
    <x v="1"/>
    <n v="0.67884935331829799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"/>
    <x v="1"/>
    <x v="2"/>
    <x v="1"/>
    <n v="1.3576987066366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"/>
    <x v="2"/>
    <x v="4"/>
    <x v="2"/>
    <n v="2.12326594111686"/>
    <n v="2E+20"/>
    <n v="0"/>
    <n v="11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3"/>
    <x v="0"/>
    <x v="0"/>
    <x v="0"/>
    <n v="2.2401674197556098"/>
    <n v="2E+20"/>
    <n v="0"/>
    <n v="8"/>
    <n v="8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3"/>
    <x v="1"/>
    <x v="1"/>
    <x v="1"/>
    <n v="0.74776210807622101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3"/>
    <x v="1"/>
    <x v="2"/>
    <x v="1"/>
    <n v="1.49552421615244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3"/>
    <x v="2"/>
    <x v="4"/>
    <x v="2"/>
    <n v="0.74464320360316705"/>
    <n v="2E+20"/>
    <n v="0"/>
    <n v="6"/>
    <n v="6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4"/>
    <x v="0"/>
    <x v="0"/>
    <x v="0"/>
    <n v="1.8333679520350501"/>
    <n v="2E+20"/>
    <n v="0"/>
    <n v="6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4"/>
    <x v="1"/>
    <x v="1"/>
    <x v="1"/>
    <n v="0.64996927097244594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4"/>
    <x v="1"/>
    <x v="2"/>
    <x v="1"/>
    <n v="1.2999385419448899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4"/>
    <x v="2"/>
    <x v="4"/>
    <x v="2"/>
    <n v="0.53342941009015699"/>
    <n v="2E+20"/>
    <n v="0"/>
    <n v="4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5"/>
    <x v="0"/>
    <x v="0"/>
    <x v="0"/>
    <n v="2.01763496663856"/>
    <n v="2E+20"/>
    <n v="0"/>
    <n v="7"/>
    <n v="4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5"/>
    <x v="1"/>
    <x v="1"/>
    <x v="1"/>
    <n v="0.63472525894104104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5"/>
    <x v="1"/>
    <x v="2"/>
    <x v="1"/>
    <n v="1.26945051788208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5"/>
    <x v="2"/>
    <x v="4"/>
    <x v="2"/>
    <n v="0.74818444875648304"/>
    <n v="2E+20"/>
    <n v="0"/>
    <n v="5"/>
    <n v="2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6"/>
    <x v="0"/>
    <x v="0"/>
    <x v="0"/>
    <n v="1.6163099674155299"/>
    <n v="2E+20"/>
    <n v="0"/>
    <n v="6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6"/>
    <x v="1"/>
    <x v="1"/>
    <x v="1"/>
    <n v="0.62403540178572103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6"/>
    <x v="1"/>
    <x v="2"/>
    <x v="1"/>
    <n v="1.2480708035714401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6"/>
    <x v="2"/>
    <x v="4"/>
    <x v="2"/>
    <n v="0.368239163844089"/>
    <n v="2E+20"/>
    <n v="0"/>
    <n v="4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7"/>
    <x v="0"/>
    <x v="0"/>
    <x v="0"/>
    <n v="3.3852814809951499"/>
    <n v="2E+20"/>
    <n v="0"/>
    <n v="12"/>
    <n v="4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7"/>
    <x v="1"/>
    <x v="1"/>
    <x v="1"/>
    <n v="0.76034655923569605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7"/>
    <x v="1"/>
    <x v="2"/>
    <x v="1"/>
    <n v="1.52069311847139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7"/>
    <x v="2"/>
    <x v="4"/>
    <x v="2"/>
    <n v="1.86458836252375"/>
    <n v="2E+20"/>
    <n v="0"/>
    <n v="10"/>
    <n v="2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8"/>
    <x v="0"/>
    <x v="0"/>
    <x v="0"/>
    <n v="1.89024518711981"/>
    <n v="2E+20"/>
    <n v="0"/>
    <n v="8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8"/>
    <x v="1"/>
    <x v="1"/>
    <x v="1"/>
    <n v="0.65661398687750705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8"/>
    <x v="1"/>
    <x v="2"/>
    <x v="1"/>
    <n v="1.31322797375501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8"/>
    <x v="2"/>
    <x v="4"/>
    <x v="2"/>
    <n v="0.57701721336480105"/>
    <n v="2E+20"/>
    <n v="0"/>
    <n v="6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9"/>
    <x v="0"/>
    <x v="0"/>
    <x v="0"/>
    <n v="1.4003371654615"/>
    <n v="2E+20"/>
    <n v="0"/>
    <n v="7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9"/>
    <x v="1"/>
    <x v="1"/>
    <x v="1"/>
    <n v="0.51911843686350101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9"/>
    <x v="1"/>
    <x v="2"/>
    <x v="1"/>
    <n v="1.038236873727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9"/>
    <x v="2"/>
    <x v="4"/>
    <x v="2"/>
    <n v="0.36210029173450198"/>
    <n v="2E+20"/>
    <n v="0"/>
    <n v="5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0"/>
    <x v="0"/>
    <x v="0"/>
    <x v="0"/>
    <n v="2.82939333689378"/>
    <n v="2E+20"/>
    <n v="0"/>
    <n v="11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0"/>
    <x v="1"/>
    <x v="1"/>
    <x v="1"/>
    <n v="0.63731325872403599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0"/>
    <x v="1"/>
    <x v="2"/>
    <x v="1"/>
    <n v="1.27462651744807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0"/>
    <x v="2"/>
    <x v="4"/>
    <x v="2"/>
    <n v="1.55476681944571"/>
    <n v="2E+20"/>
    <n v="0"/>
    <n v="9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1"/>
    <x v="0"/>
    <x v="0"/>
    <x v="0"/>
    <n v="1.5361785574026701"/>
    <n v="2E+20"/>
    <n v="0"/>
    <n v="6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1"/>
    <x v="1"/>
    <x v="1"/>
    <x v="1"/>
    <n v="0.56768084314366196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1"/>
    <x v="1"/>
    <x v="2"/>
    <x v="1"/>
    <n v="1.1353616862873199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1"/>
    <x v="2"/>
    <x v="4"/>
    <x v="2"/>
    <n v="0.40081687111534903"/>
    <n v="2E+20"/>
    <n v="0"/>
    <n v="4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2"/>
    <x v="0"/>
    <x v="0"/>
    <x v="0"/>
    <n v="3.3951801569657101"/>
    <n v="2E+20"/>
    <n v="0"/>
    <n v="8"/>
    <n v="3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2"/>
    <x v="1"/>
    <x v="1"/>
    <x v="1"/>
    <n v="0.80037636824867298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2"/>
    <x v="1"/>
    <x v="2"/>
    <x v="1"/>
    <n v="1.600752736497349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2"/>
    <x v="2"/>
    <x v="4"/>
    <x v="2"/>
    <n v="1.7944274204683599"/>
    <n v="2E+20"/>
    <n v="0"/>
    <n v="6"/>
    <n v="1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3"/>
    <x v="0"/>
    <x v="0"/>
    <x v="0"/>
    <n v="1.77280380388915"/>
    <n v="2E+20"/>
    <n v="0"/>
    <n v="7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3"/>
    <x v="1"/>
    <x v="1"/>
    <x v="1"/>
    <n v="0.645836061100303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3"/>
    <x v="1"/>
    <x v="2"/>
    <x v="1"/>
    <n v="1.29167212220061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3"/>
    <x v="2"/>
    <x v="4"/>
    <x v="2"/>
    <n v="0.48113168168854598"/>
    <n v="2E+20"/>
    <n v="0"/>
    <n v="5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4"/>
    <x v="0"/>
    <x v="0"/>
    <x v="0"/>
    <n v="1.98039941414311"/>
    <n v="2E+20"/>
    <n v="0"/>
    <n v="8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4"/>
    <x v="1"/>
    <x v="1"/>
    <x v="1"/>
    <n v="0.62344092045601396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4"/>
    <x v="1"/>
    <x v="2"/>
    <x v="1"/>
    <n v="1.246881840912029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4"/>
    <x v="2"/>
    <x v="4"/>
    <x v="2"/>
    <n v="0.73351757323108002"/>
    <n v="2E+20"/>
    <n v="0"/>
    <n v="6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5"/>
    <x v="0"/>
    <x v="0"/>
    <x v="0"/>
    <n v="1.40880163726793"/>
    <n v="2E+20"/>
    <n v="0"/>
    <n v="5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5"/>
    <x v="1"/>
    <x v="1"/>
    <x v="1"/>
    <n v="0.56411474984017596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5"/>
    <x v="1"/>
    <x v="2"/>
    <x v="1"/>
    <n v="1.1282294996803499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5"/>
    <x v="2"/>
    <x v="4"/>
    <x v="2"/>
    <n v="0.28057213758757699"/>
    <n v="2E+20"/>
    <n v="0"/>
    <n v="3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6"/>
    <x v="0"/>
    <x v="0"/>
    <x v="0"/>
    <n v="2.4366820952164101"/>
    <n v="2E+20"/>
    <n v="0"/>
    <n v="8"/>
    <n v="5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6"/>
    <x v="1"/>
    <x v="1"/>
    <x v="1"/>
    <n v="0.74599603297739203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6"/>
    <x v="1"/>
    <x v="2"/>
    <x v="1"/>
    <n v="1.49199206595478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6"/>
    <x v="2"/>
    <x v="4"/>
    <x v="2"/>
    <n v="0.94469002926162504"/>
    <n v="2E+20"/>
    <n v="0"/>
    <n v="6"/>
    <n v="3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7"/>
    <x v="0"/>
    <x v="0"/>
    <x v="0"/>
    <n v="1.21513048064366"/>
    <n v="2E+20"/>
    <n v="0"/>
    <n v="6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7"/>
    <x v="1"/>
    <x v="1"/>
    <x v="1"/>
    <n v="0.44460892146328002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7"/>
    <x v="1"/>
    <x v="2"/>
    <x v="1"/>
    <n v="0.88921784292656103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7"/>
    <x v="2"/>
    <x v="4"/>
    <x v="2"/>
    <n v="0.32591263771710299"/>
    <n v="2E+20"/>
    <n v="0"/>
    <n v="4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8"/>
    <x v="0"/>
    <x v="0"/>
    <x v="0"/>
    <n v="1.8911307104908699"/>
    <n v="2E+20"/>
    <n v="0"/>
    <n v="6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8"/>
    <x v="1"/>
    <x v="1"/>
    <x v="1"/>
    <n v="0.69912146170646705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8"/>
    <x v="1"/>
    <x v="2"/>
    <x v="1"/>
    <n v="1.39824292341293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8"/>
    <x v="2"/>
    <x v="4"/>
    <x v="2"/>
    <n v="0.49288778707793601"/>
    <n v="2E+20"/>
    <n v="0"/>
    <n v="4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19"/>
    <x v="0"/>
    <x v="0"/>
    <x v="0"/>
    <n v="1.5138206357916799"/>
    <n v="2E+20"/>
    <n v="0"/>
    <n v="6"/>
    <n v="5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19"/>
    <x v="1"/>
    <x v="1"/>
    <x v="1"/>
    <n v="0.58754599723964096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19"/>
    <x v="1"/>
    <x v="2"/>
    <x v="1"/>
    <n v="1.175091994479279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19"/>
    <x v="2"/>
    <x v="4"/>
    <x v="2"/>
    <n v="0.338728641312395"/>
    <n v="2E+20"/>
    <n v="0"/>
    <n v="4"/>
    <n v="3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0"/>
    <x v="0"/>
    <x v="0"/>
    <x v="0"/>
    <n v="2.1255016829964299"/>
    <n v="2E+20"/>
    <n v="0"/>
    <n v="10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0"/>
    <x v="1"/>
    <x v="1"/>
    <x v="1"/>
    <n v="0.59284387506629699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0"/>
    <x v="1"/>
    <x v="2"/>
    <x v="1"/>
    <n v="1.18568775013259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0"/>
    <x v="2"/>
    <x v="4"/>
    <x v="2"/>
    <n v="0.93981393286383996"/>
    <n v="2E+20"/>
    <n v="0"/>
    <n v="8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1"/>
    <x v="0"/>
    <x v="0"/>
    <x v="0"/>
    <n v="2.07051898104742"/>
    <n v="2E+20"/>
    <n v="0"/>
    <n v="7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1"/>
    <x v="1"/>
    <x v="1"/>
    <x v="1"/>
    <n v="0.66721410752092303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1"/>
    <x v="1"/>
    <x v="2"/>
    <x v="1"/>
    <n v="1.3344282150418501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1"/>
    <x v="2"/>
    <x v="4"/>
    <x v="2"/>
    <n v="0.73609076600557399"/>
    <n v="2E+20"/>
    <n v="0"/>
    <n v="5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2"/>
    <x v="0"/>
    <x v="0"/>
    <x v="0"/>
    <n v="1.96219152405927"/>
    <n v="2E+20"/>
    <n v="0"/>
    <n v="9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2"/>
    <x v="1"/>
    <x v="1"/>
    <x v="1"/>
    <n v="0.67395162778034301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2"/>
    <x v="1"/>
    <x v="2"/>
    <x v="1"/>
    <n v="1.3479032555606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2"/>
    <x v="2"/>
    <x v="4"/>
    <x v="2"/>
    <n v="0.61428826849858698"/>
    <n v="2E+20"/>
    <n v="0"/>
    <n v="7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3"/>
    <x v="0"/>
    <x v="0"/>
    <x v="0"/>
    <n v="1.71713461875429"/>
    <n v="2E+20"/>
    <n v="0"/>
    <n v="8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3"/>
    <x v="1"/>
    <x v="1"/>
    <x v="1"/>
    <n v="0.62370261214042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3"/>
    <x v="1"/>
    <x v="2"/>
    <x v="1"/>
    <n v="1.24740522428084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3"/>
    <x v="2"/>
    <x v="4"/>
    <x v="2"/>
    <n v="0.46972939447344603"/>
    <n v="2E+20"/>
    <n v="0"/>
    <n v="6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4"/>
    <x v="0"/>
    <x v="0"/>
    <x v="0"/>
    <n v="1.14670462555243"/>
    <n v="2E+20"/>
    <n v="0"/>
    <n v="5"/>
    <n v="4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4"/>
    <x v="1"/>
    <x v="1"/>
    <x v="1"/>
    <n v="0.47564865649039001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4"/>
    <x v="1"/>
    <x v="2"/>
    <x v="1"/>
    <n v="0.95129731298077902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4"/>
    <x v="2"/>
    <x v="4"/>
    <x v="2"/>
    <n v="0.19540731257165"/>
    <n v="2E+20"/>
    <n v="0"/>
    <n v="3"/>
    <n v="2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5"/>
    <x v="0"/>
    <x v="0"/>
    <x v="0"/>
    <n v="1.88142321034963"/>
    <n v="2E+20"/>
    <n v="0"/>
    <n v="8"/>
    <n v="0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5"/>
    <x v="1"/>
    <x v="1"/>
    <x v="1"/>
    <n v="0.62243989799820298"/>
    <n v="2E+20"/>
    <n v="0"/>
    <n v="1"/>
    <n v="0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5"/>
    <x v="1"/>
    <x v="2"/>
    <x v="1"/>
    <n v="1.24487979599641"/>
    <n v="2E+20"/>
    <n v="0"/>
    <n v="2"/>
    <n v="0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5"/>
    <x v="2"/>
    <x v="4"/>
    <x v="2"/>
    <n v="0.63654341435322503"/>
    <n v="2E+20"/>
    <n v="0"/>
    <n v="6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6"/>
    <x v="0"/>
    <x v="0"/>
    <x v="0"/>
    <n v="2.8126372326989899"/>
    <n v="2E+20"/>
    <n v="0"/>
    <n v="11"/>
    <n v="3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6"/>
    <x v="1"/>
    <x v="1"/>
    <x v="1"/>
    <n v="0.641963918427782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6"/>
    <x v="1"/>
    <x v="2"/>
    <x v="1"/>
    <n v="1.28392783685556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6"/>
    <x v="2"/>
    <x v="4"/>
    <x v="2"/>
    <n v="1.5287093958434299"/>
    <n v="2E+20"/>
    <n v="0"/>
    <n v="9"/>
    <n v="1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7"/>
    <x v="0"/>
    <x v="0"/>
    <x v="0"/>
    <n v="3.0066859918398299"/>
    <n v="2E+20"/>
    <n v="0"/>
    <n v="8"/>
    <n v="3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7"/>
    <x v="1"/>
    <x v="1"/>
    <x v="1"/>
    <n v="0.75356308524229298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7"/>
    <x v="1"/>
    <x v="2"/>
    <x v="1"/>
    <n v="1.5071261704845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7"/>
    <x v="2"/>
    <x v="4"/>
    <x v="2"/>
    <n v="1.4995598213552499"/>
    <n v="2E+20"/>
    <n v="0"/>
    <n v="6"/>
    <n v="1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8"/>
    <x v="0"/>
    <x v="0"/>
    <x v="0"/>
    <n v="6.3862012006759796"/>
    <n v="2E+20"/>
    <n v="0"/>
    <n v="14"/>
    <n v="2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8"/>
    <x v="1"/>
    <x v="1"/>
    <x v="1"/>
    <n v="0.96696734486103797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8"/>
    <x v="1"/>
    <x v="2"/>
    <x v="1"/>
    <n v="1.9339346897220799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8"/>
    <x v="2"/>
    <x v="4"/>
    <x v="2"/>
    <n v="4.4522665109539004"/>
    <n v="2E+20"/>
    <n v="0"/>
    <n v="12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29"/>
    <x v="0"/>
    <x v="0"/>
    <x v="0"/>
    <n v="3.1678637718211502"/>
    <n v="2E+20"/>
    <n v="0"/>
    <n v="9"/>
    <n v="6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29"/>
    <x v="1"/>
    <x v="1"/>
    <x v="1"/>
    <n v="0.77899813185011402"/>
    <n v="2E+20"/>
    <n v="0"/>
    <n v="1"/>
    <n v="1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29"/>
    <x v="1"/>
    <x v="2"/>
    <x v="1"/>
    <n v="1.55799626370023"/>
    <n v="2E+20"/>
    <n v="0"/>
    <n v="2"/>
    <n v="2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29"/>
    <x v="2"/>
    <x v="4"/>
    <x v="2"/>
    <n v="1.6098675081209199"/>
    <n v="2E+20"/>
    <n v="0"/>
    <n v="7"/>
    <n v="4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  <r>
    <x v="0"/>
    <s v="2025-02-11 20:30:07"/>
    <n v="30"/>
    <x v="0"/>
    <x v="0"/>
    <x v="0"/>
    <n v="2.3151440566586401"/>
    <n v="2E+20"/>
    <n v="0"/>
    <n v="7"/>
    <n v="1"/>
    <n v="0"/>
    <s v="Unnamed ProjectCustomerWIPEntity"/>
    <n v="30"/>
    <n v="2.2932472525272605"/>
    <n v="1.0135958857304943"/>
    <n v="0.95"/>
    <n v="0.37848292392452848"/>
    <n v="1.14670462555243"/>
    <n v="6.3862012006759796"/>
    <n v="0.37848292392452848"/>
  </r>
  <r>
    <x v="0"/>
    <s v="2025-02-11 20:30:07"/>
    <n v="30"/>
    <x v="1"/>
    <x v="1"/>
    <x v="1"/>
    <n v="0.74437796260025502"/>
    <n v="2E+20"/>
    <n v="0"/>
    <n v="1"/>
    <n v="0.5"/>
    <n v="0"/>
    <s v="Unnamed ProjectService CounterInstantaneous UtilizationResource"/>
    <n v="30"/>
    <n v="0.66114135173630362"/>
    <n v="0.10307627324848868"/>
    <n v="0.95"/>
    <n v="3.8489312985140453E-2"/>
    <n v="0.44460892146328002"/>
    <n v="0.96696734486103797"/>
    <n v="3.8489312985140453E-2"/>
  </r>
  <r>
    <x v="0"/>
    <s v="2025-02-11 20:30:07"/>
    <n v="30"/>
    <x v="1"/>
    <x v="2"/>
    <x v="1"/>
    <n v="1.48875592520051"/>
    <n v="2E+20"/>
    <n v="0"/>
    <n v="2"/>
    <n v="1"/>
    <n v="0"/>
    <s v="Unnamed ProjectService CounterNumber BusyResource"/>
    <n v="30"/>
    <n v="1.3222827034726075"/>
    <n v="0.20615254649697617"/>
    <n v="0.95"/>
    <n v="7.6978625970280448E-2"/>
    <n v="0.88921784292656103"/>
    <n v="1.9339346897220799"/>
    <n v="7.6978625970280448E-2"/>
  </r>
  <r>
    <x v="0"/>
    <s v="2025-02-11 20:30:07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30:07"/>
    <n v="30"/>
    <x v="2"/>
    <x v="4"/>
    <x v="2"/>
    <n v="0.82638813145813095"/>
    <n v="2E+20"/>
    <n v="0"/>
    <n v="5"/>
    <n v="0"/>
    <n v="0"/>
    <s v="Unnamed ProjectService Process.QueueNumber WaitingQueue"/>
    <n v="30"/>
    <n v="0.97096454905465335"/>
    <n v="0.84602930052764758"/>
    <n v="0.95"/>
    <n v="0.3159125326941864"/>
    <n v="0.19540731257165"/>
    <n v="4.4522665109539004"/>
    <n v="0.31591253269418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30:07"/>
    <n v="1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"/>
    <x v="0"/>
    <x v="2"/>
    <x v="0"/>
    <n v="15.5518752961149"/>
    <n v="2E+20"/>
    <n v="0.48137083002002301"/>
    <n v="48.761267054913198"/>
    <n v="82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"/>
    <x v="0"/>
    <x v="4"/>
    <x v="0"/>
    <n v="9.2868718101494903"/>
    <n v="2E+20"/>
    <n v="2.4808099713027301E-2"/>
    <n v="41.1827233327475"/>
    <n v="82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"/>
    <x v="0"/>
    <x v="5"/>
    <x v="0"/>
    <n v="6.2650034859654502"/>
    <n v="2E+20"/>
    <n v="0"/>
    <n v="25.4480487119576"/>
    <n v="82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"/>
    <x v="0"/>
    <x v="2"/>
    <x v="0"/>
    <n v="20.8660282011897"/>
    <n v="2E+20"/>
    <n v="0.20418673883341401"/>
    <n v="59.359237323481899"/>
    <n v="90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"/>
    <x v="0"/>
    <x v="4"/>
    <x v="0"/>
    <n v="8.1264325544885008"/>
    <n v="2E+20"/>
    <n v="0.14390288034951501"/>
    <n v="43.5120797930538"/>
    <n v="90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"/>
    <x v="0"/>
    <x v="5"/>
    <x v="0"/>
    <n v="12.739595646701201"/>
    <n v="2E+20"/>
    <n v="0"/>
    <n v="46.596114159539503"/>
    <n v="90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3"/>
    <x v="0"/>
    <x v="0"/>
    <x v="0"/>
    <n v="0"/>
    <n v="2E+20"/>
    <n v="0"/>
    <n v="0"/>
    <n v="99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"/>
    <x v="0"/>
    <x v="1"/>
    <x v="0"/>
    <n v="0"/>
    <n v="2E+20"/>
    <n v="0"/>
    <n v="0"/>
    <n v="99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"/>
    <x v="0"/>
    <x v="2"/>
    <x v="0"/>
    <n v="11.7510976767048"/>
    <n v="2E+20"/>
    <n v="3.2790565955491298E-2"/>
    <n v="55.012656029479203"/>
    <n v="99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3"/>
    <x v="0"/>
    <x v="3"/>
    <x v="0"/>
    <n v="0"/>
    <n v="2E+20"/>
    <n v="0"/>
    <n v="0"/>
    <n v="99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"/>
    <x v="0"/>
    <x v="4"/>
    <x v="0"/>
    <n v="7.9941233556034899"/>
    <n v="2E+20"/>
    <n v="3.2790565955491298E-2"/>
    <n v="55.012656029479203"/>
    <n v="99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3"/>
    <x v="0"/>
    <x v="5"/>
    <x v="0"/>
    <n v="3.7569743211013198"/>
    <n v="2E+20"/>
    <n v="0"/>
    <n v="17.029852265517398"/>
    <n v="99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4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4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4"/>
    <x v="0"/>
    <x v="2"/>
    <x v="0"/>
    <n v="11.2502124329423"/>
    <n v="2E+20"/>
    <n v="3.6718086357268503E-2"/>
    <n v="41.836507549098798"/>
    <n v="88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4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4"/>
    <x v="0"/>
    <x v="4"/>
    <x v="0"/>
    <n v="7.9768955982981904"/>
    <n v="2E+20"/>
    <n v="3.6718086357268503E-2"/>
    <n v="41.836507549098798"/>
    <n v="88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4"/>
    <x v="0"/>
    <x v="5"/>
    <x v="0"/>
    <n v="3.2733168346441501"/>
    <n v="2E+20"/>
    <n v="0"/>
    <n v="19.538476404311702"/>
    <n v="88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5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5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5"/>
    <x v="0"/>
    <x v="2"/>
    <x v="0"/>
    <n v="10.819882994645001"/>
    <n v="2E+20"/>
    <n v="0.100056229683901"/>
    <n v="43.095419361886101"/>
    <n v="9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5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5"/>
    <x v="0"/>
    <x v="4"/>
    <x v="0"/>
    <n v="6.9185313652512903"/>
    <n v="2E+20"/>
    <n v="0.100056229683901"/>
    <n v="34.926464913258002"/>
    <n v="9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5"/>
    <x v="0"/>
    <x v="5"/>
    <x v="0"/>
    <n v="3.9013516293936901"/>
    <n v="2E+20"/>
    <n v="0"/>
    <n v="28.304962558063899"/>
    <n v="9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6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6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6"/>
    <x v="0"/>
    <x v="2"/>
    <x v="0"/>
    <n v="9.8689880277278696"/>
    <n v="2E+20"/>
    <n v="0.211751808790893"/>
    <n v="42.413086983051898"/>
    <n v="8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6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6"/>
    <x v="0"/>
    <x v="4"/>
    <x v="0"/>
    <n v="7.5833656314542202"/>
    <n v="2E+20"/>
    <n v="2.0026831159043499E-2"/>
    <n v="36.757977196547003"/>
    <n v="8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6"/>
    <x v="0"/>
    <x v="5"/>
    <x v="0"/>
    <n v="2.2856223962736602"/>
    <n v="2E+20"/>
    <n v="0"/>
    <n v="19.3814273611647"/>
    <n v="8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7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7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7"/>
    <x v="0"/>
    <x v="2"/>
    <x v="0"/>
    <n v="20.170187272610502"/>
    <n v="2E+20"/>
    <n v="0.31543115665590399"/>
    <n v="62.122965190245701"/>
    <n v="8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7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7"/>
    <x v="0"/>
    <x v="4"/>
    <x v="0"/>
    <n v="9.08452592806049"/>
    <n v="2E+20"/>
    <n v="0.31543115665590399"/>
    <n v="36.7587741085093"/>
    <n v="8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7"/>
    <x v="0"/>
    <x v="5"/>
    <x v="0"/>
    <n v="11.085661344549999"/>
    <n v="2E+20"/>
    <n v="0"/>
    <n v="44.969514954462298"/>
    <n v="8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8"/>
    <x v="0"/>
    <x v="0"/>
    <x v="0"/>
    <n v="0"/>
    <n v="2E+20"/>
    <n v="0"/>
    <n v="0"/>
    <n v="74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8"/>
    <x v="0"/>
    <x v="1"/>
    <x v="0"/>
    <n v="0"/>
    <n v="2E+20"/>
    <n v="0"/>
    <n v="0"/>
    <n v="74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8"/>
    <x v="0"/>
    <x v="2"/>
    <x v="0"/>
    <n v="13.582093879196"/>
    <n v="2E+20"/>
    <n v="0.13672610701479501"/>
    <n v="58.488493769752203"/>
    <n v="74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8"/>
    <x v="0"/>
    <x v="3"/>
    <x v="0"/>
    <n v="0"/>
    <n v="2E+20"/>
    <n v="0"/>
    <n v="0"/>
    <n v="74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8"/>
    <x v="0"/>
    <x v="4"/>
    <x v="0"/>
    <n v="9.40906795670581"/>
    <n v="2E+20"/>
    <n v="0.13672610701479501"/>
    <n v="58.488493769752203"/>
    <n v="74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8"/>
    <x v="0"/>
    <x v="5"/>
    <x v="0"/>
    <n v="4.1730259224902104"/>
    <n v="2E+20"/>
    <n v="0"/>
    <n v="26.3081359160232"/>
    <n v="74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9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9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9"/>
    <x v="0"/>
    <x v="2"/>
    <x v="0"/>
    <n v="8.8931227479310593"/>
    <n v="2E+20"/>
    <n v="0.1941191519862"/>
    <n v="35.269038809934699"/>
    <n v="84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9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9"/>
    <x v="0"/>
    <x v="4"/>
    <x v="0"/>
    <n v="6.5653351582092601"/>
    <n v="2E+20"/>
    <n v="2.4284984361464999E-2"/>
    <n v="35.269038809934699"/>
    <n v="84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9"/>
    <x v="0"/>
    <x v="5"/>
    <x v="0"/>
    <n v="2.3277875897218001"/>
    <n v="2E+20"/>
    <n v="0"/>
    <n v="23.195544353481701"/>
    <n v="84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0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0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0"/>
    <x v="0"/>
    <x v="2"/>
    <x v="0"/>
    <n v="16.253961722581298"/>
    <n v="2E+20"/>
    <n v="7.7657682952917598E-2"/>
    <n v="42.845735464388703"/>
    <n v="94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0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0"/>
    <x v="0"/>
    <x v="4"/>
    <x v="0"/>
    <n v="7.3223225470421101"/>
    <n v="2E+20"/>
    <n v="7.7657682952917598E-2"/>
    <n v="32.531605815939102"/>
    <n v="94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0"/>
    <x v="0"/>
    <x v="5"/>
    <x v="0"/>
    <n v="8.9316391755392104"/>
    <n v="2E+20"/>
    <n v="0"/>
    <n v="36.012304684969799"/>
    <n v="94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1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1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1"/>
    <x v="0"/>
    <x v="2"/>
    <x v="0"/>
    <n v="9.5349013907752092"/>
    <n v="2E+20"/>
    <n v="4.08357099601631E-2"/>
    <n v="31.827566203010601"/>
    <n v="8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1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1"/>
    <x v="0"/>
    <x v="4"/>
    <x v="0"/>
    <n v="7.0470725355764898"/>
    <n v="2E+20"/>
    <n v="4.08357099601631E-2"/>
    <n v="31.827566203010601"/>
    <n v="8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1"/>
    <x v="0"/>
    <x v="5"/>
    <x v="0"/>
    <n v="2.4878288551987202"/>
    <n v="2E+20"/>
    <n v="0"/>
    <n v="17.288583994850899"/>
    <n v="8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2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2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2"/>
    <x v="0"/>
    <x v="2"/>
    <x v="0"/>
    <n v="19.435348981952401"/>
    <n v="2E+20"/>
    <n v="0.104027475047616"/>
    <n v="55.704166172103697"/>
    <n v="92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2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2"/>
    <x v="0"/>
    <x v="4"/>
    <x v="0"/>
    <n v="9.1689341619954092"/>
    <n v="2E+20"/>
    <n v="3.2110826562586701E-2"/>
    <n v="47.485173453091598"/>
    <n v="92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2"/>
    <x v="0"/>
    <x v="5"/>
    <x v="0"/>
    <n v="10.266414819956999"/>
    <n v="2E+20"/>
    <n v="0"/>
    <n v="31.018599357544801"/>
    <n v="92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3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3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3"/>
    <x v="0"/>
    <x v="2"/>
    <x v="0"/>
    <n v="10.8785687965925"/>
    <n v="2E+20"/>
    <n v="6.9634087496297098E-2"/>
    <n v="40.478932558908902"/>
    <n v="88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3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3"/>
    <x v="0"/>
    <x v="4"/>
    <x v="0"/>
    <n v="7.92616984077645"/>
    <n v="2E+20"/>
    <n v="6.9634087496297098E-2"/>
    <n v="40.478932558908902"/>
    <n v="88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3"/>
    <x v="0"/>
    <x v="5"/>
    <x v="0"/>
    <n v="2.9523989558160801"/>
    <n v="2E+20"/>
    <n v="0"/>
    <n v="19.054649053579901"/>
    <n v="88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4"/>
    <x v="0"/>
    <x v="2"/>
    <x v="0"/>
    <n v="11.6816939422897"/>
    <n v="2E+20"/>
    <n v="0.19314470858736901"/>
    <n v="40.089364488773398"/>
    <n v="91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4"/>
    <x v="0"/>
    <x v="4"/>
    <x v="0"/>
    <n v="7.3289522989404396"/>
    <n v="2E+20"/>
    <n v="0.19314470858736901"/>
    <n v="33.326973197422802"/>
    <n v="91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4"/>
    <x v="0"/>
    <x v="5"/>
    <x v="0"/>
    <n v="4.3527416433492698"/>
    <n v="2E+20"/>
    <n v="0"/>
    <n v="20.411205789533401"/>
    <n v="91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5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5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5"/>
    <x v="0"/>
    <x v="2"/>
    <x v="0"/>
    <n v="9.2774741966424603"/>
    <n v="2E+20"/>
    <n v="0.190139760605746"/>
    <n v="33.305834280225803"/>
    <n v="82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5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5"/>
    <x v="0"/>
    <x v="4"/>
    <x v="0"/>
    <n v="7.4298040222852499"/>
    <n v="2E+20"/>
    <n v="0.190139760605746"/>
    <n v="33.305834280225803"/>
    <n v="82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5"/>
    <x v="0"/>
    <x v="5"/>
    <x v="0"/>
    <n v="1.8476701743572099"/>
    <n v="2E+20"/>
    <n v="0"/>
    <n v="14.358741222977701"/>
    <n v="82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6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6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6"/>
    <x v="0"/>
    <x v="2"/>
    <x v="0"/>
    <n v="14.991053094066899"/>
    <n v="2E+20"/>
    <n v="0.16813391760695101"/>
    <n v="51.836035250993099"/>
    <n v="83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6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6"/>
    <x v="0"/>
    <x v="4"/>
    <x v="0"/>
    <n v="9.2563490912288007"/>
    <n v="2E+20"/>
    <n v="0.16813391760695101"/>
    <n v="51.836035250993099"/>
    <n v="83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6"/>
    <x v="0"/>
    <x v="5"/>
    <x v="0"/>
    <n v="5.7347040028380798"/>
    <n v="2E+20"/>
    <n v="0"/>
    <n v="31.310204899665301"/>
    <n v="83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7"/>
    <x v="0"/>
    <x v="0"/>
    <x v="0"/>
    <n v="0"/>
    <n v="2E+20"/>
    <n v="0"/>
    <n v="0"/>
    <n v="6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7"/>
    <x v="0"/>
    <x v="1"/>
    <x v="0"/>
    <n v="0"/>
    <n v="2E+20"/>
    <n v="0"/>
    <n v="0"/>
    <n v="6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7"/>
    <x v="0"/>
    <x v="2"/>
    <x v="0"/>
    <n v="9.7695229542346507"/>
    <n v="2E+20"/>
    <n v="0.15670464847801199"/>
    <n v="30.969490364363899"/>
    <n v="6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7"/>
    <x v="0"/>
    <x v="3"/>
    <x v="0"/>
    <n v="0"/>
    <n v="2E+20"/>
    <n v="0"/>
    <n v="0"/>
    <n v="6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7"/>
    <x v="0"/>
    <x v="4"/>
    <x v="0"/>
    <n v="7.14276438158935"/>
    <n v="2E+20"/>
    <n v="0.15670464847801199"/>
    <n v="30.5640535683014"/>
    <n v="6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7"/>
    <x v="0"/>
    <x v="5"/>
    <x v="0"/>
    <n v="2.62675857264531"/>
    <n v="2E+20"/>
    <n v="0"/>
    <n v="15.2306854609316"/>
    <n v="6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8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8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8"/>
    <x v="0"/>
    <x v="2"/>
    <x v="0"/>
    <n v="11.3958354668771"/>
    <n v="2E+20"/>
    <n v="0.13528529806103501"/>
    <n v="43.298129786777402"/>
    <n v="89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8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8"/>
    <x v="0"/>
    <x v="4"/>
    <x v="0"/>
    <n v="8.4052803542693493"/>
    <n v="2E+20"/>
    <n v="0.13528529806103501"/>
    <n v="38.633328617339501"/>
    <n v="89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8"/>
    <x v="0"/>
    <x v="5"/>
    <x v="0"/>
    <n v="2.9905551126077001"/>
    <n v="2E+20"/>
    <n v="0"/>
    <n v="22.288751739848099"/>
    <n v="89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9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9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9"/>
    <x v="0"/>
    <x v="2"/>
    <x v="0"/>
    <n v="10.1208377293392"/>
    <n v="2E+20"/>
    <n v="6.4063890553143201E-3"/>
    <n v="45.371744316688797"/>
    <n v="75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19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19"/>
    <x v="0"/>
    <x v="4"/>
    <x v="0"/>
    <n v="8.0481649466486704"/>
    <n v="2E+20"/>
    <n v="6.4063890553143201E-3"/>
    <n v="38.060326901497298"/>
    <n v="75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19"/>
    <x v="0"/>
    <x v="5"/>
    <x v="0"/>
    <n v="2.07267278269057"/>
    <n v="2E+20"/>
    <n v="0"/>
    <n v="13.6292482619279"/>
    <n v="75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0"/>
    <x v="0"/>
    <x v="2"/>
    <x v="0"/>
    <n v="13.6150570786871"/>
    <n v="2E+20"/>
    <n v="5.1675866018285901E-2"/>
    <n v="66.702859103432402"/>
    <n v="84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0"/>
    <x v="0"/>
    <x v="4"/>
    <x v="0"/>
    <n v="7.5733960817052699"/>
    <n v="2E+20"/>
    <n v="5.1675866018285901E-2"/>
    <n v="66.702859103432402"/>
    <n v="84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0"/>
    <x v="0"/>
    <x v="5"/>
    <x v="0"/>
    <n v="6.0416609969818298"/>
    <n v="2E+20"/>
    <n v="0"/>
    <n v="38.684458633738203"/>
    <n v="84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1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1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1"/>
    <x v="0"/>
    <x v="2"/>
    <x v="0"/>
    <n v="11.2886177531207"/>
    <n v="2E+20"/>
    <n v="0.70207014659030198"/>
    <n v="35.311358123795799"/>
    <n v="97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1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1"/>
    <x v="0"/>
    <x v="4"/>
    <x v="0"/>
    <n v="7.1907928702030404"/>
    <n v="2E+20"/>
    <n v="1.31768438522499E-2"/>
    <n v="33.829346636880601"/>
    <n v="97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1"/>
    <x v="0"/>
    <x v="5"/>
    <x v="0"/>
    <n v="4.0978248829176298"/>
    <n v="2E+20"/>
    <n v="0"/>
    <n v="15.9699928959177"/>
    <n v="97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2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2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2"/>
    <x v="0"/>
    <x v="2"/>
    <x v="0"/>
    <n v="13.219037708790101"/>
    <n v="2E+20"/>
    <n v="0.37382499908210298"/>
    <n v="39.736717349396301"/>
    <n v="79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2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2"/>
    <x v="0"/>
    <x v="4"/>
    <x v="0"/>
    <n v="9.0717418524678095"/>
    <n v="2E+20"/>
    <n v="2.5144256069182799E-2"/>
    <n v="32.238673536365901"/>
    <n v="79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2"/>
    <x v="0"/>
    <x v="5"/>
    <x v="0"/>
    <n v="4.1472958563222599"/>
    <n v="2E+20"/>
    <n v="0"/>
    <n v="26.894942015578899"/>
    <n v="79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3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3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3"/>
    <x v="0"/>
    <x v="2"/>
    <x v="0"/>
    <n v="10.2520459420594"/>
    <n v="2E+20"/>
    <n v="1.31104526331001E-2"/>
    <n v="33.4586433379204"/>
    <n v="90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3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3"/>
    <x v="0"/>
    <x v="4"/>
    <x v="0"/>
    <n v="7.4336695752187403"/>
    <n v="2E+20"/>
    <n v="1.31104526331001E-2"/>
    <n v="33.4586433379204"/>
    <n v="90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3"/>
    <x v="0"/>
    <x v="5"/>
    <x v="0"/>
    <n v="2.8183763668406798"/>
    <n v="2E+20"/>
    <n v="0"/>
    <n v="17.421728877257799"/>
    <n v="90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4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4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4"/>
    <x v="0"/>
    <x v="2"/>
    <x v="0"/>
    <n v="9.2908367856934007"/>
    <n v="2E+20"/>
    <n v="0.113476061281631"/>
    <n v="33.6874869031993"/>
    <n v="64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4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4"/>
    <x v="0"/>
    <x v="4"/>
    <x v="0"/>
    <n v="7.8280256962423396"/>
    <n v="2E+20"/>
    <n v="0.113476061281631"/>
    <n v="32.3600354451588"/>
    <n v="64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4"/>
    <x v="0"/>
    <x v="5"/>
    <x v="0"/>
    <n v="1.46281108945106"/>
    <n v="2E+20"/>
    <n v="0"/>
    <n v="27.056483498443399"/>
    <n v="64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5"/>
    <x v="0"/>
    <x v="2"/>
    <x v="0"/>
    <n v="11.5450969726"/>
    <n v="2E+20"/>
    <n v="0.16634342669090099"/>
    <n v="44.926198748761998"/>
    <n v="88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5"/>
    <x v="0"/>
    <x v="4"/>
    <x v="0"/>
    <n v="7.6390351117961304"/>
    <n v="2E+20"/>
    <n v="0.16634342669090099"/>
    <n v="36.6592571995469"/>
    <n v="88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5"/>
    <x v="0"/>
    <x v="5"/>
    <x v="0"/>
    <n v="3.90606186080388"/>
    <n v="2E+20"/>
    <n v="0"/>
    <n v="31.3689005291643"/>
    <n v="88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6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6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6"/>
    <x v="0"/>
    <x v="2"/>
    <x v="0"/>
    <n v="18.127328786775301"/>
    <n v="2E+20"/>
    <n v="6.2754048036595101E-4"/>
    <n v="58.670641525817103"/>
    <n v="82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6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6"/>
    <x v="0"/>
    <x v="4"/>
    <x v="0"/>
    <n v="8.4269418715921205"/>
    <n v="2E+20"/>
    <n v="6.2754048036595101E-4"/>
    <n v="38.8938228204712"/>
    <n v="82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6"/>
    <x v="0"/>
    <x v="5"/>
    <x v="0"/>
    <n v="9.7003869151831594"/>
    <n v="2E+20"/>
    <n v="0"/>
    <n v="47.173452211490797"/>
    <n v="82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7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7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7"/>
    <x v="0"/>
    <x v="2"/>
    <x v="0"/>
    <n v="17.718764047625601"/>
    <n v="2E+20"/>
    <n v="0.34548310278810801"/>
    <n v="67.882287441685193"/>
    <n v="89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7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7"/>
    <x v="0"/>
    <x v="4"/>
    <x v="0"/>
    <n v="9.0932047023379994"/>
    <n v="2E+20"/>
    <n v="0.106797294571464"/>
    <n v="58.650089881671001"/>
    <n v="89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7"/>
    <x v="0"/>
    <x v="5"/>
    <x v="0"/>
    <n v="8.6255593452876003"/>
    <n v="2E+20"/>
    <n v="0"/>
    <n v="46.020886595749701"/>
    <n v="89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8"/>
    <x v="0"/>
    <x v="0"/>
    <x v="0"/>
    <n v="0"/>
    <n v="2E+20"/>
    <n v="0"/>
    <n v="0"/>
    <n v="111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8"/>
    <x v="0"/>
    <x v="1"/>
    <x v="0"/>
    <n v="0"/>
    <n v="2E+20"/>
    <n v="0"/>
    <n v="0"/>
    <n v="111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8"/>
    <x v="0"/>
    <x v="2"/>
    <x v="0"/>
    <n v="30.984324903094802"/>
    <n v="2E+20"/>
    <n v="1.866239891585"/>
    <n v="92.524967197700306"/>
    <n v="111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8"/>
    <x v="0"/>
    <x v="3"/>
    <x v="0"/>
    <n v="0"/>
    <n v="2E+20"/>
    <n v="0"/>
    <n v="0"/>
    <n v="111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8"/>
    <x v="0"/>
    <x v="4"/>
    <x v="0"/>
    <n v="9.3246499849406792"/>
    <n v="2E+20"/>
    <n v="4.2468905818651599E-2"/>
    <n v="63.392444108219102"/>
    <n v="111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8"/>
    <x v="0"/>
    <x v="5"/>
    <x v="0"/>
    <n v="21.659674918154099"/>
    <n v="2E+20"/>
    <n v="0"/>
    <n v="51.576612413178701"/>
    <n v="111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29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9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9"/>
    <x v="0"/>
    <x v="2"/>
    <x v="0"/>
    <n v="17.851218192610901"/>
    <n v="2E+20"/>
    <n v="0.33624025002535501"/>
    <n v="62.741492934963702"/>
    <n v="93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29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29"/>
    <x v="0"/>
    <x v="4"/>
    <x v="0"/>
    <n v="8.9768157471861194"/>
    <n v="2E+20"/>
    <n v="3.6342768931433497E-2"/>
    <n v="55.170941421627099"/>
    <n v="93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29"/>
    <x v="0"/>
    <x v="5"/>
    <x v="0"/>
    <n v="8.8744024454248098"/>
    <n v="2E+20"/>
    <n v="0"/>
    <n v="47.289433938825702"/>
    <n v="93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30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0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0"/>
    <x v="0"/>
    <x v="2"/>
    <x v="0"/>
    <n v="12.4759932496614"/>
    <n v="2E+20"/>
    <n v="6.4147843096890297E-2"/>
    <n v="46.953295289307398"/>
    <n v="100"/>
    <s v="Unnamed ProjectCustomerTotal TimeEntity"/>
    <n v="30"/>
    <n v="13.748700274171075"/>
    <n v="4.8113163093604925"/>
    <n v="0.95"/>
    <n v="1.7965750357995409"/>
    <n v="8.8931227479310593"/>
    <n v="30.984324903094802"/>
    <n v="6.2754048036595101E-4"/>
    <n v="92.524967197700306"/>
    <n v="87.1"/>
    <n v="1.7965750357995409"/>
    <n v="30"/>
    <n v="1"/>
  </r>
  <r>
    <x v="0"/>
    <s v="2025-02-11 20:30:07"/>
    <n v="30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7.1"/>
    <n v="0"/>
    <n v="30"/>
    <n v="1"/>
  </r>
  <r>
    <x v="0"/>
    <s v="2025-02-11 20:30:07"/>
    <n v="30"/>
    <x v="0"/>
    <x v="4"/>
    <x v="0"/>
    <n v="8.0134973397875306"/>
    <n v="2E+20"/>
    <n v="6.4147843096890297E-2"/>
    <n v="39.694135643202003"/>
    <n v="100"/>
    <s v="Unnamed ProjectCustomerVA TimeEntity"/>
    <n v="30"/>
    <n v="8.0864244790683628"/>
    <n v="0.84197044890658757"/>
    <n v="0.95"/>
    <n v="0.31439693259069207"/>
    <n v="6.5653351582092601"/>
    <n v="9.40906795670581"/>
    <n v="6.2754048036595101E-4"/>
    <n v="66.702859103432402"/>
    <n v="87.1"/>
    <n v="0.31439693259069207"/>
    <n v="30"/>
    <n v="1"/>
  </r>
  <r>
    <x v="0"/>
    <s v="2025-02-11 20:30:07"/>
    <n v="30"/>
    <x v="0"/>
    <x v="5"/>
    <x v="0"/>
    <n v="4.4624959098739101"/>
    <n v="2E+20"/>
    <n v="0"/>
    <n v="25.665256405985499"/>
    <n v="100"/>
    <s v="Unnamed ProjectCustomerWait TimeEntity"/>
    <n v="30"/>
    <n v="5.6622757951027198"/>
    <n v="4.3084257859579624"/>
    <n v="0.95"/>
    <n v="1.6087926282435434"/>
    <n v="1.46281108945106"/>
    <n v="21.659674918154099"/>
    <n v="0"/>
    <n v="51.576612413178701"/>
    <n v="87.1"/>
    <n v="1.6087926282435434"/>
    <n v="30"/>
    <n v="1"/>
  </r>
  <r>
    <x v="0"/>
    <s v="2025-02-11 20:30:07"/>
    <n v="1"/>
    <x v="1"/>
    <x v="6"/>
    <x v="1"/>
    <n v="6.2650034859654502"/>
    <n v="2E+20"/>
    <n v="0"/>
    <n v="25.4480487119576"/>
    <n v="82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"/>
    <x v="1"/>
    <x v="6"/>
    <x v="1"/>
    <n v="12.599600090144"/>
    <n v="2E+20"/>
    <n v="0"/>
    <n v="46.596114159539503"/>
    <n v="9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3"/>
    <x v="1"/>
    <x v="6"/>
    <x v="1"/>
    <n v="3.7355832490777101"/>
    <n v="2E+20"/>
    <n v="0"/>
    <n v="17.029852265517398"/>
    <n v="10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4"/>
    <x v="1"/>
    <x v="6"/>
    <x v="1"/>
    <n v="3.2733168346441501"/>
    <n v="2E+20"/>
    <n v="0"/>
    <n v="19.538476404311702"/>
    <n v="88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5"/>
    <x v="1"/>
    <x v="6"/>
    <x v="1"/>
    <n v="3.9569906391502099"/>
    <n v="2E+20"/>
    <n v="0"/>
    <n v="28.304962558063899"/>
    <n v="99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6"/>
    <x v="1"/>
    <x v="6"/>
    <x v="1"/>
    <n v="2.2596494144978201"/>
    <n v="2E+20"/>
    <n v="0"/>
    <n v="19.3814273611647"/>
    <n v="88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7"/>
    <x v="1"/>
    <x v="6"/>
    <x v="1"/>
    <n v="11.1941013444227"/>
    <n v="2E+20"/>
    <n v="0"/>
    <n v="44.969514954462298"/>
    <n v="89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8"/>
    <x v="1"/>
    <x v="6"/>
    <x v="1"/>
    <n v="4.0998591475920101"/>
    <n v="2E+20"/>
    <n v="0"/>
    <n v="26.3081359160232"/>
    <n v="76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9"/>
    <x v="1"/>
    <x v="6"/>
    <x v="1"/>
    <n v="2.3004018533721302"/>
    <n v="2E+20"/>
    <n v="0"/>
    <n v="23.195544353481701"/>
    <n v="85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0"/>
    <x v="1"/>
    <x v="6"/>
    <x v="1"/>
    <n v="8.9316391755392104"/>
    <n v="2E+20"/>
    <n v="0"/>
    <n v="36.012304684969799"/>
    <n v="94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1"/>
    <x v="1"/>
    <x v="6"/>
    <x v="1"/>
    <n v="2.4878288551987202"/>
    <n v="2E+20"/>
    <n v="0"/>
    <n v="17.288583994850899"/>
    <n v="87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2"/>
    <x v="1"/>
    <x v="6"/>
    <x v="1"/>
    <n v="10.300011749374701"/>
    <n v="2E+20"/>
    <n v="0"/>
    <n v="31.018599357544801"/>
    <n v="94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3"/>
    <x v="1"/>
    <x v="6"/>
    <x v="1"/>
    <n v="2.9523989558160801"/>
    <n v="2E+20"/>
    <n v="0"/>
    <n v="19.054649053579901"/>
    <n v="88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4"/>
    <x v="1"/>
    <x v="6"/>
    <x v="1"/>
    <n v="4.2591342961804601"/>
    <n v="2E+20"/>
    <n v="0"/>
    <n v="20.411205789533401"/>
    <n v="93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5"/>
    <x v="1"/>
    <x v="6"/>
    <x v="1"/>
    <n v="1.8476701743572099"/>
    <n v="2E+20"/>
    <n v="0"/>
    <n v="14.358741222977701"/>
    <n v="82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6"/>
    <x v="1"/>
    <x v="6"/>
    <x v="1"/>
    <n v="5.65261544202263"/>
    <n v="2E+20"/>
    <n v="0"/>
    <n v="31.310204899665301"/>
    <n v="85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7"/>
    <x v="1"/>
    <x v="6"/>
    <x v="1"/>
    <n v="2.5881297701064101"/>
    <n v="2E+20"/>
    <n v="0"/>
    <n v="15.2306854609316"/>
    <n v="68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8"/>
    <x v="1"/>
    <x v="6"/>
    <x v="1"/>
    <n v="2.9248286266163199"/>
    <n v="2E+20"/>
    <n v="0"/>
    <n v="22.288751739848099"/>
    <n v="9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19"/>
    <x v="1"/>
    <x v="6"/>
    <x v="1"/>
    <n v="2.0758440088704599"/>
    <n v="2E+20"/>
    <n v="0"/>
    <n v="13.6292482619279"/>
    <n v="77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0"/>
    <x v="1"/>
    <x v="6"/>
    <x v="1"/>
    <n v="5.9705826323114497"/>
    <n v="2E+20"/>
    <n v="0"/>
    <n v="38.684458633738203"/>
    <n v="85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1"/>
    <x v="1"/>
    <x v="6"/>
    <x v="1"/>
    <n v="4.0150405418485802"/>
    <n v="2E+20"/>
    <n v="0"/>
    <n v="15.9699928959177"/>
    <n v="99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2"/>
    <x v="1"/>
    <x v="6"/>
    <x v="1"/>
    <n v="4.0952551233239101"/>
    <n v="2E+20"/>
    <n v="0"/>
    <n v="26.894942015578899"/>
    <n v="8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3"/>
    <x v="1"/>
    <x v="6"/>
    <x v="1"/>
    <n v="2.7874051979743002"/>
    <n v="2E+20"/>
    <n v="0"/>
    <n v="17.421728877257799"/>
    <n v="9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4"/>
    <x v="1"/>
    <x v="6"/>
    <x v="1"/>
    <n v="1.4718777228990501"/>
    <n v="2E+20"/>
    <n v="0"/>
    <n v="27.056483498443399"/>
    <n v="66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5"/>
    <x v="1"/>
    <x v="6"/>
    <x v="1"/>
    <n v="3.90606186080388"/>
    <n v="2E+20"/>
    <n v="0"/>
    <n v="31.3689005291643"/>
    <n v="88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6"/>
    <x v="1"/>
    <x v="6"/>
    <x v="1"/>
    <n v="9.82683808335279"/>
    <n v="2E+20"/>
    <n v="0"/>
    <n v="47.173452211490797"/>
    <n v="84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7"/>
    <x v="1"/>
    <x v="6"/>
    <x v="1"/>
    <n v="8.7749558561882992"/>
    <n v="2E+20"/>
    <n v="0"/>
    <n v="46.020886595749701"/>
    <n v="9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8"/>
    <x v="1"/>
    <x v="6"/>
    <x v="1"/>
    <n v="21.2763178399567"/>
    <n v="2E+20"/>
    <n v="0"/>
    <n v="51.576612413178701"/>
    <n v="113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29"/>
    <x v="1"/>
    <x v="6"/>
    <x v="1"/>
    <n v="8.9307205696552803"/>
    <n v="2E+20"/>
    <n v="0"/>
    <n v="47.289433938825702"/>
    <n v="95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  <r>
    <x v="0"/>
    <s v="2025-02-11 20:30:07"/>
    <n v="30"/>
    <x v="1"/>
    <x v="6"/>
    <x v="1"/>
    <n v="4.4183127820533699"/>
    <n v="2E+20"/>
    <n v="0"/>
    <n v="25.665256405985499"/>
    <n v="101"/>
    <s v="Unnamed ProjectService Process.QueueWaiting TimeQueue"/>
    <n v="30"/>
    <n v="5.6392658441105308"/>
    <n v="4.2746298350568681"/>
    <n v="0.95"/>
    <n v="1.5961730127794993"/>
    <n v="1.4718777228990501"/>
    <n v="21.2763178399567"/>
    <n v="0"/>
    <n v="51.576612413178701"/>
    <n v="88.4"/>
    <n v="1.5961730127794993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0:07"/>
    <n v="1"/>
    <x v="0"/>
    <x v="0"/>
    <x v="0"/>
    <n v="82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"/>
    <x v="1"/>
    <x v="1"/>
    <x v="0"/>
    <n v="82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"/>
    <x v="2"/>
    <x v="2"/>
    <x v="1"/>
    <n v="82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"/>
    <x v="3"/>
    <x v="3"/>
    <x v="1"/>
    <n v="0.70511434114097904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"/>
    <x v="4"/>
    <x v="1"/>
    <x v="2"/>
    <n v="82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"/>
    <x v="0"/>
    <x v="0"/>
    <x v="0"/>
    <n v="9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"/>
    <x v="1"/>
    <x v="1"/>
    <x v="0"/>
    <n v="90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"/>
    <x v="2"/>
    <x v="2"/>
    <x v="1"/>
    <n v="9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"/>
    <x v="3"/>
    <x v="3"/>
    <x v="1"/>
    <n v="0.67884935331829799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"/>
    <x v="4"/>
    <x v="1"/>
    <x v="2"/>
    <n v="90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3"/>
    <x v="0"/>
    <x v="0"/>
    <x v="0"/>
    <n v="107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3"/>
    <x v="1"/>
    <x v="1"/>
    <x v="0"/>
    <n v="99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3"/>
    <x v="2"/>
    <x v="2"/>
    <x v="1"/>
    <n v="10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3"/>
    <x v="3"/>
    <x v="3"/>
    <x v="1"/>
    <n v="0.74776210807622101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3"/>
    <x v="4"/>
    <x v="1"/>
    <x v="2"/>
    <n v="99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4"/>
    <x v="0"/>
    <x v="0"/>
    <x v="0"/>
    <n v="8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4"/>
    <x v="1"/>
    <x v="1"/>
    <x v="0"/>
    <n v="88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4"/>
    <x v="2"/>
    <x v="2"/>
    <x v="1"/>
    <n v="88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4"/>
    <x v="3"/>
    <x v="3"/>
    <x v="1"/>
    <n v="0.64996927097244594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4"/>
    <x v="4"/>
    <x v="1"/>
    <x v="2"/>
    <n v="88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5"/>
    <x v="0"/>
    <x v="0"/>
    <x v="0"/>
    <n v="10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5"/>
    <x v="1"/>
    <x v="1"/>
    <x v="0"/>
    <n v="9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5"/>
    <x v="2"/>
    <x v="2"/>
    <x v="1"/>
    <n v="99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5"/>
    <x v="3"/>
    <x v="3"/>
    <x v="1"/>
    <n v="0.63472525894104104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5"/>
    <x v="4"/>
    <x v="1"/>
    <x v="2"/>
    <n v="9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6"/>
    <x v="0"/>
    <x v="0"/>
    <x v="0"/>
    <n v="8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6"/>
    <x v="1"/>
    <x v="1"/>
    <x v="0"/>
    <n v="8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6"/>
    <x v="2"/>
    <x v="2"/>
    <x v="1"/>
    <n v="88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6"/>
    <x v="3"/>
    <x v="3"/>
    <x v="1"/>
    <n v="0.62403540178572103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6"/>
    <x v="4"/>
    <x v="1"/>
    <x v="2"/>
    <n v="8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7"/>
    <x v="0"/>
    <x v="0"/>
    <x v="0"/>
    <n v="9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7"/>
    <x v="1"/>
    <x v="1"/>
    <x v="0"/>
    <n v="8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7"/>
    <x v="2"/>
    <x v="2"/>
    <x v="1"/>
    <n v="89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7"/>
    <x v="3"/>
    <x v="3"/>
    <x v="1"/>
    <n v="0.76034655923569605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7"/>
    <x v="4"/>
    <x v="1"/>
    <x v="2"/>
    <n v="8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8"/>
    <x v="0"/>
    <x v="0"/>
    <x v="0"/>
    <n v="76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8"/>
    <x v="1"/>
    <x v="1"/>
    <x v="0"/>
    <n v="74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8"/>
    <x v="2"/>
    <x v="2"/>
    <x v="1"/>
    <n v="76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8"/>
    <x v="3"/>
    <x v="3"/>
    <x v="1"/>
    <n v="0.65661398687750705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8"/>
    <x v="4"/>
    <x v="1"/>
    <x v="2"/>
    <n v="74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9"/>
    <x v="0"/>
    <x v="0"/>
    <x v="0"/>
    <n v="85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9"/>
    <x v="1"/>
    <x v="1"/>
    <x v="0"/>
    <n v="84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9"/>
    <x v="2"/>
    <x v="2"/>
    <x v="1"/>
    <n v="85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9"/>
    <x v="3"/>
    <x v="3"/>
    <x v="1"/>
    <n v="0.51911843686350101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9"/>
    <x v="4"/>
    <x v="1"/>
    <x v="2"/>
    <n v="84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0"/>
    <x v="0"/>
    <x v="0"/>
    <x v="0"/>
    <n v="94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0"/>
    <x v="1"/>
    <x v="1"/>
    <x v="0"/>
    <n v="94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0"/>
    <x v="2"/>
    <x v="2"/>
    <x v="1"/>
    <n v="94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0"/>
    <x v="3"/>
    <x v="3"/>
    <x v="1"/>
    <n v="0.63731325872403599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0"/>
    <x v="4"/>
    <x v="1"/>
    <x v="2"/>
    <n v="94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1"/>
    <x v="0"/>
    <x v="0"/>
    <x v="0"/>
    <n v="87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1"/>
    <x v="1"/>
    <x v="1"/>
    <x v="0"/>
    <n v="8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1"/>
    <x v="2"/>
    <x v="2"/>
    <x v="1"/>
    <n v="87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1"/>
    <x v="3"/>
    <x v="3"/>
    <x v="1"/>
    <n v="0.56768084314366196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1"/>
    <x v="4"/>
    <x v="1"/>
    <x v="2"/>
    <n v="8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2"/>
    <x v="0"/>
    <x v="0"/>
    <x v="0"/>
    <n v="95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2"/>
    <x v="1"/>
    <x v="1"/>
    <x v="0"/>
    <n v="92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2"/>
    <x v="2"/>
    <x v="2"/>
    <x v="1"/>
    <n v="94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2"/>
    <x v="3"/>
    <x v="3"/>
    <x v="1"/>
    <n v="0.80037636824867298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2"/>
    <x v="4"/>
    <x v="1"/>
    <x v="2"/>
    <n v="92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3"/>
    <x v="0"/>
    <x v="0"/>
    <x v="0"/>
    <n v="8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3"/>
    <x v="1"/>
    <x v="1"/>
    <x v="0"/>
    <n v="88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3"/>
    <x v="2"/>
    <x v="2"/>
    <x v="1"/>
    <n v="88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3"/>
    <x v="3"/>
    <x v="3"/>
    <x v="1"/>
    <n v="0.645836061100303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3"/>
    <x v="4"/>
    <x v="1"/>
    <x v="2"/>
    <n v="88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4"/>
    <x v="0"/>
    <x v="0"/>
    <x v="0"/>
    <n v="93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4"/>
    <x v="1"/>
    <x v="1"/>
    <x v="0"/>
    <n v="91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4"/>
    <x v="2"/>
    <x v="2"/>
    <x v="1"/>
    <n v="93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4"/>
    <x v="3"/>
    <x v="3"/>
    <x v="1"/>
    <n v="0.62344092045601396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4"/>
    <x v="4"/>
    <x v="1"/>
    <x v="2"/>
    <n v="91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5"/>
    <x v="0"/>
    <x v="0"/>
    <x v="0"/>
    <n v="82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5"/>
    <x v="1"/>
    <x v="1"/>
    <x v="0"/>
    <n v="82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5"/>
    <x v="2"/>
    <x v="2"/>
    <x v="1"/>
    <n v="82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5"/>
    <x v="3"/>
    <x v="3"/>
    <x v="1"/>
    <n v="0.56411474984017596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5"/>
    <x v="4"/>
    <x v="1"/>
    <x v="2"/>
    <n v="82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6"/>
    <x v="0"/>
    <x v="0"/>
    <x v="0"/>
    <n v="8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6"/>
    <x v="1"/>
    <x v="1"/>
    <x v="0"/>
    <n v="83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6"/>
    <x v="2"/>
    <x v="2"/>
    <x v="1"/>
    <n v="85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6"/>
    <x v="3"/>
    <x v="3"/>
    <x v="1"/>
    <n v="0.74599603297739203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6"/>
    <x v="4"/>
    <x v="1"/>
    <x v="2"/>
    <n v="83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7"/>
    <x v="0"/>
    <x v="0"/>
    <x v="0"/>
    <n v="6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7"/>
    <x v="1"/>
    <x v="1"/>
    <x v="0"/>
    <n v="6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7"/>
    <x v="2"/>
    <x v="2"/>
    <x v="1"/>
    <n v="68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7"/>
    <x v="3"/>
    <x v="3"/>
    <x v="1"/>
    <n v="0.44460892146328002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7"/>
    <x v="4"/>
    <x v="1"/>
    <x v="2"/>
    <n v="6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8"/>
    <x v="0"/>
    <x v="0"/>
    <x v="0"/>
    <n v="9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8"/>
    <x v="1"/>
    <x v="1"/>
    <x v="0"/>
    <n v="89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8"/>
    <x v="2"/>
    <x v="2"/>
    <x v="1"/>
    <n v="9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8"/>
    <x v="3"/>
    <x v="3"/>
    <x v="1"/>
    <n v="0.69912146170646705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8"/>
    <x v="4"/>
    <x v="1"/>
    <x v="2"/>
    <n v="89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19"/>
    <x v="0"/>
    <x v="0"/>
    <x v="0"/>
    <n v="80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19"/>
    <x v="1"/>
    <x v="1"/>
    <x v="0"/>
    <n v="75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19"/>
    <x v="2"/>
    <x v="2"/>
    <x v="1"/>
    <n v="77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19"/>
    <x v="3"/>
    <x v="3"/>
    <x v="1"/>
    <n v="0.58754599723964096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19"/>
    <x v="4"/>
    <x v="1"/>
    <x v="2"/>
    <n v="75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0"/>
    <x v="0"/>
    <x v="0"/>
    <x v="0"/>
    <n v="85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0"/>
    <x v="1"/>
    <x v="1"/>
    <x v="0"/>
    <n v="84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0"/>
    <x v="2"/>
    <x v="2"/>
    <x v="1"/>
    <n v="85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0"/>
    <x v="3"/>
    <x v="3"/>
    <x v="1"/>
    <n v="0.59284387506629699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0"/>
    <x v="4"/>
    <x v="1"/>
    <x v="2"/>
    <n v="84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1"/>
    <x v="0"/>
    <x v="0"/>
    <x v="0"/>
    <n v="99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1"/>
    <x v="1"/>
    <x v="1"/>
    <x v="0"/>
    <n v="97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1"/>
    <x v="2"/>
    <x v="2"/>
    <x v="1"/>
    <n v="99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1"/>
    <x v="3"/>
    <x v="3"/>
    <x v="1"/>
    <n v="0.66721410752092303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1"/>
    <x v="4"/>
    <x v="1"/>
    <x v="2"/>
    <n v="97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2"/>
    <x v="0"/>
    <x v="0"/>
    <x v="0"/>
    <n v="8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2"/>
    <x v="1"/>
    <x v="1"/>
    <x v="0"/>
    <n v="79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2"/>
    <x v="2"/>
    <x v="2"/>
    <x v="1"/>
    <n v="8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2"/>
    <x v="3"/>
    <x v="3"/>
    <x v="1"/>
    <n v="0.67395162778034301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2"/>
    <x v="4"/>
    <x v="1"/>
    <x v="2"/>
    <n v="79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3"/>
    <x v="0"/>
    <x v="0"/>
    <x v="0"/>
    <n v="9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3"/>
    <x v="1"/>
    <x v="1"/>
    <x v="0"/>
    <n v="90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3"/>
    <x v="2"/>
    <x v="2"/>
    <x v="1"/>
    <n v="9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3"/>
    <x v="3"/>
    <x v="3"/>
    <x v="1"/>
    <n v="0.62370261214042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3"/>
    <x v="4"/>
    <x v="1"/>
    <x v="2"/>
    <n v="90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4"/>
    <x v="0"/>
    <x v="0"/>
    <x v="0"/>
    <n v="6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4"/>
    <x v="1"/>
    <x v="1"/>
    <x v="0"/>
    <n v="64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4"/>
    <x v="2"/>
    <x v="2"/>
    <x v="1"/>
    <n v="66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4"/>
    <x v="3"/>
    <x v="3"/>
    <x v="1"/>
    <n v="0.47564865649039001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4"/>
    <x v="4"/>
    <x v="1"/>
    <x v="2"/>
    <n v="64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5"/>
    <x v="0"/>
    <x v="0"/>
    <x v="0"/>
    <n v="88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5"/>
    <x v="1"/>
    <x v="1"/>
    <x v="0"/>
    <n v="88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5"/>
    <x v="2"/>
    <x v="2"/>
    <x v="1"/>
    <n v="88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5"/>
    <x v="3"/>
    <x v="3"/>
    <x v="1"/>
    <n v="0.62243989799820298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5"/>
    <x v="4"/>
    <x v="1"/>
    <x v="2"/>
    <n v="88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6"/>
    <x v="0"/>
    <x v="0"/>
    <x v="0"/>
    <n v="85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6"/>
    <x v="1"/>
    <x v="1"/>
    <x v="0"/>
    <n v="82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6"/>
    <x v="2"/>
    <x v="2"/>
    <x v="1"/>
    <n v="84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6"/>
    <x v="3"/>
    <x v="3"/>
    <x v="1"/>
    <n v="0.641963918427782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6"/>
    <x v="4"/>
    <x v="1"/>
    <x v="2"/>
    <n v="82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7"/>
    <x v="0"/>
    <x v="0"/>
    <x v="0"/>
    <n v="92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7"/>
    <x v="1"/>
    <x v="1"/>
    <x v="0"/>
    <n v="89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7"/>
    <x v="2"/>
    <x v="2"/>
    <x v="1"/>
    <n v="9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7"/>
    <x v="3"/>
    <x v="3"/>
    <x v="1"/>
    <n v="0.75356308524229298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7"/>
    <x v="4"/>
    <x v="1"/>
    <x v="2"/>
    <n v="89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8"/>
    <x v="0"/>
    <x v="0"/>
    <x v="0"/>
    <n v="113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8"/>
    <x v="1"/>
    <x v="1"/>
    <x v="0"/>
    <n v="111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8"/>
    <x v="2"/>
    <x v="2"/>
    <x v="1"/>
    <n v="113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8"/>
    <x v="3"/>
    <x v="3"/>
    <x v="1"/>
    <n v="0.96696734486103797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8"/>
    <x v="4"/>
    <x v="1"/>
    <x v="2"/>
    <n v="111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29"/>
    <x v="0"/>
    <x v="0"/>
    <x v="0"/>
    <n v="99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29"/>
    <x v="1"/>
    <x v="1"/>
    <x v="0"/>
    <n v="93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29"/>
    <x v="2"/>
    <x v="2"/>
    <x v="1"/>
    <n v="95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29"/>
    <x v="3"/>
    <x v="3"/>
    <x v="1"/>
    <n v="0.77899813185011402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29"/>
    <x v="4"/>
    <x v="1"/>
    <x v="2"/>
    <n v="93"/>
    <n v="0"/>
    <s v="Unnamed ProjectSystem.NumberOutNumber OutSystem"/>
    <n v="30"/>
    <n v="87.1"/>
    <n v="9.5749313493532675"/>
    <n v="0.95"/>
    <n v="3.575338124886025"/>
    <n v="64"/>
    <n v="111"/>
  </r>
  <r>
    <x v="0"/>
    <s v="2025-02-11 20:30:07"/>
    <n v="30"/>
    <x v="0"/>
    <x v="0"/>
    <x v="0"/>
    <n v="101"/>
    <n v="0"/>
    <s v="Unnamed ProjectCustomer.NumberInNumber InEntity"/>
    <n v="30"/>
    <n v="89.233333333333334"/>
    <n v="9.8949075489515774"/>
    <n v="0.95"/>
    <n v="3.6948192014325687"/>
    <n v="68"/>
    <n v="113"/>
  </r>
  <r>
    <x v="0"/>
    <s v="2025-02-11 20:30:07"/>
    <n v="30"/>
    <x v="1"/>
    <x v="1"/>
    <x v="0"/>
    <n v="100"/>
    <n v="0"/>
    <s v="Unnamed ProjectCustomer.NumberOutNumber OutEntity"/>
    <n v="30"/>
    <n v="87.1"/>
    <n v="9.5749313493532675"/>
    <n v="0.95"/>
    <n v="3.575338124886025"/>
    <n v="64"/>
    <n v="111"/>
  </r>
  <r>
    <x v="0"/>
    <s v="2025-02-11 20:30:07"/>
    <n v="30"/>
    <x v="2"/>
    <x v="2"/>
    <x v="1"/>
    <n v="101"/>
    <n v="0"/>
    <s v="Unnamed ProjectService Counter.NumberSeizedTotal Number SeizedResource"/>
    <n v="30"/>
    <n v="88.4"/>
    <n v="9.6440083239141039"/>
    <n v="0.95"/>
    <n v="3.6011318910957248"/>
    <n v="66"/>
    <n v="113"/>
  </r>
  <r>
    <x v="0"/>
    <s v="2025-02-11 20:30:07"/>
    <n v="30"/>
    <x v="3"/>
    <x v="3"/>
    <x v="1"/>
    <n v="0.74437796260025502"/>
    <n v="0"/>
    <s v="Unnamed ProjectService Counter.ScheduledUtilizationScheduled UtilizationResource"/>
    <n v="30"/>
    <n v="0.66114135173630362"/>
    <n v="0.10307627324848868"/>
    <n v="0.95"/>
    <n v="3.8489312985140453E-2"/>
    <n v="0.44460892146328002"/>
    <n v="0.96696734486103797"/>
  </r>
  <r>
    <x v="0"/>
    <s v="2025-02-11 20:30:07"/>
    <n v="30"/>
    <x v="4"/>
    <x v="1"/>
    <x v="2"/>
    <n v="100"/>
    <n v="0"/>
    <s v="Unnamed ProjectSystem.NumberOutNumber OutSystem"/>
    <n v="30"/>
    <n v="87.1"/>
    <n v="9.5749313493532675"/>
    <n v="0.95"/>
    <n v="3.575338124886025"/>
    <n v="64"/>
    <n v="1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30:07"/>
    <n v="1"/>
    <x v="0"/>
    <x v="0"/>
    <x v="0"/>
    <n v="82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"/>
    <x v="1"/>
    <x v="0"/>
    <x v="0"/>
    <n v="34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"/>
    <x v="0"/>
    <x v="0"/>
    <x v="0"/>
    <n v="90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"/>
    <x v="1"/>
    <x v="0"/>
    <x v="0"/>
    <n v="41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3"/>
    <x v="0"/>
    <x v="0"/>
    <x v="0"/>
    <n v="99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3"/>
    <x v="1"/>
    <x v="0"/>
    <x v="0"/>
    <n v="28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4"/>
    <x v="0"/>
    <x v="0"/>
    <x v="0"/>
    <n v="88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4"/>
    <x v="1"/>
    <x v="0"/>
    <x v="0"/>
    <n v="19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5"/>
    <x v="0"/>
    <x v="0"/>
    <x v="0"/>
    <n v="9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5"/>
    <x v="1"/>
    <x v="0"/>
    <x v="0"/>
    <n v="28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6"/>
    <x v="0"/>
    <x v="0"/>
    <x v="0"/>
    <n v="8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6"/>
    <x v="1"/>
    <x v="0"/>
    <x v="0"/>
    <n v="12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7"/>
    <x v="0"/>
    <x v="0"/>
    <x v="0"/>
    <n v="8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7"/>
    <x v="1"/>
    <x v="0"/>
    <x v="0"/>
    <n v="48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8"/>
    <x v="0"/>
    <x v="0"/>
    <x v="0"/>
    <n v="74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8"/>
    <x v="1"/>
    <x v="0"/>
    <x v="0"/>
    <n v="19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9"/>
    <x v="0"/>
    <x v="0"/>
    <x v="0"/>
    <n v="84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9"/>
    <x v="1"/>
    <x v="0"/>
    <x v="0"/>
    <n v="12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0"/>
    <x v="0"/>
    <x v="0"/>
    <x v="0"/>
    <n v="94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0"/>
    <x v="1"/>
    <x v="0"/>
    <x v="0"/>
    <n v="45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1"/>
    <x v="0"/>
    <x v="0"/>
    <x v="0"/>
    <n v="8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1"/>
    <x v="1"/>
    <x v="0"/>
    <x v="0"/>
    <n v="16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2"/>
    <x v="0"/>
    <x v="0"/>
    <x v="0"/>
    <n v="92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2"/>
    <x v="1"/>
    <x v="0"/>
    <x v="0"/>
    <n v="58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3"/>
    <x v="0"/>
    <x v="0"/>
    <x v="0"/>
    <n v="88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3"/>
    <x v="1"/>
    <x v="0"/>
    <x v="0"/>
    <n v="20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4"/>
    <x v="0"/>
    <x v="0"/>
    <x v="0"/>
    <n v="91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4"/>
    <x v="1"/>
    <x v="0"/>
    <x v="0"/>
    <n v="29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5"/>
    <x v="0"/>
    <x v="0"/>
    <x v="0"/>
    <n v="82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5"/>
    <x v="1"/>
    <x v="0"/>
    <x v="0"/>
    <n v="9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6"/>
    <x v="0"/>
    <x v="0"/>
    <x v="0"/>
    <n v="83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6"/>
    <x v="1"/>
    <x v="0"/>
    <x v="0"/>
    <n v="30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7"/>
    <x v="0"/>
    <x v="0"/>
    <x v="0"/>
    <n v="6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7"/>
    <x v="1"/>
    <x v="0"/>
    <x v="0"/>
    <n v="14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8"/>
    <x v="0"/>
    <x v="0"/>
    <x v="0"/>
    <n v="89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8"/>
    <x v="1"/>
    <x v="0"/>
    <x v="0"/>
    <n v="16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19"/>
    <x v="0"/>
    <x v="0"/>
    <x v="0"/>
    <n v="75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19"/>
    <x v="1"/>
    <x v="0"/>
    <x v="0"/>
    <n v="10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0"/>
    <x v="0"/>
    <x v="0"/>
    <x v="0"/>
    <n v="84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0"/>
    <x v="1"/>
    <x v="0"/>
    <x v="0"/>
    <n v="23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1"/>
    <x v="0"/>
    <x v="0"/>
    <x v="0"/>
    <n v="97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1"/>
    <x v="1"/>
    <x v="0"/>
    <x v="0"/>
    <n v="29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2"/>
    <x v="0"/>
    <x v="0"/>
    <x v="0"/>
    <n v="79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2"/>
    <x v="1"/>
    <x v="0"/>
    <x v="0"/>
    <n v="16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3"/>
    <x v="0"/>
    <x v="0"/>
    <x v="0"/>
    <n v="90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3"/>
    <x v="1"/>
    <x v="0"/>
    <x v="0"/>
    <n v="23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4"/>
    <x v="0"/>
    <x v="0"/>
    <x v="0"/>
    <n v="64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4"/>
    <x v="1"/>
    <x v="0"/>
    <x v="0"/>
    <n v="6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5"/>
    <x v="0"/>
    <x v="0"/>
    <x v="0"/>
    <n v="88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5"/>
    <x v="1"/>
    <x v="0"/>
    <x v="0"/>
    <n v="22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6"/>
    <x v="0"/>
    <x v="0"/>
    <x v="0"/>
    <n v="82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6"/>
    <x v="1"/>
    <x v="0"/>
    <x v="0"/>
    <n v="34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7"/>
    <x v="0"/>
    <x v="0"/>
    <x v="0"/>
    <n v="89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7"/>
    <x v="1"/>
    <x v="0"/>
    <x v="0"/>
    <n v="33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8"/>
    <x v="0"/>
    <x v="0"/>
    <x v="0"/>
    <n v="111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8"/>
    <x v="1"/>
    <x v="0"/>
    <x v="0"/>
    <n v="96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29"/>
    <x v="0"/>
    <x v="0"/>
    <x v="0"/>
    <n v="93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29"/>
    <x v="1"/>
    <x v="0"/>
    <x v="0"/>
    <n v="41"/>
    <s v="Unnamed Projectwaiting time over 6minsCountUser Specified"/>
    <n v="30"/>
    <n v="27.933333333333334"/>
    <n v="17.884559577030902"/>
    <n v="0.95"/>
    <n v="6.6782042992791881"/>
    <n v="6"/>
    <n v="96"/>
  </r>
  <r>
    <x v="0"/>
    <s v="2025-02-11 20:30:07"/>
    <n v="30"/>
    <x v="0"/>
    <x v="0"/>
    <x v="0"/>
    <n v="100"/>
    <s v="Unnamed Projectcustomer servedCountUser Specified"/>
    <n v="30"/>
    <n v="87.1"/>
    <n v="9.5749313493532675"/>
    <n v="0.95"/>
    <n v="3.575338124886025"/>
    <n v="64"/>
    <n v="111"/>
  </r>
  <r>
    <x v="0"/>
    <s v="2025-02-11 20:30:07"/>
    <n v="30"/>
    <x v="1"/>
    <x v="0"/>
    <x v="0"/>
    <n v="27"/>
    <s v="Unnamed Projectwaiting time over 6minsCountUser Specified"/>
    <n v="30"/>
    <n v="27.933333333333334"/>
    <n v="17.884559577030902"/>
    <n v="0.95"/>
    <n v="6.6782042992791881"/>
    <n v="6"/>
    <n v="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>
      <selection activeCell="B15" sqref="B15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87.1</v>
      </c>
      <c r="O3" t="s">
        <v>66</v>
      </c>
      <c r="P3" t="s">
        <v>69</v>
      </c>
      <c r="Q3" t="s">
        <v>80</v>
      </c>
      <c r="R3" t="s">
        <v>71</v>
      </c>
      <c r="S3" s="5">
        <v>2.2932472525272605</v>
      </c>
      <c r="T3" s="5">
        <v>0.37848292392452848</v>
      </c>
      <c r="U3" s="5">
        <v>1.0135958857304943</v>
      </c>
      <c r="V3" s="5">
        <v>1.14670462555243</v>
      </c>
      <c r="W3" s="5">
        <v>6.3862012006759796</v>
      </c>
      <c r="X3" s="5">
        <v>0</v>
      </c>
      <c r="Y3" s="5">
        <v>14</v>
      </c>
      <c r="AA3" t="s">
        <v>66</v>
      </c>
      <c r="AB3" t="s">
        <v>87</v>
      </c>
      <c r="AC3" t="s">
        <v>88</v>
      </c>
      <c r="AD3" t="s">
        <v>89</v>
      </c>
      <c r="AE3" s="5">
        <v>87.1</v>
      </c>
      <c r="AF3" s="5">
        <v>3.575338124886025</v>
      </c>
      <c r="AG3" s="5">
        <v>9.5749313493532675</v>
      </c>
      <c r="AH3" s="5">
        <v>64</v>
      </c>
      <c r="AI3" s="5">
        <v>111</v>
      </c>
      <c r="AK3" t="s">
        <v>66</v>
      </c>
      <c r="AL3" t="s">
        <v>99</v>
      </c>
      <c r="AM3" t="s">
        <v>94</v>
      </c>
      <c r="AN3" t="s">
        <v>100</v>
      </c>
      <c r="AO3" s="5">
        <v>87.1</v>
      </c>
      <c r="AP3" s="5">
        <v>3.575338124886025</v>
      </c>
      <c r="AQ3" s="5">
        <v>9.5749313493532675</v>
      </c>
      <c r="AR3" s="5">
        <v>64</v>
      </c>
      <c r="AS3" s="5">
        <v>111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87.1</v>
      </c>
      <c r="P4" t="s">
        <v>81</v>
      </c>
      <c r="Q4" t="s">
        <v>82</v>
      </c>
      <c r="R4" t="s">
        <v>83</v>
      </c>
      <c r="S4" s="5">
        <v>0.66114135173630362</v>
      </c>
      <c r="T4" s="5">
        <v>3.8489312985140453E-2</v>
      </c>
      <c r="U4" s="5">
        <v>0.10307627324848868</v>
      </c>
      <c r="V4" s="5">
        <v>0.44460892146328002</v>
      </c>
      <c r="W4" s="5">
        <v>0.96696734486103797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27.933333333333334</v>
      </c>
      <c r="AF4" s="5">
        <v>6.6782042992791881</v>
      </c>
      <c r="AG4" s="5">
        <v>17.884559577030902</v>
      </c>
      <c r="AH4" s="5">
        <v>6</v>
      </c>
      <c r="AI4" s="5">
        <v>96</v>
      </c>
      <c r="AL4" t="s">
        <v>91</v>
      </c>
      <c r="AM4" t="s">
        <v>92</v>
      </c>
      <c r="AN4" t="s">
        <v>71</v>
      </c>
      <c r="AO4" s="5">
        <v>89.233333333333334</v>
      </c>
      <c r="AP4" s="5">
        <v>3.6948192014325687</v>
      </c>
      <c r="AQ4" s="5">
        <v>9.8949075489515774</v>
      </c>
      <c r="AR4" s="5">
        <v>68</v>
      </c>
      <c r="AS4" s="5">
        <v>113</v>
      </c>
    </row>
    <row r="5" spans="1:52" x14ac:dyDescent="0.3">
      <c r="C5" t="s">
        <v>73</v>
      </c>
      <c r="D5" t="s">
        <v>71</v>
      </c>
      <c r="E5" s="5">
        <v>13.748700274171075</v>
      </c>
      <c r="F5" s="5">
        <v>1</v>
      </c>
      <c r="G5" s="5">
        <v>1.7965750357995409</v>
      </c>
      <c r="H5" s="5">
        <v>4.8113163093604925</v>
      </c>
      <c r="I5" s="5">
        <v>8.8931227479310593</v>
      </c>
      <c r="J5" s="5">
        <v>30.984324903094802</v>
      </c>
      <c r="K5" s="5">
        <v>6.2754048036595101E-4</v>
      </c>
      <c r="L5" s="5">
        <v>92.524967197700306</v>
      </c>
      <c r="M5" s="5">
        <v>87.1</v>
      </c>
      <c r="Q5" t="s">
        <v>84</v>
      </c>
      <c r="R5" t="s">
        <v>83</v>
      </c>
      <c r="S5" s="5">
        <v>1.3222827034726075</v>
      </c>
      <c r="T5" s="5">
        <v>7.6978625970280448E-2</v>
      </c>
      <c r="U5" s="5">
        <v>0.20615254649697617</v>
      </c>
      <c r="V5" s="5">
        <v>0.88921784292656103</v>
      </c>
      <c r="W5" s="5">
        <v>1.9339346897220799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87.1</v>
      </c>
      <c r="AP5" s="5">
        <v>3.575338124886025</v>
      </c>
      <c r="AQ5" s="5">
        <v>9.5749313493532675</v>
      </c>
      <c r="AR5" s="5">
        <v>64</v>
      </c>
      <c r="AS5" s="5">
        <v>111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87.1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88.4</v>
      </c>
      <c r="AP6" s="5">
        <v>3.6011318910957248</v>
      </c>
      <c r="AQ6" s="5">
        <v>9.6440083239141039</v>
      </c>
      <c r="AR6" s="5">
        <v>66</v>
      </c>
      <c r="AS6" s="5">
        <v>113</v>
      </c>
    </row>
    <row r="7" spans="1:52" x14ac:dyDescent="0.3">
      <c r="C7" t="s">
        <v>75</v>
      </c>
      <c r="D7" t="s">
        <v>71</v>
      </c>
      <c r="E7" s="5">
        <v>8.0864244790683628</v>
      </c>
      <c r="F7" s="5">
        <v>1</v>
      </c>
      <c r="G7" s="5">
        <v>0.31439693259069207</v>
      </c>
      <c r="H7" s="5">
        <v>0.84197044890658757</v>
      </c>
      <c r="I7" s="5">
        <v>6.5653351582092601</v>
      </c>
      <c r="J7" s="5">
        <v>9.40906795670581</v>
      </c>
      <c r="K7" s="5">
        <v>6.2754048036595101E-4</v>
      </c>
      <c r="L7" s="5">
        <v>66.702859103432402</v>
      </c>
      <c r="M7" s="5">
        <v>87.1</v>
      </c>
      <c r="P7" t="s">
        <v>77</v>
      </c>
      <c r="Q7" t="s">
        <v>86</v>
      </c>
      <c r="R7" t="s">
        <v>79</v>
      </c>
      <c r="S7" s="5">
        <v>0.97096454905465335</v>
      </c>
      <c r="T7" s="5">
        <v>0.3159125326941864</v>
      </c>
      <c r="U7" s="5">
        <v>0.84602930052764758</v>
      </c>
      <c r="V7" s="5">
        <v>0.19540731257165</v>
      </c>
      <c r="W7" s="5">
        <v>4.4522665109539004</v>
      </c>
      <c r="X7" s="5">
        <v>0</v>
      </c>
      <c r="Y7" s="5">
        <v>12</v>
      </c>
      <c r="AL7" t="s">
        <v>97</v>
      </c>
      <c r="AM7" t="s">
        <v>98</v>
      </c>
      <c r="AN7" t="s">
        <v>83</v>
      </c>
      <c r="AO7" s="5">
        <v>0.66114135173630362</v>
      </c>
      <c r="AP7" s="5">
        <v>3.8489312985140453E-2</v>
      </c>
      <c r="AQ7" s="5">
        <v>0.10307627324848868</v>
      </c>
      <c r="AR7" s="5">
        <v>0.44460892146328002</v>
      </c>
      <c r="AS7" s="5">
        <v>0.96696734486103797</v>
      </c>
    </row>
    <row r="8" spans="1:52" x14ac:dyDescent="0.3">
      <c r="C8" t="s">
        <v>76</v>
      </c>
      <c r="D8" t="s">
        <v>71</v>
      </c>
      <c r="E8" s="5">
        <v>5.6622757951027198</v>
      </c>
      <c r="F8" s="5">
        <v>1</v>
      </c>
      <c r="G8" s="5">
        <v>1.6087926282435434</v>
      </c>
      <c r="H8" s="5">
        <v>4.3084257859579624</v>
      </c>
      <c r="I8" s="5">
        <v>1.46281108945106</v>
      </c>
      <c r="J8" s="5">
        <v>21.659674918154099</v>
      </c>
      <c r="K8" s="5">
        <v>0</v>
      </c>
      <c r="L8" s="5">
        <v>51.576612413178701</v>
      </c>
      <c r="M8" s="5">
        <v>87.1</v>
      </c>
    </row>
    <row r="9" spans="1:52" x14ac:dyDescent="0.3">
      <c r="B9" t="s">
        <v>77</v>
      </c>
      <c r="C9" t="s">
        <v>78</v>
      </c>
      <c r="D9" t="s">
        <v>79</v>
      </c>
      <c r="E9" s="5">
        <v>5.6392658441105308</v>
      </c>
      <c r="F9" s="5">
        <v>1</v>
      </c>
      <c r="G9" s="5">
        <v>1.5961730127794993</v>
      </c>
      <c r="H9" s="5">
        <v>4.2746298350568681</v>
      </c>
      <c r="I9" s="5">
        <v>1.4718777228990501</v>
      </c>
      <c r="J9" s="5">
        <v>21.2763178399567</v>
      </c>
      <c r="K9" s="5">
        <v>0</v>
      </c>
      <c r="L9" s="5">
        <v>51.576612413178701</v>
      </c>
      <c r="M9" s="5">
        <v>88.4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82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87.1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82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87.1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15.5518752961149</v>
      </c>
      <c r="H4">
        <v>2E+20</v>
      </c>
      <c r="I4">
        <v>0.48137083002002301</v>
      </c>
      <c r="J4">
        <v>48.761267054913198</v>
      </c>
      <c r="K4">
        <v>82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13.748700274171075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4.8113163093604925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8.8931227479310593</v>
      </c>
      <c r="S4" cm="1">
        <f t="array" ref="S4">MAX(IF((DiscreteStatsTable[GroupByKey]=DiscreteStatsTable[[#This Row],[GroupByKey]]),(DiscreteStatsTable[GroupByKey]=DiscreteStatsTable[[#This Row],[GroupByKey]])*DiscreteStatsTable[Average]))</f>
        <v>30.984324903094802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6.2754048036595101E-4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92.524967197700306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87.1</v>
      </c>
      <c r="W4">
        <f>IF((DiscreteStatsTable[[#This Row],[RepsRequested]]&gt;1),DiscreteStatsTable[[#This Row],[HalfWidth]],DiscreteStatsTable[[#This Row],[BatchMeansHalfWidth]])</f>
        <v>1.7965750357995409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82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87.1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9.2868718101494903</v>
      </c>
      <c r="H6">
        <v>2E+20</v>
      </c>
      <c r="I6">
        <v>2.4808099713027301E-2</v>
      </c>
      <c r="J6">
        <v>41.1827233327475</v>
      </c>
      <c r="K6">
        <v>82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8.0864244790683628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6.5653351582092601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9.40906795670581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87.1</v>
      </c>
      <c r="W6">
        <f>IF((DiscreteStatsTable[[#This Row],[RepsRequested]]&gt;1),DiscreteStatsTable[[#This Row],[HalfWidth]],DiscreteStatsTable[[#This Row],[BatchMeansHalfWidth]])</f>
        <v>0.31439693259069207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6.2650034859654502</v>
      </c>
      <c r="H7">
        <v>2E+20</v>
      </c>
      <c r="I7">
        <v>0</v>
      </c>
      <c r="J7">
        <v>25.4480487119576</v>
      </c>
      <c r="K7">
        <v>82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5.6622757951027198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4.3084257859579624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1.46281108945106</v>
      </c>
      <c r="S7" cm="1">
        <f t="array" ref="S7">MAX(IF((DiscreteStatsTable[GroupByKey]=DiscreteStatsTable[[#This Row],[GroupByKey]]),(DiscreteStatsTable[GroupByKey]=DiscreteStatsTable[[#This Row],[GroupByKey]])*DiscreteStatsTable[Average]))</f>
        <v>21.659674918154099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51.576612413178701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87.1</v>
      </c>
      <c r="W7">
        <f>IF((DiscreteStatsTable[[#This Row],[RepsRequested]]&gt;1),DiscreteStatsTable[[#This Row],[HalfWidth]],DiscreteStatsTable[[#This Row],[BatchMeansHalfWidth]])</f>
        <v>1.6087926282435434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90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87.1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90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87.1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20.8660282011897</v>
      </c>
      <c r="H10">
        <v>2E+20</v>
      </c>
      <c r="I10">
        <v>0.20418673883341401</v>
      </c>
      <c r="J10">
        <v>59.359237323481899</v>
      </c>
      <c r="K10">
        <v>90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13.748700274171075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4.8113163093604925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8.8931227479310593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30.984324903094802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6.2754048036595101E-4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92.524967197700306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87.1</v>
      </c>
      <c r="W10">
        <f>IF((DiscreteStatsTable[[#This Row],[RepsRequested]]&gt;1),DiscreteStatsTable[[#This Row],[HalfWidth]],DiscreteStatsTable[[#This Row],[BatchMeansHalfWidth]])</f>
        <v>1.7965750357995409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90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87.1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8.1264325544885008</v>
      </c>
      <c r="H12">
        <v>2E+20</v>
      </c>
      <c r="I12">
        <v>0.14390288034951501</v>
      </c>
      <c r="J12">
        <v>43.5120797930538</v>
      </c>
      <c r="K12">
        <v>90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8.0864244790683628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6.5653351582092601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9.40906795670581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87.1</v>
      </c>
      <c r="W12">
        <f>IF((DiscreteStatsTable[[#This Row],[RepsRequested]]&gt;1),DiscreteStatsTable[[#This Row],[HalfWidth]],DiscreteStatsTable[[#This Row],[BatchMeansHalfWidth]])</f>
        <v>0.31439693259069207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12.739595646701201</v>
      </c>
      <c r="H13">
        <v>2E+20</v>
      </c>
      <c r="I13">
        <v>0</v>
      </c>
      <c r="J13">
        <v>46.596114159539503</v>
      </c>
      <c r="K13">
        <v>90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5.6622757951027198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4.3084257859579624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1.46281108945106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21.659674918154099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51.576612413178701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87.1</v>
      </c>
      <c r="W13">
        <f>IF((DiscreteStatsTable[[#This Row],[RepsRequested]]&gt;1),DiscreteStatsTable[[#This Row],[HalfWidth]],DiscreteStatsTable[[#This Row],[BatchMeansHalfWidth]])</f>
        <v>1.6087926282435434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99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87.1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99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87.1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11.7510976767048</v>
      </c>
      <c r="H16">
        <v>2E+20</v>
      </c>
      <c r="I16">
        <v>3.2790565955491298E-2</v>
      </c>
      <c r="J16">
        <v>55.012656029479203</v>
      </c>
      <c r="K16">
        <v>99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13.748700274171075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4.8113163093604925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8.8931227479310593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30.984324903094802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6.2754048036595101E-4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92.524967197700306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87.1</v>
      </c>
      <c r="W16">
        <f>IF((DiscreteStatsTable[[#This Row],[RepsRequested]]&gt;1),DiscreteStatsTable[[#This Row],[HalfWidth]],DiscreteStatsTable[[#This Row],[BatchMeansHalfWidth]])</f>
        <v>1.7965750357995409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99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87.1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7.9941233556034899</v>
      </c>
      <c r="H18">
        <v>2E+20</v>
      </c>
      <c r="I18">
        <v>3.2790565955491298E-2</v>
      </c>
      <c r="J18">
        <v>55.012656029479203</v>
      </c>
      <c r="K18">
        <v>99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8.0864244790683628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6.5653351582092601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9.40906795670581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87.1</v>
      </c>
      <c r="W18">
        <f>IF((DiscreteStatsTable[[#This Row],[RepsRequested]]&gt;1),DiscreteStatsTable[[#This Row],[HalfWidth]],DiscreteStatsTable[[#This Row],[BatchMeansHalfWidth]])</f>
        <v>0.31439693259069207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3.7569743211013198</v>
      </c>
      <c r="H19">
        <v>2E+20</v>
      </c>
      <c r="I19">
        <v>0</v>
      </c>
      <c r="J19">
        <v>17.029852265517398</v>
      </c>
      <c r="K19">
        <v>99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5.6622757951027198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4.3084257859579624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1.46281108945106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21.659674918154099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51.576612413178701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87.1</v>
      </c>
      <c r="W19">
        <f>IF((DiscreteStatsTable[[#This Row],[RepsRequested]]&gt;1),DiscreteStatsTable[[#This Row],[HalfWidth]],DiscreteStatsTable[[#This Row],[BatchMeansHalfWidth]])</f>
        <v>1.6087926282435434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88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87.1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88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87.1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11.2502124329423</v>
      </c>
      <c r="H22">
        <v>2E+20</v>
      </c>
      <c r="I22">
        <v>3.6718086357268503E-2</v>
      </c>
      <c r="J22">
        <v>41.836507549098798</v>
      </c>
      <c r="K22">
        <v>88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13.748700274171075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4.8113163093604925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8.8931227479310593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30.984324903094802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6.2754048036595101E-4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92.524967197700306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87.1</v>
      </c>
      <c r="W22">
        <f>IF((DiscreteStatsTable[[#This Row],[RepsRequested]]&gt;1),DiscreteStatsTable[[#This Row],[HalfWidth]],DiscreteStatsTable[[#This Row],[BatchMeansHalfWidth]])</f>
        <v>1.7965750357995409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88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87.1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7.9768955982981904</v>
      </c>
      <c r="H24">
        <v>2E+20</v>
      </c>
      <c r="I24">
        <v>3.6718086357268503E-2</v>
      </c>
      <c r="J24">
        <v>41.836507549098798</v>
      </c>
      <c r="K24">
        <v>88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8.0864244790683628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6.5653351582092601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9.40906795670581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87.1</v>
      </c>
      <c r="W24">
        <f>IF((DiscreteStatsTable[[#This Row],[RepsRequested]]&gt;1),DiscreteStatsTable[[#This Row],[HalfWidth]],DiscreteStatsTable[[#This Row],[BatchMeansHalfWidth]])</f>
        <v>0.31439693259069207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3.2733168346441501</v>
      </c>
      <c r="H25">
        <v>2E+20</v>
      </c>
      <c r="I25">
        <v>0</v>
      </c>
      <c r="J25">
        <v>19.538476404311702</v>
      </c>
      <c r="K25">
        <v>88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5.6622757951027198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4.3084257859579624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1.46281108945106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21.659674918154099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51.576612413178701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87.1</v>
      </c>
      <c r="W25">
        <f>IF((DiscreteStatsTable[[#This Row],[RepsRequested]]&gt;1),DiscreteStatsTable[[#This Row],[HalfWidth]],DiscreteStatsTable[[#This Row],[BatchMeansHalfWidth]])</f>
        <v>1.6087926282435434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97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87.1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97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87.1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10.819882994645001</v>
      </c>
      <c r="H28">
        <v>2E+20</v>
      </c>
      <c r="I28">
        <v>0.100056229683901</v>
      </c>
      <c r="J28">
        <v>43.095419361886101</v>
      </c>
      <c r="K28">
        <v>97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13.748700274171075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4.8113163093604925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8.8931227479310593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30.984324903094802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6.2754048036595101E-4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92.524967197700306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87.1</v>
      </c>
      <c r="W28">
        <f>IF((DiscreteStatsTable[[#This Row],[RepsRequested]]&gt;1),DiscreteStatsTable[[#This Row],[HalfWidth]],DiscreteStatsTable[[#This Row],[BatchMeansHalfWidth]])</f>
        <v>1.7965750357995409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97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87.1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6.9185313652512903</v>
      </c>
      <c r="H30">
        <v>2E+20</v>
      </c>
      <c r="I30">
        <v>0.100056229683901</v>
      </c>
      <c r="J30">
        <v>34.926464913258002</v>
      </c>
      <c r="K30">
        <v>97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8.0864244790683628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6.5653351582092601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9.40906795670581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87.1</v>
      </c>
      <c r="W30">
        <f>IF((DiscreteStatsTable[[#This Row],[RepsRequested]]&gt;1),DiscreteStatsTable[[#This Row],[HalfWidth]],DiscreteStatsTable[[#This Row],[BatchMeansHalfWidth]])</f>
        <v>0.31439693259069207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3.9013516293936901</v>
      </c>
      <c r="H31">
        <v>2E+20</v>
      </c>
      <c r="I31">
        <v>0</v>
      </c>
      <c r="J31">
        <v>28.304962558063899</v>
      </c>
      <c r="K31">
        <v>97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5.6622757951027198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4.3084257859579624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1.46281108945106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21.659674918154099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51.576612413178701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87.1</v>
      </c>
      <c r="W31">
        <f>IF((DiscreteStatsTable[[#This Row],[RepsRequested]]&gt;1),DiscreteStatsTable[[#This Row],[HalfWidth]],DiscreteStatsTable[[#This Row],[BatchMeansHalfWidth]])</f>
        <v>1.6087926282435434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87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87.1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87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87.1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9.8689880277278696</v>
      </c>
      <c r="H34">
        <v>2E+20</v>
      </c>
      <c r="I34">
        <v>0.211751808790893</v>
      </c>
      <c r="J34">
        <v>42.413086983051898</v>
      </c>
      <c r="K34">
        <v>87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13.748700274171075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4.8113163093604925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8.8931227479310593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30.984324903094802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6.2754048036595101E-4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92.524967197700306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87.1</v>
      </c>
      <c r="W34">
        <f>IF((DiscreteStatsTable[[#This Row],[RepsRequested]]&gt;1),DiscreteStatsTable[[#This Row],[HalfWidth]],DiscreteStatsTable[[#This Row],[BatchMeansHalfWidth]])</f>
        <v>1.7965750357995409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87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87.1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7.5833656314542202</v>
      </c>
      <c r="H36">
        <v>2E+20</v>
      </c>
      <c r="I36">
        <v>2.0026831159043499E-2</v>
      </c>
      <c r="J36">
        <v>36.757977196547003</v>
      </c>
      <c r="K36">
        <v>87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8.0864244790683628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6.5653351582092601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9.40906795670581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87.1</v>
      </c>
      <c r="W36">
        <f>IF((DiscreteStatsTable[[#This Row],[RepsRequested]]&gt;1),DiscreteStatsTable[[#This Row],[HalfWidth]],DiscreteStatsTable[[#This Row],[BatchMeansHalfWidth]])</f>
        <v>0.31439693259069207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2.2856223962736602</v>
      </c>
      <c r="H37">
        <v>2E+20</v>
      </c>
      <c r="I37">
        <v>0</v>
      </c>
      <c r="J37">
        <v>19.3814273611647</v>
      </c>
      <c r="K37">
        <v>87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5.6622757951027198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4.3084257859579624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1.46281108945106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21.659674918154099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51.576612413178701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87.1</v>
      </c>
      <c r="W37">
        <f>IF((DiscreteStatsTable[[#This Row],[RepsRequested]]&gt;1),DiscreteStatsTable[[#This Row],[HalfWidth]],DiscreteStatsTable[[#This Row],[BatchMeansHalfWidth]])</f>
        <v>1.6087926282435434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87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87.1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87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87.1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20.170187272610502</v>
      </c>
      <c r="H40">
        <v>2E+20</v>
      </c>
      <c r="I40">
        <v>0.31543115665590399</v>
      </c>
      <c r="J40">
        <v>62.122965190245701</v>
      </c>
      <c r="K40">
        <v>87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13.748700274171075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4.8113163093604925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8.8931227479310593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30.984324903094802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6.2754048036595101E-4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92.524967197700306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87.1</v>
      </c>
      <c r="W40">
        <f>IF((DiscreteStatsTable[[#This Row],[RepsRequested]]&gt;1),DiscreteStatsTable[[#This Row],[HalfWidth]],DiscreteStatsTable[[#This Row],[BatchMeansHalfWidth]])</f>
        <v>1.7965750357995409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87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87.1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9.08452592806049</v>
      </c>
      <c r="H42">
        <v>2E+20</v>
      </c>
      <c r="I42">
        <v>0.31543115665590399</v>
      </c>
      <c r="J42">
        <v>36.7587741085093</v>
      </c>
      <c r="K42">
        <v>87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8.0864244790683628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6.5653351582092601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9.40906795670581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87.1</v>
      </c>
      <c r="W42">
        <f>IF((DiscreteStatsTable[[#This Row],[RepsRequested]]&gt;1),DiscreteStatsTable[[#This Row],[HalfWidth]],DiscreteStatsTable[[#This Row],[BatchMeansHalfWidth]])</f>
        <v>0.31439693259069207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11.085661344549999</v>
      </c>
      <c r="H43">
        <v>2E+20</v>
      </c>
      <c r="I43">
        <v>0</v>
      </c>
      <c r="J43">
        <v>44.969514954462298</v>
      </c>
      <c r="K43">
        <v>87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5.6622757951027198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4.3084257859579624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1.46281108945106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21.659674918154099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51.576612413178701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87.1</v>
      </c>
      <c r="W43">
        <f>IF((DiscreteStatsTable[[#This Row],[RepsRequested]]&gt;1),DiscreteStatsTable[[#This Row],[HalfWidth]],DiscreteStatsTable[[#This Row],[BatchMeansHalfWidth]])</f>
        <v>1.6087926282435434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74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87.1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74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87.1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13.582093879196</v>
      </c>
      <c r="H46">
        <v>2E+20</v>
      </c>
      <c r="I46">
        <v>0.13672610701479501</v>
      </c>
      <c r="J46">
        <v>58.488493769752203</v>
      </c>
      <c r="K46">
        <v>74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13.748700274171075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4.8113163093604925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8.8931227479310593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30.984324903094802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6.2754048036595101E-4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92.524967197700306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87.1</v>
      </c>
      <c r="W46">
        <f>IF((DiscreteStatsTable[[#This Row],[RepsRequested]]&gt;1),DiscreteStatsTable[[#This Row],[HalfWidth]],DiscreteStatsTable[[#This Row],[BatchMeansHalfWidth]])</f>
        <v>1.7965750357995409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74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87.1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9.40906795670581</v>
      </c>
      <c r="H48">
        <v>2E+20</v>
      </c>
      <c r="I48">
        <v>0.13672610701479501</v>
      </c>
      <c r="J48">
        <v>58.488493769752203</v>
      </c>
      <c r="K48">
        <v>74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8.0864244790683628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6.5653351582092601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9.40906795670581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87.1</v>
      </c>
      <c r="W48">
        <f>IF((DiscreteStatsTable[[#This Row],[RepsRequested]]&gt;1),DiscreteStatsTable[[#This Row],[HalfWidth]],DiscreteStatsTable[[#This Row],[BatchMeansHalfWidth]])</f>
        <v>0.31439693259069207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4.1730259224902104</v>
      </c>
      <c r="H49">
        <v>2E+20</v>
      </c>
      <c r="I49">
        <v>0</v>
      </c>
      <c r="J49">
        <v>26.3081359160232</v>
      </c>
      <c r="K49">
        <v>74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5.6622757951027198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4.3084257859579624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1.46281108945106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21.659674918154099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51.576612413178701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87.1</v>
      </c>
      <c r="W49">
        <f>IF((DiscreteStatsTable[[#This Row],[RepsRequested]]&gt;1),DiscreteStatsTable[[#This Row],[HalfWidth]],DiscreteStatsTable[[#This Row],[BatchMeansHalfWidth]])</f>
        <v>1.6087926282435434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84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87.1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84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87.1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8.8931227479310593</v>
      </c>
      <c r="H52">
        <v>2E+20</v>
      </c>
      <c r="I52">
        <v>0.1941191519862</v>
      </c>
      <c r="J52">
        <v>35.269038809934699</v>
      </c>
      <c r="K52">
        <v>84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13.748700274171075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4.8113163093604925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8.8931227479310593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30.984324903094802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6.2754048036595101E-4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92.524967197700306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87.1</v>
      </c>
      <c r="W52">
        <f>IF((DiscreteStatsTable[[#This Row],[RepsRequested]]&gt;1),DiscreteStatsTable[[#This Row],[HalfWidth]],DiscreteStatsTable[[#This Row],[BatchMeansHalfWidth]])</f>
        <v>1.7965750357995409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84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87.1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6.5653351582092601</v>
      </c>
      <c r="H54">
        <v>2E+20</v>
      </c>
      <c r="I54">
        <v>2.4284984361464999E-2</v>
      </c>
      <c r="J54">
        <v>35.269038809934699</v>
      </c>
      <c r="K54">
        <v>84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8.0864244790683628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6.5653351582092601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9.40906795670581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87.1</v>
      </c>
      <c r="W54">
        <f>IF((DiscreteStatsTable[[#This Row],[RepsRequested]]&gt;1),DiscreteStatsTable[[#This Row],[HalfWidth]],DiscreteStatsTable[[#This Row],[BatchMeansHalfWidth]])</f>
        <v>0.31439693259069207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2.3277875897218001</v>
      </c>
      <c r="H55">
        <v>2E+20</v>
      </c>
      <c r="I55">
        <v>0</v>
      </c>
      <c r="J55">
        <v>23.195544353481701</v>
      </c>
      <c r="K55">
        <v>84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5.6622757951027198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4.3084257859579624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1.46281108945106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21.659674918154099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51.576612413178701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87.1</v>
      </c>
      <c r="W55">
        <f>IF((DiscreteStatsTable[[#This Row],[RepsRequested]]&gt;1),DiscreteStatsTable[[#This Row],[HalfWidth]],DiscreteStatsTable[[#This Row],[BatchMeansHalfWidth]])</f>
        <v>1.6087926282435434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94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87.1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94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87.1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16.253961722581298</v>
      </c>
      <c r="H58">
        <v>2E+20</v>
      </c>
      <c r="I58">
        <v>7.7657682952917598E-2</v>
      </c>
      <c r="J58">
        <v>42.845735464388703</v>
      </c>
      <c r="K58">
        <v>94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13.748700274171075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4.8113163093604925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8.8931227479310593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30.984324903094802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6.2754048036595101E-4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92.524967197700306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87.1</v>
      </c>
      <c r="W58">
        <f>IF((DiscreteStatsTable[[#This Row],[RepsRequested]]&gt;1),DiscreteStatsTable[[#This Row],[HalfWidth]],DiscreteStatsTable[[#This Row],[BatchMeansHalfWidth]])</f>
        <v>1.7965750357995409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94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87.1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7.3223225470421101</v>
      </c>
      <c r="H60">
        <v>2E+20</v>
      </c>
      <c r="I60">
        <v>7.7657682952917598E-2</v>
      </c>
      <c r="J60">
        <v>32.531605815939102</v>
      </c>
      <c r="K60">
        <v>94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8.0864244790683628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6.5653351582092601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9.40906795670581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87.1</v>
      </c>
      <c r="W60">
        <f>IF((DiscreteStatsTable[[#This Row],[RepsRequested]]&gt;1),DiscreteStatsTable[[#This Row],[HalfWidth]],DiscreteStatsTable[[#This Row],[BatchMeansHalfWidth]])</f>
        <v>0.31439693259069207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8.9316391755392104</v>
      </c>
      <c r="H61">
        <v>2E+20</v>
      </c>
      <c r="I61">
        <v>0</v>
      </c>
      <c r="J61">
        <v>36.012304684969799</v>
      </c>
      <c r="K61">
        <v>94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5.6622757951027198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4.3084257859579624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1.46281108945106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21.659674918154099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51.576612413178701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87.1</v>
      </c>
      <c r="W61">
        <f>IF((DiscreteStatsTable[[#This Row],[RepsRequested]]&gt;1),DiscreteStatsTable[[#This Row],[HalfWidth]],DiscreteStatsTable[[#This Row],[BatchMeansHalfWidth]])</f>
        <v>1.6087926282435434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87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87.1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87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87.1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9.5349013907752092</v>
      </c>
      <c r="H64">
        <v>2E+20</v>
      </c>
      <c r="I64">
        <v>4.08357099601631E-2</v>
      </c>
      <c r="J64">
        <v>31.827566203010601</v>
      </c>
      <c r="K64">
        <v>87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13.748700274171075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4.8113163093604925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8.8931227479310593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30.984324903094802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6.2754048036595101E-4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92.524967197700306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87.1</v>
      </c>
      <c r="W64">
        <f>IF((DiscreteStatsTable[[#This Row],[RepsRequested]]&gt;1),DiscreteStatsTable[[#This Row],[HalfWidth]],DiscreteStatsTable[[#This Row],[BatchMeansHalfWidth]])</f>
        <v>1.7965750357995409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87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87.1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7.0470725355764898</v>
      </c>
      <c r="H66">
        <v>2E+20</v>
      </c>
      <c r="I66">
        <v>4.08357099601631E-2</v>
      </c>
      <c r="J66">
        <v>31.827566203010601</v>
      </c>
      <c r="K66">
        <v>87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8.0864244790683628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6.5653351582092601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9.40906795670581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87.1</v>
      </c>
      <c r="W66">
        <f>IF((DiscreteStatsTable[[#This Row],[RepsRequested]]&gt;1),DiscreteStatsTable[[#This Row],[HalfWidth]],DiscreteStatsTable[[#This Row],[BatchMeansHalfWidth]])</f>
        <v>0.31439693259069207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2.4878288551987202</v>
      </c>
      <c r="H67">
        <v>2E+20</v>
      </c>
      <c r="I67">
        <v>0</v>
      </c>
      <c r="J67">
        <v>17.288583994850899</v>
      </c>
      <c r="K67">
        <v>87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5.6622757951027198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4.3084257859579624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1.46281108945106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21.659674918154099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51.576612413178701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87.1</v>
      </c>
      <c r="W67">
        <f>IF((DiscreteStatsTable[[#This Row],[RepsRequested]]&gt;1),DiscreteStatsTable[[#This Row],[HalfWidth]],DiscreteStatsTable[[#This Row],[BatchMeansHalfWidth]])</f>
        <v>1.6087926282435434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92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87.1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92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87.1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19.435348981952401</v>
      </c>
      <c r="H70">
        <v>2E+20</v>
      </c>
      <c r="I70">
        <v>0.104027475047616</v>
      </c>
      <c r="J70">
        <v>55.704166172103697</v>
      </c>
      <c r="K70">
        <v>92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13.748700274171075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4.8113163093604925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8.8931227479310593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30.984324903094802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6.2754048036595101E-4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92.524967197700306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87.1</v>
      </c>
      <c r="W70">
        <f>IF((DiscreteStatsTable[[#This Row],[RepsRequested]]&gt;1),DiscreteStatsTable[[#This Row],[HalfWidth]],DiscreteStatsTable[[#This Row],[BatchMeansHalfWidth]])</f>
        <v>1.7965750357995409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92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87.1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9.1689341619954092</v>
      </c>
      <c r="H72">
        <v>2E+20</v>
      </c>
      <c r="I72">
        <v>3.2110826562586701E-2</v>
      </c>
      <c r="J72">
        <v>47.485173453091598</v>
      </c>
      <c r="K72">
        <v>92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8.0864244790683628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6.5653351582092601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9.40906795670581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87.1</v>
      </c>
      <c r="W72">
        <f>IF((DiscreteStatsTable[[#This Row],[RepsRequested]]&gt;1),DiscreteStatsTable[[#This Row],[HalfWidth]],DiscreteStatsTable[[#This Row],[BatchMeansHalfWidth]])</f>
        <v>0.31439693259069207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10.266414819956999</v>
      </c>
      <c r="H73">
        <v>2E+20</v>
      </c>
      <c r="I73">
        <v>0</v>
      </c>
      <c r="J73">
        <v>31.018599357544801</v>
      </c>
      <c r="K73">
        <v>92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5.6622757951027198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4.3084257859579624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1.46281108945106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21.659674918154099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51.576612413178701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87.1</v>
      </c>
      <c r="W73">
        <f>IF((DiscreteStatsTable[[#This Row],[RepsRequested]]&gt;1),DiscreteStatsTable[[#This Row],[HalfWidth]],DiscreteStatsTable[[#This Row],[BatchMeansHalfWidth]])</f>
        <v>1.6087926282435434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88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87.1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88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87.1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10.8785687965925</v>
      </c>
      <c r="H76">
        <v>2E+20</v>
      </c>
      <c r="I76">
        <v>6.9634087496297098E-2</v>
      </c>
      <c r="J76">
        <v>40.478932558908902</v>
      </c>
      <c r="K76">
        <v>88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13.748700274171075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4.8113163093604925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8.8931227479310593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30.984324903094802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6.2754048036595101E-4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92.524967197700306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87.1</v>
      </c>
      <c r="W76">
        <f>IF((DiscreteStatsTable[[#This Row],[RepsRequested]]&gt;1),DiscreteStatsTable[[#This Row],[HalfWidth]],DiscreteStatsTable[[#This Row],[BatchMeansHalfWidth]])</f>
        <v>1.7965750357995409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88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87.1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7.92616984077645</v>
      </c>
      <c r="H78">
        <v>2E+20</v>
      </c>
      <c r="I78">
        <v>6.9634087496297098E-2</v>
      </c>
      <c r="J78">
        <v>40.478932558908902</v>
      </c>
      <c r="K78">
        <v>88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8.0864244790683628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6.5653351582092601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9.40906795670581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87.1</v>
      </c>
      <c r="W78">
        <f>IF((DiscreteStatsTable[[#This Row],[RepsRequested]]&gt;1),DiscreteStatsTable[[#This Row],[HalfWidth]],DiscreteStatsTable[[#This Row],[BatchMeansHalfWidth]])</f>
        <v>0.31439693259069207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2.9523989558160801</v>
      </c>
      <c r="H79">
        <v>2E+20</v>
      </c>
      <c r="I79">
        <v>0</v>
      </c>
      <c r="J79">
        <v>19.054649053579901</v>
      </c>
      <c r="K79">
        <v>88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5.6622757951027198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4.3084257859579624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1.46281108945106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21.659674918154099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51.576612413178701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87.1</v>
      </c>
      <c r="W79">
        <f>IF((DiscreteStatsTable[[#This Row],[RepsRequested]]&gt;1),DiscreteStatsTable[[#This Row],[HalfWidth]],DiscreteStatsTable[[#This Row],[BatchMeansHalfWidth]])</f>
        <v>1.6087926282435434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87.1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87.1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11.6816939422897</v>
      </c>
      <c r="H82">
        <v>2E+20</v>
      </c>
      <c r="I82">
        <v>0.19314470858736901</v>
      </c>
      <c r="J82">
        <v>40.089364488773398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13.748700274171075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4.8113163093604925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8.8931227479310593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30.984324903094802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6.2754048036595101E-4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92.524967197700306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87.1</v>
      </c>
      <c r="W82">
        <f>IF((DiscreteStatsTable[[#This Row],[RepsRequested]]&gt;1),DiscreteStatsTable[[#This Row],[HalfWidth]],DiscreteStatsTable[[#This Row],[BatchMeansHalfWidth]])</f>
        <v>1.7965750357995409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87.1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7.3289522989404396</v>
      </c>
      <c r="H84">
        <v>2E+20</v>
      </c>
      <c r="I84">
        <v>0.19314470858736901</v>
      </c>
      <c r="J84">
        <v>33.326973197422802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8.0864244790683628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6.5653351582092601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9.40906795670581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87.1</v>
      </c>
      <c r="W84">
        <f>IF((DiscreteStatsTable[[#This Row],[RepsRequested]]&gt;1),DiscreteStatsTable[[#This Row],[HalfWidth]],DiscreteStatsTable[[#This Row],[BatchMeansHalfWidth]])</f>
        <v>0.31439693259069207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4.3527416433492698</v>
      </c>
      <c r="H85">
        <v>2E+20</v>
      </c>
      <c r="I85">
        <v>0</v>
      </c>
      <c r="J85">
        <v>20.411205789533401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5.6622757951027198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4.3084257859579624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1.46281108945106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21.659674918154099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51.576612413178701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87.1</v>
      </c>
      <c r="W85">
        <f>IF((DiscreteStatsTable[[#This Row],[RepsRequested]]&gt;1),DiscreteStatsTable[[#This Row],[HalfWidth]],DiscreteStatsTable[[#This Row],[BatchMeansHalfWidth]])</f>
        <v>1.6087926282435434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82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87.1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82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87.1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9.2774741966424603</v>
      </c>
      <c r="H88">
        <v>2E+20</v>
      </c>
      <c r="I88">
        <v>0.190139760605746</v>
      </c>
      <c r="J88">
        <v>33.305834280225803</v>
      </c>
      <c r="K88">
        <v>82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13.748700274171075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4.8113163093604925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8.8931227479310593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30.984324903094802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6.2754048036595101E-4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92.524967197700306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87.1</v>
      </c>
      <c r="W88">
        <f>IF((DiscreteStatsTable[[#This Row],[RepsRequested]]&gt;1),DiscreteStatsTable[[#This Row],[HalfWidth]],DiscreteStatsTable[[#This Row],[BatchMeansHalfWidth]])</f>
        <v>1.7965750357995409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82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87.1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7.4298040222852499</v>
      </c>
      <c r="H90">
        <v>2E+20</v>
      </c>
      <c r="I90">
        <v>0.190139760605746</v>
      </c>
      <c r="J90">
        <v>33.305834280225803</v>
      </c>
      <c r="K90">
        <v>82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8.0864244790683628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6.5653351582092601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9.40906795670581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87.1</v>
      </c>
      <c r="W90">
        <f>IF((DiscreteStatsTable[[#This Row],[RepsRequested]]&gt;1),DiscreteStatsTable[[#This Row],[HalfWidth]],DiscreteStatsTable[[#This Row],[BatchMeansHalfWidth]])</f>
        <v>0.31439693259069207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1.8476701743572099</v>
      </c>
      <c r="H91">
        <v>2E+20</v>
      </c>
      <c r="I91">
        <v>0</v>
      </c>
      <c r="J91">
        <v>14.358741222977701</v>
      </c>
      <c r="K91">
        <v>82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5.6622757951027198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4.3084257859579624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1.46281108945106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21.659674918154099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51.576612413178701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87.1</v>
      </c>
      <c r="W91">
        <f>IF((DiscreteStatsTable[[#This Row],[RepsRequested]]&gt;1),DiscreteStatsTable[[#This Row],[HalfWidth]],DiscreteStatsTable[[#This Row],[BatchMeansHalfWidth]])</f>
        <v>1.6087926282435434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83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87.1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83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87.1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14.991053094066899</v>
      </c>
      <c r="H94">
        <v>2E+20</v>
      </c>
      <c r="I94">
        <v>0.16813391760695101</v>
      </c>
      <c r="J94">
        <v>51.836035250993099</v>
      </c>
      <c r="K94">
        <v>83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13.748700274171075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4.8113163093604925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8.8931227479310593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30.984324903094802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6.2754048036595101E-4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92.524967197700306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87.1</v>
      </c>
      <c r="W94">
        <f>IF((DiscreteStatsTable[[#This Row],[RepsRequested]]&gt;1),DiscreteStatsTable[[#This Row],[HalfWidth]],DiscreteStatsTable[[#This Row],[BatchMeansHalfWidth]])</f>
        <v>1.7965750357995409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83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87.1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9.2563490912288007</v>
      </c>
      <c r="H96">
        <v>2E+20</v>
      </c>
      <c r="I96">
        <v>0.16813391760695101</v>
      </c>
      <c r="J96">
        <v>51.836035250993099</v>
      </c>
      <c r="K96">
        <v>83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8.0864244790683628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6.5653351582092601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9.40906795670581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87.1</v>
      </c>
      <c r="W96">
        <f>IF((DiscreteStatsTable[[#This Row],[RepsRequested]]&gt;1),DiscreteStatsTable[[#This Row],[HalfWidth]],DiscreteStatsTable[[#This Row],[BatchMeansHalfWidth]])</f>
        <v>0.31439693259069207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5.7347040028380798</v>
      </c>
      <c r="H97">
        <v>2E+20</v>
      </c>
      <c r="I97">
        <v>0</v>
      </c>
      <c r="J97">
        <v>31.310204899665301</v>
      </c>
      <c r="K97">
        <v>83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5.6622757951027198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4.3084257859579624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1.46281108945106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21.659674918154099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51.576612413178701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87.1</v>
      </c>
      <c r="W97">
        <f>IF((DiscreteStatsTable[[#This Row],[RepsRequested]]&gt;1),DiscreteStatsTable[[#This Row],[HalfWidth]],DiscreteStatsTable[[#This Row],[BatchMeansHalfWidth]])</f>
        <v>1.6087926282435434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67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87.1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67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87.1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9.7695229542346507</v>
      </c>
      <c r="H100">
        <v>2E+20</v>
      </c>
      <c r="I100">
        <v>0.15670464847801199</v>
      </c>
      <c r="J100">
        <v>30.969490364363899</v>
      </c>
      <c r="K100">
        <v>67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13.748700274171075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4.8113163093604925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8.8931227479310593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30.984324903094802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6.2754048036595101E-4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92.524967197700306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87.1</v>
      </c>
      <c r="W100">
        <f>IF((DiscreteStatsTable[[#This Row],[RepsRequested]]&gt;1),DiscreteStatsTable[[#This Row],[HalfWidth]],DiscreteStatsTable[[#This Row],[BatchMeansHalfWidth]])</f>
        <v>1.7965750357995409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67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87.1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7.14276438158935</v>
      </c>
      <c r="H102">
        <v>2E+20</v>
      </c>
      <c r="I102">
        <v>0.15670464847801199</v>
      </c>
      <c r="J102">
        <v>30.5640535683014</v>
      </c>
      <c r="K102">
        <v>67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8.0864244790683628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6.5653351582092601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9.40906795670581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87.1</v>
      </c>
      <c r="W102">
        <f>IF((DiscreteStatsTable[[#This Row],[RepsRequested]]&gt;1),DiscreteStatsTable[[#This Row],[HalfWidth]],DiscreteStatsTable[[#This Row],[BatchMeansHalfWidth]])</f>
        <v>0.31439693259069207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2.62675857264531</v>
      </c>
      <c r="H103">
        <v>2E+20</v>
      </c>
      <c r="I103">
        <v>0</v>
      </c>
      <c r="J103">
        <v>15.2306854609316</v>
      </c>
      <c r="K103">
        <v>67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5.6622757951027198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4.3084257859579624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1.46281108945106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21.659674918154099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51.576612413178701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87.1</v>
      </c>
      <c r="W103">
        <f>IF((DiscreteStatsTable[[#This Row],[RepsRequested]]&gt;1),DiscreteStatsTable[[#This Row],[HalfWidth]],DiscreteStatsTable[[#This Row],[BatchMeansHalfWidth]])</f>
        <v>1.6087926282435434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89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87.1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89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87.1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11.3958354668771</v>
      </c>
      <c r="H106">
        <v>2E+20</v>
      </c>
      <c r="I106">
        <v>0.13528529806103501</v>
      </c>
      <c r="J106">
        <v>43.298129786777402</v>
      </c>
      <c r="K106">
        <v>89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13.748700274171075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4.8113163093604925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8.8931227479310593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30.984324903094802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6.2754048036595101E-4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92.524967197700306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87.1</v>
      </c>
      <c r="W106">
        <f>IF((DiscreteStatsTable[[#This Row],[RepsRequested]]&gt;1),DiscreteStatsTable[[#This Row],[HalfWidth]],DiscreteStatsTable[[#This Row],[BatchMeansHalfWidth]])</f>
        <v>1.7965750357995409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89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87.1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8.4052803542693493</v>
      </c>
      <c r="H108">
        <v>2E+20</v>
      </c>
      <c r="I108">
        <v>0.13528529806103501</v>
      </c>
      <c r="J108">
        <v>38.633328617339501</v>
      </c>
      <c r="K108">
        <v>89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8.0864244790683628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6.5653351582092601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9.40906795670581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87.1</v>
      </c>
      <c r="W108">
        <f>IF((DiscreteStatsTable[[#This Row],[RepsRequested]]&gt;1),DiscreteStatsTable[[#This Row],[HalfWidth]],DiscreteStatsTable[[#This Row],[BatchMeansHalfWidth]])</f>
        <v>0.31439693259069207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2.9905551126077001</v>
      </c>
      <c r="H109">
        <v>2E+20</v>
      </c>
      <c r="I109">
        <v>0</v>
      </c>
      <c r="J109">
        <v>22.288751739848099</v>
      </c>
      <c r="K109">
        <v>89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5.6622757951027198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4.3084257859579624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1.46281108945106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21.659674918154099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51.576612413178701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87.1</v>
      </c>
      <c r="W109">
        <f>IF((DiscreteStatsTable[[#This Row],[RepsRequested]]&gt;1),DiscreteStatsTable[[#This Row],[HalfWidth]],DiscreteStatsTable[[#This Row],[BatchMeansHalfWidth]])</f>
        <v>1.6087926282435434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75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87.1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75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87.1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10.1208377293392</v>
      </c>
      <c r="H112">
        <v>2E+20</v>
      </c>
      <c r="I112">
        <v>6.4063890553143201E-3</v>
      </c>
      <c r="J112">
        <v>45.371744316688797</v>
      </c>
      <c r="K112">
        <v>75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13.748700274171075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4.8113163093604925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8.8931227479310593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30.984324903094802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6.2754048036595101E-4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92.524967197700306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87.1</v>
      </c>
      <c r="W112">
        <f>IF((DiscreteStatsTable[[#This Row],[RepsRequested]]&gt;1),DiscreteStatsTable[[#This Row],[HalfWidth]],DiscreteStatsTable[[#This Row],[BatchMeansHalfWidth]])</f>
        <v>1.7965750357995409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75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87.1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8.0481649466486704</v>
      </c>
      <c r="H114">
        <v>2E+20</v>
      </c>
      <c r="I114">
        <v>6.4063890553143201E-3</v>
      </c>
      <c r="J114">
        <v>38.060326901497298</v>
      </c>
      <c r="K114">
        <v>75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8.0864244790683628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6.5653351582092601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9.40906795670581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87.1</v>
      </c>
      <c r="W114">
        <f>IF((DiscreteStatsTable[[#This Row],[RepsRequested]]&gt;1),DiscreteStatsTable[[#This Row],[HalfWidth]],DiscreteStatsTable[[#This Row],[BatchMeansHalfWidth]])</f>
        <v>0.31439693259069207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2.07267278269057</v>
      </c>
      <c r="H115">
        <v>2E+20</v>
      </c>
      <c r="I115">
        <v>0</v>
      </c>
      <c r="J115">
        <v>13.6292482619279</v>
      </c>
      <c r="K115">
        <v>75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5.6622757951027198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4.3084257859579624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1.46281108945106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21.659674918154099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51.576612413178701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87.1</v>
      </c>
      <c r="W115">
        <f>IF((DiscreteStatsTable[[#This Row],[RepsRequested]]&gt;1),DiscreteStatsTable[[#This Row],[HalfWidth]],DiscreteStatsTable[[#This Row],[BatchMeansHalfWidth]])</f>
        <v>1.6087926282435434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87.1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87.1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13.6150570786871</v>
      </c>
      <c r="H118">
        <v>2E+20</v>
      </c>
      <c r="I118">
        <v>5.1675866018285901E-2</v>
      </c>
      <c r="J118">
        <v>66.702859103432402</v>
      </c>
      <c r="K118">
        <v>84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13.748700274171075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4.8113163093604925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8.8931227479310593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30.984324903094802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6.2754048036595101E-4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92.524967197700306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87.1</v>
      </c>
      <c r="W118">
        <f>IF((DiscreteStatsTable[[#This Row],[RepsRequested]]&gt;1),DiscreteStatsTable[[#This Row],[HalfWidth]],DiscreteStatsTable[[#This Row],[BatchMeansHalfWidth]])</f>
        <v>1.7965750357995409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87.1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7.5733960817052699</v>
      </c>
      <c r="H120">
        <v>2E+20</v>
      </c>
      <c r="I120">
        <v>5.1675866018285901E-2</v>
      </c>
      <c r="J120">
        <v>66.702859103432402</v>
      </c>
      <c r="K120">
        <v>84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8.0864244790683628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6.5653351582092601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9.40906795670581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87.1</v>
      </c>
      <c r="W120">
        <f>IF((DiscreteStatsTable[[#This Row],[RepsRequested]]&gt;1),DiscreteStatsTable[[#This Row],[HalfWidth]],DiscreteStatsTable[[#This Row],[BatchMeansHalfWidth]])</f>
        <v>0.31439693259069207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6.0416609969818298</v>
      </c>
      <c r="H121">
        <v>2E+20</v>
      </c>
      <c r="I121">
        <v>0</v>
      </c>
      <c r="J121">
        <v>38.684458633738203</v>
      </c>
      <c r="K121">
        <v>84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5.6622757951027198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4.3084257859579624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1.46281108945106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21.659674918154099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51.576612413178701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87.1</v>
      </c>
      <c r="W121">
        <f>IF((DiscreteStatsTable[[#This Row],[RepsRequested]]&gt;1),DiscreteStatsTable[[#This Row],[HalfWidth]],DiscreteStatsTable[[#This Row],[BatchMeansHalfWidth]])</f>
        <v>1.6087926282435434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97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87.1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97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87.1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11.2886177531207</v>
      </c>
      <c r="H124">
        <v>2E+20</v>
      </c>
      <c r="I124">
        <v>0.70207014659030198</v>
      </c>
      <c r="J124">
        <v>35.311358123795799</v>
      </c>
      <c r="K124">
        <v>97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13.748700274171075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4.8113163093604925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8.8931227479310593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30.984324903094802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6.2754048036595101E-4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92.524967197700306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87.1</v>
      </c>
      <c r="W124" s="5">
        <f>IF((DiscreteStatsTable[[#This Row],[RepsRequested]]&gt;1),DiscreteStatsTable[[#This Row],[HalfWidth]],DiscreteStatsTable[[#This Row],[BatchMeansHalfWidth]])</f>
        <v>1.7965750357995409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97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87.1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7.1907928702030404</v>
      </c>
      <c r="H126">
        <v>2E+20</v>
      </c>
      <c r="I126">
        <v>1.31768438522499E-2</v>
      </c>
      <c r="J126">
        <v>33.829346636880601</v>
      </c>
      <c r="K126">
        <v>97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8.0864244790683628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6.5653351582092601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9.40906795670581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87.1</v>
      </c>
      <c r="W126" s="5">
        <f>IF((DiscreteStatsTable[[#This Row],[RepsRequested]]&gt;1),DiscreteStatsTable[[#This Row],[HalfWidth]],DiscreteStatsTable[[#This Row],[BatchMeansHalfWidth]])</f>
        <v>0.31439693259069207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4.0978248829176298</v>
      </c>
      <c r="H127">
        <v>2E+20</v>
      </c>
      <c r="I127">
        <v>0</v>
      </c>
      <c r="J127">
        <v>15.9699928959177</v>
      </c>
      <c r="K127">
        <v>97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5.6622757951027198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4.3084257859579624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1.46281108945106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21.659674918154099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51.576612413178701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87.1</v>
      </c>
      <c r="W127" s="5">
        <f>IF((DiscreteStatsTable[[#This Row],[RepsRequested]]&gt;1),DiscreteStatsTable[[#This Row],[HalfWidth]],DiscreteStatsTable[[#This Row],[BatchMeansHalfWidth]])</f>
        <v>1.6087926282435434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79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87.1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79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87.1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13.219037708790101</v>
      </c>
      <c r="H130">
        <v>2E+20</v>
      </c>
      <c r="I130">
        <v>0.37382499908210298</v>
      </c>
      <c r="J130">
        <v>39.736717349396301</v>
      </c>
      <c r="K130">
        <v>79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13.748700274171075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4.8113163093604925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8.8931227479310593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30.984324903094802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6.2754048036595101E-4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92.524967197700306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87.1</v>
      </c>
      <c r="W130" s="5">
        <f>IF((DiscreteStatsTable[[#This Row],[RepsRequested]]&gt;1),DiscreteStatsTable[[#This Row],[HalfWidth]],DiscreteStatsTable[[#This Row],[BatchMeansHalfWidth]])</f>
        <v>1.7965750357995409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79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87.1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9.0717418524678095</v>
      </c>
      <c r="H132">
        <v>2E+20</v>
      </c>
      <c r="I132">
        <v>2.5144256069182799E-2</v>
      </c>
      <c r="J132">
        <v>32.238673536365901</v>
      </c>
      <c r="K132">
        <v>79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8.0864244790683628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6.5653351582092601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9.40906795670581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87.1</v>
      </c>
      <c r="W132" s="5">
        <f>IF((DiscreteStatsTable[[#This Row],[RepsRequested]]&gt;1),DiscreteStatsTable[[#This Row],[HalfWidth]],DiscreteStatsTable[[#This Row],[BatchMeansHalfWidth]])</f>
        <v>0.31439693259069207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4.1472958563222599</v>
      </c>
      <c r="H133">
        <v>2E+20</v>
      </c>
      <c r="I133">
        <v>0</v>
      </c>
      <c r="J133">
        <v>26.894942015578899</v>
      </c>
      <c r="K133">
        <v>79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5.6622757951027198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4.3084257859579624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1.46281108945106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21.659674918154099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51.576612413178701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87.1</v>
      </c>
      <c r="W133" s="5">
        <f>IF((DiscreteStatsTable[[#This Row],[RepsRequested]]&gt;1),DiscreteStatsTable[[#This Row],[HalfWidth]],DiscreteStatsTable[[#This Row],[BatchMeansHalfWidth]])</f>
        <v>1.6087926282435434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90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87.1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90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87.1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10.2520459420594</v>
      </c>
      <c r="H136">
        <v>2E+20</v>
      </c>
      <c r="I136">
        <v>1.31104526331001E-2</v>
      </c>
      <c r="J136">
        <v>33.4586433379204</v>
      </c>
      <c r="K136">
        <v>90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13.748700274171075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4.8113163093604925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8.8931227479310593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30.984324903094802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6.2754048036595101E-4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92.524967197700306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87.1</v>
      </c>
      <c r="W136" s="5">
        <f>IF((DiscreteStatsTable[[#This Row],[RepsRequested]]&gt;1),DiscreteStatsTable[[#This Row],[HalfWidth]],DiscreteStatsTable[[#This Row],[BatchMeansHalfWidth]])</f>
        <v>1.7965750357995409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90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87.1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7.4336695752187403</v>
      </c>
      <c r="H138">
        <v>2E+20</v>
      </c>
      <c r="I138">
        <v>1.31104526331001E-2</v>
      </c>
      <c r="J138">
        <v>33.4586433379204</v>
      </c>
      <c r="K138">
        <v>90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8.0864244790683628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6.5653351582092601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9.40906795670581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87.1</v>
      </c>
      <c r="W138" s="5">
        <f>IF((DiscreteStatsTable[[#This Row],[RepsRequested]]&gt;1),DiscreteStatsTable[[#This Row],[HalfWidth]],DiscreteStatsTable[[#This Row],[BatchMeansHalfWidth]])</f>
        <v>0.31439693259069207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2.8183763668406798</v>
      </c>
      <c r="H139">
        <v>2E+20</v>
      </c>
      <c r="I139">
        <v>0</v>
      </c>
      <c r="J139">
        <v>17.421728877257799</v>
      </c>
      <c r="K139">
        <v>90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5.6622757951027198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4.3084257859579624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1.46281108945106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21.659674918154099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51.576612413178701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87.1</v>
      </c>
      <c r="W139" s="5">
        <f>IF((DiscreteStatsTable[[#This Row],[RepsRequested]]&gt;1),DiscreteStatsTable[[#This Row],[HalfWidth]],DiscreteStatsTable[[#This Row],[BatchMeansHalfWidth]])</f>
        <v>1.6087926282435434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64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87.1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64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87.1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9.2908367856934007</v>
      </c>
      <c r="H142">
        <v>2E+20</v>
      </c>
      <c r="I142">
        <v>0.113476061281631</v>
      </c>
      <c r="J142">
        <v>33.6874869031993</v>
      </c>
      <c r="K142">
        <v>64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13.748700274171075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4.8113163093604925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8.8931227479310593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30.984324903094802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6.2754048036595101E-4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92.524967197700306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87.1</v>
      </c>
      <c r="W142" s="5">
        <f>IF((DiscreteStatsTable[[#This Row],[RepsRequested]]&gt;1),DiscreteStatsTable[[#This Row],[HalfWidth]],DiscreteStatsTable[[#This Row],[BatchMeansHalfWidth]])</f>
        <v>1.7965750357995409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64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87.1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7.8280256962423396</v>
      </c>
      <c r="H144">
        <v>2E+20</v>
      </c>
      <c r="I144">
        <v>0.113476061281631</v>
      </c>
      <c r="J144">
        <v>32.3600354451588</v>
      </c>
      <c r="K144">
        <v>64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8.0864244790683628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6.5653351582092601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9.40906795670581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87.1</v>
      </c>
      <c r="W144" s="5">
        <f>IF((DiscreteStatsTable[[#This Row],[RepsRequested]]&gt;1),DiscreteStatsTable[[#This Row],[HalfWidth]],DiscreteStatsTable[[#This Row],[BatchMeansHalfWidth]])</f>
        <v>0.31439693259069207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1.46281108945106</v>
      </c>
      <c r="H145">
        <v>2E+20</v>
      </c>
      <c r="I145">
        <v>0</v>
      </c>
      <c r="J145">
        <v>27.056483498443399</v>
      </c>
      <c r="K145">
        <v>64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5.6622757951027198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4.3084257859579624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1.46281108945106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21.659674918154099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51.576612413178701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87.1</v>
      </c>
      <c r="W145" s="5">
        <f>IF((DiscreteStatsTable[[#This Row],[RepsRequested]]&gt;1),DiscreteStatsTable[[#This Row],[HalfWidth]],DiscreteStatsTable[[#This Row],[BatchMeansHalfWidth]])</f>
        <v>1.6087926282435434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87.1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87.1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11.5450969726</v>
      </c>
      <c r="H148">
        <v>2E+20</v>
      </c>
      <c r="I148">
        <v>0.16634342669090099</v>
      </c>
      <c r="J148">
        <v>44.926198748761998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13.748700274171075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4.8113163093604925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8.8931227479310593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30.984324903094802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6.2754048036595101E-4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92.524967197700306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87.1</v>
      </c>
      <c r="W148" s="5">
        <f>IF((DiscreteStatsTable[[#This Row],[RepsRequested]]&gt;1),DiscreteStatsTable[[#This Row],[HalfWidth]],DiscreteStatsTable[[#This Row],[BatchMeansHalfWidth]])</f>
        <v>1.7965750357995409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87.1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7.6390351117961304</v>
      </c>
      <c r="H150">
        <v>2E+20</v>
      </c>
      <c r="I150">
        <v>0.16634342669090099</v>
      </c>
      <c r="J150">
        <v>36.6592571995469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8.0864244790683628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6.5653351582092601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9.40906795670581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87.1</v>
      </c>
      <c r="W150" s="5">
        <f>IF((DiscreteStatsTable[[#This Row],[RepsRequested]]&gt;1),DiscreteStatsTable[[#This Row],[HalfWidth]],DiscreteStatsTable[[#This Row],[BatchMeansHalfWidth]])</f>
        <v>0.31439693259069207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3.90606186080388</v>
      </c>
      <c r="H151">
        <v>2E+20</v>
      </c>
      <c r="I151">
        <v>0</v>
      </c>
      <c r="J151">
        <v>31.3689005291643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5.6622757951027198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4.3084257859579624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1.46281108945106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21.659674918154099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51.576612413178701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87.1</v>
      </c>
      <c r="W151" s="5">
        <f>IF((DiscreteStatsTable[[#This Row],[RepsRequested]]&gt;1),DiscreteStatsTable[[#This Row],[HalfWidth]],DiscreteStatsTable[[#This Row],[BatchMeansHalfWidth]])</f>
        <v>1.6087926282435434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82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87.1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82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87.1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18.127328786775301</v>
      </c>
      <c r="H154">
        <v>2E+20</v>
      </c>
      <c r="I154">
        <v>6.2754048036595101E-4</v>
      </c>
      <c r="J154">
        <v>58.670641525817103</v>
      </c>
      <c r="K154">
        <v>82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13.748700274171075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4.8113163093604925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8.8931227479310593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30.984324903094802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6.2754048036595101E-4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92.524967197700306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87.1</v>
      </c>
      <c r="W154" s="5">
        <f>IF((DiscreteStatsTable[[#This Row],[RepsRequested]]&gt;1),DiscreteStatsTable[[#This Row],[HalfWidth]],DiscreteStatsTable[[#This Row],[BatchMeansHalfWidth]])</f>
        <v>1.7965750357995409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82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87.1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8.4269418715921205</v>
      </c>
      <c r="H156">
        <v>2E+20</v>
      </c>
      <c r="I156">
        <v>6.2754048036595101E-4</v>
      </c>
      <c r="J156">
        <v>38.8938228204712</v>
      </c>
      <c r="K156">
        <v>82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8.0864244790683628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6.5653351582092601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9.40906795670581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87.1</v>
      </c>
      <c r="W156" s="5">
        <f>IF((DiscreteStatsTable[[#This Row],[RepsRequested]]&gt;1),DiscreteStatsTable[[#This Row],[HalfWidth]],DiscreteStatsTable[[#This Row],[BatchMeansHalfWidth]])</f>
        <v>0.31439693259069207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9.7003869151831594</v>
      </c>
      <c r="H157">
        <v>2E+20</v>
      </c>
      <c r="I157">
        <v>0</v>
      </c>
      <c r="J157">
        <v>47.173452211490797</v>
      </c>
      <c r="K157">
        <v>82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5.6622757951027198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4.3084257859579624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1.46281108945106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21.659674918154099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51.576612413178701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87.1</v>
      </c>
      <c r="W157" s="5">
        <f>IF((DiscreteStatsTable[[#This Row],[RepsRequested]]&gt;1),DiscreteStatsTable[[#This Row],[HalfWidth]],DiscreteStatsTable[[#This Row],[BatchMeansHalfWidth]])</f>
        <v>1.6087926282435434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89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87.1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89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87.1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17.718764047625601</v>
      </c>
      <c r="H160">
        <v>2E+20</v>
      </c>
      <c r="I160">
        <v>0.34548310278810801</v>
      </c>
      <c r="J160">
        <v>67.882287441685193</v>
      </c>
      <c r="K160">
        <v>89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13.748700274171075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4.8113163093604925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8.8931227479310593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30.984324903094802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6.2754048036595101E-4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92.524967197700306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87.1</v>
      </c>
      <c r="W160" s="5">
        <f>IF((DiscreteStatsTable[[#This Row],[RepsRequested]]&gt;1),DiscreteStatsTable[[#This Row],[HalfWidth]],DiscreteStatsTable[[#This Row],[BatchMeansHalfWidth]])</f>
        <v>1.7965750357995409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89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87.1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9.0932047023379994</v>
      </c>
      <c r="H162">
        <v>2E+20</v>
      </c>
      <c r="I162">
        <v>0.106797294571464</v>
      </c>
      <c r="J162">
        <v>58.650089881671001</v>
      </c>
      <c r="K162">
        <v>89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8.0864244790683628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6.5653351582092601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9.40906795670581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87.1</v>
      </c>
      <c r="W162" s="5">
        <f>IF((DiscreteStatsTable[[#This Row],[RepsRequested]]&gt;1),DiscreteStatsTable[[#This Row],[HalfWidth]],DiscreteStatsTable[[#This Row],[BatchMeansHalfWidth]])</f>
        <v>0.31439693259069207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8.6255593452876003</v>
      </c>
      <c r="H163">
        <v>2E+20</v>
      </c>
      <c r="I163">
        <v>0</v>
      </c>
      <c r="J163">
        <v>46.020886595749701</v>
      </c>
      <c r="K163">
        <v>89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5.6622757951027198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4.3084257859579624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1.46281108945106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21.659674918154099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51.576612413178701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87.1</v>
      </c>
      <c r="W163" s="5">
        <f>IF((DiscreteStatsTable[[#This Row],[RepsRequested]]&gt;1),DiscreteStatsTable[[#This Row],[HalfWidth]],DiscreteStatsTable[[#This Row],[BatchMeansHalfWidth]])</f>
        <v>1.6087926282435434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111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87.1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111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87.1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30.984324903094802</v>
      </c>
      <c r="H166">
        <v>2E+20</v>
      </c>
      <c r="I166">
        <v>1.866239891585</v>
      </c>
      <c r="J166">
        <v>92.524967197700306</v>
      </c>
      <c r="K166">
        <v>111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13.748700274171075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4.8113163093604925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8.8931227479310593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30.984324903094802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6.2754048036595101E-4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92.524967197700306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87.1</v>
      </c>
      <c r="W166" s="5">
        <f>IF((DiscreteStatsTable[[#This Row],[RepsRequested]]&gt;1),DiscreteStatsTable[[#This Row],[HalfWidth]],DiscreteStatsTable[[#This Row],[BatchMeansHalfWidth]])</f>
        <v>1.7965750357995409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111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87.1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9.3246499849406792</v>
      </c>
      <c r="H168">
        <v>2E+20</v>
      </c>
      <c r="I168">
        <v>4.2468905818651599E-2</v>
      </c>
      <c r="J168">
        <v>63.392444108219102</v>
      </c>
      <c r="K168">
        <v>111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8.0864244790683628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6.5653351582092601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9.40906795670581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87.1</v>
      </c>
      <c r="W168" s="5">
        <f>IF((DiscreteStatsTable[[#This Row],[RepsRequested]]&gt;1),DiscreteStatsTable[[#This Row],[HalfWidth]],DiscreteStatsTable[[#This Row],[BatchMeansHalfWidth]])</f>
        <v>0.31439693259069207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21.659674918154099</v>
      </c>
      <c r="H169">
        <v>2E+20</v>
      </c>
      <c r="I169">
        <v>0</v>
      </c>
      <c r="J169">
        <v>51.576612413178701</v>
      </c>
      <c r="K169">
        <v>111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5.6622757951027198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4.3084257859579624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1.46281108945106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21.659674918154099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51.576612413178701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87.1</v>
      </c>
      <c r="W169" s="5">
        <f>IF((DiscreteStatsTable[[#This Row],[RepsRequested]]&gt;1),DiscreteStatsTable[[#This Row],[HalfWidth]],DiscreteStatsTable[[#This Row],[BatchMeansHalfWidth]])</f>
        <v>1.6087926282435434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93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87.1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93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87.1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17.851218192610901</v>
      </c>
      <c r="H172">
        <v>2E+20</v>
      </c>
      <c r="I172">
        <v>0.33624025002535501</v>
      </c>
      <c r="J172">
        <v>62.741492934963702</v>
      </c>
      <c r="K172">
        <v>93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13.748700274171075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4.8113163093604925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8.8931227479310593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30.984324903094802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6.2754048036595101E-4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92.524967197700306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87.1</v>
      </c>
      <c r="W172" s="5">
        <f>IF((DiscreteStatsTable[[#This Row],[RepsRequested]]&gt;1),DiscreteStatsTable[[#This Row],[HalfWidth]],DiscreteStatsTable[[#This Row],[BatchMeansHalfWidth]])</f>
        <v>1.7965750357995409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93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87.1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8.9768157471861194</v>
      </c>
      <c r="H174">
        <v>2E+20</v>
      </c>
      <c r="I174">
        <v>3.6342768931433497E-2</v>
      </c>
      <c r="J174">
        <v>55.170941421627099</v>
      </c>
      <c r="K174">
        <v>93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8.0864244790683628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6.5653351582092601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9.40906795670581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87.1</v>
      </c>
      <c r="W174" s="5">
        <f>IF((DiscreteStatsTable[[#This Row],[RepsRequested]]&gt;1),DiscreteStatsTable[[#This Row],[HalfWidth]],DiscreteStatsTable[[#This Row],[BatchMeansHalfWidth]])</f>
        <v>0.31439693259069207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8.8744024454248098</v>
      </c>
      <c r="H175">
        <v>2E+20</v>
      </c>
      <c r="I175">
        <v>0</v>
      </c>
      <c r="J175">
        <v>47.289433938825702</v>
      </c>
      <c r="K175">
        <v>93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5.6622757951027198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4.3084257859579624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1.46281108945106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21.659674918154099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51.576612413178701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87.1</v>
      </c>
      <c r="W175" s="5">
        <f>IF((DiscreteStatsTable[[#This Row],[RepsRequested]]&gt;1),DiscreteStatsTable[[#This Row],[HalfWidth]],DiscreteStatsTable[[#This Row],[BatchMeansHalfWidth]])</f>
        <v>1.6087926282435434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100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87.1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100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87.1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12.4759932496614</v>
      </c>
      <c r="H178">
        <v>2E+20</v>
      </c>
      <c r="I178">
        <v>6.4147843096890297E-2</v>
      </c>
      <c r="J178">
        <v>46.953295289307398</v>
      </c>
      <c r="K178">
        <v>100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13.748700274171075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4.8113163093604925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1.7965750357995409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8.8931227479310593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30.984324903094802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6.2754048036595101E-4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92.524967197700306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87.1</v>
      </c>
      <c r="W178" s="5">
        <f>IF((DiscreteStatsTable[[#This Row],[RepsRequested]]&gt;1),DiscreteStatsTable[[#This Row],[HalfWidth]],DiscreteStatsTable[[#This Row],[BatchMeansHalfWidth]])</f>
        <v>1.7965750357995409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100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87.1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8.0134973397875306</v>
      </c>
      <c r="H180">
        <v>2E+20</v>
      </c>
      <c r="I180">
        <v>6.4147843096890297E-2</v>
      </c>
      <c r="J180">
        <v>39.694135643202003</v>
      </c>
      <c r="K180">
        <v>100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8.0864244790683628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0.84197044890658757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0.31439693259069207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6.5653351582092601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9.40906795670581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87.1</v>
      </c>
      <c r="W180" s="5">
        <f>IF((DiscreteStatsTable[[#This Row],[RepsRequested]]&gt;1),DiscreteStatsTable[[#This Row],[HalfWidth]],DiscreteStatsTable[[#This Row],[BatchMeansHalfWidth]])</f>
        <v>0.31439693259069207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4.4624959098739101</v>
      </c>
      <c r="H181">
        <v>2E+20</v>
      </c>
      <c r="I181">
        <v>0</v>
      </c>
      <c r="J181">
        <v>25.665256405985499</v>
      </c>
      <c r="K181">
        <v>100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5.6622757951027198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4.3084257859579624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1.6087926282435434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1.46281108945106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21.659674918154099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51.576612413178701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87.1</v>
      </c>
      <c r="W181" s="5">
        <f>IF((DiscreteStatsTable[[#This Row],[RepsRequested]]&gt;1),DiscreteStatsTable[[#This Row],[HalfWidth]],DiscreteStatsTable[[#This Row],[BatchMeansHalfWidth]])</f>
        <v>1.6087926282435434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6.2650034859654502</v>
      </c>
      <c r="H182">
        <v>2E+20</v>
      </c>
      <c r="I182">
        <v>0</v>
      </c>
      <c r="J182">
        <v>25.4480487119576</v>
      </c>
      <c r="K182">
        <v>82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5.6392658441105308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1.4718777228990501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21.2763178399567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51.576612413178701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88.4</v>
      </c>
      <c r="W182" s="5">
        <f>IF((DiscreteStatsTable[[#This Row],[RepsRequested]]&gt;1),DiscreteStatsTable[[#This Row],[HalfWidth]],DiscreteStatsTable[[#This Row],[BatchMeansHalfWidth]])</f>
        <v>1.5961730127794993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12.599600090144</v>
      </c>
      <c r="H183">
        <v>2E+20</v>
      </c>
      <c r="I183">
        <v>0</v>
      </c>
      <c r="J183">
        <v>46.596114159539503</v>
      </c>
      <c r="K183">
        <v>91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5.6392658441105308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1.4718777228990501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21.2763178399567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51.576612413178701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88.4</v>
      </c>
      <c r="W183" s="5">
        <f>IF((DiscreteStatsTable[[#This Row],[RepsRequested]]&gt;1),DiscreteStatsTable[[#This Row],[HalfWidth]],DiscreteStatsTable[[#This Row],[BatchMeansHalfWidth]])</f>
        <v>1.5961730127794993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3.7355832490777101</v>
      </c>
      <c r="H184">
        <v>2E+20</v>
      </c>
      <c r="I184">
        <v>0</v>
      </c>
      <c r="J184">
        <v>17.029852265517398</v>
      </c>
      <c r="K184">
        <v>101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5.6392658441105308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1.4718777228990501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21.2763178399567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51.576612413178701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88.4</v>
      </c>
      <c r="W184" s="5">
        <f>IF((DiscreteStatsTable[[#This Row],[RepsRequested]]&gt;1),DiscreteStatsTable[[#This Row],[HalfWidth]],DiscreteStatsTable[[#This Row],[BatchMeansHalfWidth]])</f>
        <v>1.5961730127794993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3.2733168346441501</v>
      </c>
      <c r="H185">
        <v>2E+20</v>
      </c>
      <c r="I185">
        <v>0</v>
      </c>
      <c r="J185">
        <v>19.538476404311702</v>
      </c>
      <c r="K185">
        <v>88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5.6392658441105308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1.4718777228990501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21.2763178399567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51.576612413178701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88.4</v>
      </c>
      <c r="W185" s="5">
        <f>IF((DiscreteStatsTable[[#This Row],[RepsRequested]]&gt;1),DiscreteStatsTable[[#This Row],[HalfWidth]],DiscreteStatsTable[[#This Row],[BatchMeansHalfWidth]])</f>
        <v>1.5961730127794993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3.9569906391502099</v>
      </c>
      <c r="H186">
        <v>2E+20</v>
      </c>
      <c r="I186">
        <v>0</v>
      </c>
      <c r="J186">
        <v>28.304962558063899</v>
      </c>
      <c r="K186">
        <v>99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5.6392658441105308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1.4718777228990501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21.2763178399567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51.576612413178701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88.4</v>
      </c>
      <c r="W186" s="5">
        <f>IF((DiscreteStatsTable[[#This Row],[RepsRequested]]&gt;1),DiscreteStatsTable[[#This Row],[HalfWidth]],DiscreteStatsTable[[#This Row],[BatchMeansHalfWidth]])</f>
        <v>1.5961730127794993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2.2596494144978201</v>
      </c>
      <c r="H187">
        <v>2E+20</v>
      </c>
      <c r="I187">
        <v>0</v>
      </c>
      <c r="J187">
        <v>19.3814273611647</v>
      </c>
      <c r="K187">
        <v>88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5.6392658441105308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1.4718777228990501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21.2763178399567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51.576612413178701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88.4</v>
      </c>
      <c r="W187" s="5">
        <f>IF((DiscreteStatsTable[[#This Row],[RepsRequested]]&gt;1),DiscreteStatsTable[[#This Row],[HalfWidth]],DiscreteStatsTable[[#This Row],[BatchMeansHalfWidth]])</f>
        <v>1.5961730127794993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11.1941013444227</v>
      </c>
      <c r="H188">
        <v>2E+20</v>
      </c>
      <c r="I188">
        <v>0</v>
      </c>
      <c r="J188">
        <v>44.969514954462298</v>
      </c>
      <c r="K188">
        <v>89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5.6392658441105308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1.4718777228990501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21.2763178399567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51.576612413178701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88.4</v>
      </c>
      <c r="W188" s="5">
        <f>IF((DiscreteStatsTable[[#This Row],[RepsRequested]]&gt;1),DiscreteStatsTable[[#This Row],[HalfWidth]],DiscreteStatsTable[[#This Row],[BatchMeansHalfWidth]])</f>
        <v>1.5961730127794993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4.0998591475920101</v>
      </c>
      <c r="H189">
        <v>2E+20</v>
      </c>
      <c r="I189">
        <v>0</v>
      </c>
      <c r="J189">
        <v>26.3081359160232</v>
      </c>
      <c r="K189">
        <v>76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5.6392658441105308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4.2746298350568681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1.4718777228990501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21.2763178399567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51.576612413178701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88.4</v>
      </c>
      <c r="W189" s="5">
        <f>IF((DiscreteStatsTable[[#This Row],[RepsRequested]]&gt;1),DiscreteStatsTable[[#This Row],[HalfWidth]],DiscreteStatsTable[[#This Row],[BatchMeansHalfWidth]])</f>
        <v>1.5961730127794993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2.3004018533721302</v>
      </c>
      <c r="H190">
        <v>2E+20</v>
      </c>
      <c r="I190">
        <v>0</v>
      </c>
      <c r="J190">
        <v>23.195544353481701</v>
      </c>
      <c r="K190">
        <v>85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5.6392658441105308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1.4718777228990501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21.2763178399567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51.576612413178701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88.4</v>
      </c>
      <c r="W190" s="5">
        <f>IF((DiscreteStatsTable[[#This Row],[RepsRequested]]&gt;1),DiscreteStatsTable[[#This Row],[HalfWidth]],DiscreteStatsTable[[#This Row],[BatchMeansHalfWidth]])</f>
        <v>1.5961730127794993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8.9316391755392104</v>
      </c>
      <c r="H191">
        <v>2E+20</v>
      </c>
      <c r="I191">
        <v>0</v>
      </c>
      <c r="J191">
        <v>36.012304684969799</v>
      </c>
      <c r="K191">
        <v>94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5.6392658441105308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1.4718777228990501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21.2763178399567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51.576612413178701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88.4</v>
      </c>
      <c r="W191" s="5">
        <f>IF((DiscreteStatsTable[[#This Row],[RepsRequested]]&gt;1),DiscreteStatsTable[[#This Row],[HalfWidth]],DiscreteStatsTable[[#This Row],[BatchMeansHalfWidth]])</f>
        <v>1.5961730127794993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2.4878288551987202</v>
      </c>
      <c r="H192">
        <v>2E+20</v>
      </c>
      <c r="I192">
        <v>0</v>
      </c>
      <c r="J192">
        <v>17.288583994850899</v>
      </c>
      <c r="K192">
        <v>87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5.6392658441105308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1.4718777228990501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21.2763178399567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51.576612413178701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88.4</v>
      </c>
      <c r="W192" s="5">
        <f>IF((DiscreteStatsTable[[#This Row],[RepsRequested]]&gt;1),DiscreteStatsTable[[#This Row],[HalfWidth]],DiscreteStatsTable[[#This Row],[BatchMeansHalfWidth]])</f>
        <v>1.5961730127794993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10.300011749374701</v>
      </c>
      <c r="H193">
        <v>2E+20</v>
      </c>
      <c r="I193">
        <v>0</v>
      </c>
      <c r="J193">
        <v>31.018599357544801</v>
      </c>
      <c r="K193">
        <v>94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5.6392658441105308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1.4718777228990501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21.2763178399567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51.576612413178701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88.4</v>
      </c>
      <c r="W193" s="5">
        <f>IF((DiscreteStatsTable[[#This Row],[RepsRequested]]&gt;1),DiscreteStatsTable[[#This Row],[HalfWidth]],DiscreteStatsTable[[#This Row],[BatchMeansHalfWidth]])</f>
        <v>1.5961730127794993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2.9523989558160801</v>
      </c>
      <c r="H194">
        <v>2E+20</v>
      </c>
      <c r="I194">
        <v>0</v>
      </c>
      <c r="J194">
        <v>19.054649053579901</v>
      </c>
      <c r="K194">
        <v>88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5.6392658441105308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1.4718777228990501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21.2763178399567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51.576612413178701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88.4</v>
      </c>
      <c r="W194" s="5">
        <f>IF((DiscreteStatsTable[[#This Row],[RepsRequested]]&gt;1),DiscreteStatsTable[[#This Row],[HalfWidth]],DiscreteStatsTable[[#This Row],[BatchMeansHalfWidth]])</f>
        <v>1.5961730127794993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4.2591342961804601</v>
      </c>
      <c r="H195">
        <v>2E+20</v>
      </c>
      <c r="I195">
        <v>0</v>
      </c>
      <c r="J195">
        <v>20.411205789533401</v>
      </c>
      <c r="K195">
        <v>93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5.6392658441105308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1.4718777228990501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21.2763178399567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51.576612413178701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88.4</v>
      </c>
      <c r="W195" s="5">
        <f>IF((DiscreteStatsTable[[#This Row],[RepsRequested]]&gt;1),DiscreteStatsTable[[#This Row],[HalfWidth]],DiscreteStatsTable[[#This Row],[BatchMeansHalfWidth]])</f>
        <v>1.5961730127794993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1.8476701743572099</v>
      </c>
      <c r="H196">
        <v>2E+20</v>
      </c>
      <c r="I196">
        <v>0</v>
      </c>
      <c r="J196">
        <v>14.358741222977701</v>
      </c>
      <c r="K196">
        <v>82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5.6392658441105308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1.4718777228990501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21.2763178399567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51.576612413178701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88.4</v>
      </c>
      <c r="W196" s="5">
        <f>IF((DiscreteStatsTable[[#This Row],[RepsRequested]]&gt;1),DiscreteStatsTable[[#This Row],[HalfWidth]],DiscreteStatsTable[[#This Row],[BatchMeansHalfWidth]])</f>
        <v>1.5961730127794993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5.65261544202263</v>
      </c>
      <c r="H197">
        <v>2E+20</v>
      </c>
      <c r="I197">
        <v>0</v>
      </c>
      <c r="J197">
        <v>31.310204899665301</v>
      </c>
      <c r="K197">
        <v>85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5.6392658441105308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1.4718777228990501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21.2763178399567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51.576612413178701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88.4</v>
      </c>
      <c r="W197" s="5">
        <f>IF((DiscreteStatsTable[[#This Row],[RepsRequested]]&gt;1),DiscreteStatsTable[[#This Row],[HalfWidth]],DiscreteStatsTable[[#This Row],[BatchMeansHalfWidth]])</f>
        <v>1.5961730127794993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2.5881297701064101</v>
      </c>
      <c r="H198">
        <v>2E+20</v>
      </c>
      <c r="I198">
        <v>0</v>
      </c>
      <c r="J198">
        <v>15.2306854609316</v>
      </c>
      <c r="K198">
        <v>68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5.6392658441105308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1.4718777228990501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21.2763178399567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51.576612413178701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88.4</v>
      </c>
      <c r="W198" s="5">
        <f>IF((DiscreteStatsTable[[#This Row],[RepsRequested]]&gt;1),DiscreteStatsTable[[#This Row],[HalfWidth]],DiscreteStatsTable[[#This Row],[BatchMeansHalfWidth]])</f>
        <v>1.5961730127794993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2.9248286266163199</v>
      </c>
      <c r="H199">
        <v>2E+20</v>
      </c>
      <c r="I199">
        <v>0</v>
      </c>
      <c r="J199">
        <v>22.288751739848099</v>
      </c>
      <c r="K199">
        <v>91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5.6392658441105308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4.2746298350568681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1.4718777228990501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21.2763178399567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51.576612413178701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88.4</v>
      </c>
      <c r="W199" s="5">
        <f>IF((DiscreteStatsTable[[#This Row],[RepsRequested]]&gt;1),DiscreteStatsTable[[#This Row],[HalfWidth]],DiscreteStatsTable[[#This Row],[BatchMeansHalfWidth]])</f>
        <v>1.5961730127794993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2.0758440088704599</v>
      </c>
      <c r="H200">
        <v>2E+20</v>
      </c>
      <c r="I200">
        <v>0</v>
      </c>
      <c r="J200">
        <v>13.6292482619279</v>
      </c>
      <c r="K200">
        <v>77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5.6392658441105308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1.4718777228990501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21.2763178399567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51.576612413178701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88.4</v>
      </c>
      <c r="W200" s="5">
        <f>IF((DiscreteStatsTable[[#This Row],[RepsRequested]]&gt;1),DiscreteStatsTable[[#This Row],[HalfWidth]],DiscreteStatsTable[[#This Row],[BatchMeansHalfWidth]])</f>
        <v>1.5961730127794993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5.9705826323114497</v>
      </c>
      <c r="H201">
        <v>2E+20</v>
      </c>
      <c r="I201">
        <v>0</v>
      </c>
      <c r="J201">
        <v>38.684458633738203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5.6392658441105308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1.4718777228990501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21.2763178399567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51.576612413178701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88.4</v>
      </c>
      <c r="W201" s="5">
        <f>IF((DiscreteStatsTable[[#This Row],[RepsRequested]]&gt;1),DiscreteStatsTable[[#This Row],[HalfWidth]],DiscreteStatsTable[[#This Row],[BatchMeansHalfWidth]])</f>
        <v>1.5961730127794993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4.0150405418485802</v>
      </c>
      <c r="H202">
        <v>2E+20</v>
      </c>
      <c r="I202">
        <v>0</v>
      </c>
      <c r="J202">
        <v>15.9699928959177</v>
      </c>
      <c r="K202">
        <v>99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5.6392658441105308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1.4718777228990501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21.2763178399567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51.576612413178701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88.4</v>
      </c>
      <c r="W202" s="5">
        <f>IF((DiscreteStatsTable[[#This Row],[RepsRequested]]&gt;1),DiscreteStatsTable[[#This Row],[HalfWidth]],DiscreteStatsTable[[#This Row],[BatchMeansHalfWidth]])</f>
        <v>1.5961730127794993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4.0952551233239101</v>
      </c>
      <c r="H203">
        <v>2E+20</v>
      </c>
      <c r="I203">
        <v>0</v>
      </c>
      <c r="J203">
        <v>26.894942015578899</v>
      </c>
      <c r="K203">
        <v>81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5.6392658441105308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1.4718777228990501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21.2763178399567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51.576612413178701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88.4</v>
      </c>
      <c r="W203" s="5">
        <f>IF((DiscreteStatsTable[[#This Row],[RepsRequested]]&gt;1),DiscreteStatsTable[[#This Row],[HalfWidth]],DiscreteStatsTable[[#This Row],[BatchMeansHalfWidth]])</f>
        <v>1.5961730127794993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2.7874051979743002</v>
      </c>
      <c r="H204">
        <v>2E+20</v>
      </c>
      <c r="I204">
        <v>0</v>
      </c>
      <c r="J204">
        <v>17.421728877257799</v>
      </c>
      <c r="K204">
        <v>91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5.6392658441105308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1.4718777228990501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21.2763178399567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51.576612413178701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88.4</v>
      </c>
      <c r="W204" s="5">
        <f>IF((DiscreteStatsTable[[#This Row],[RepsRequested]]&gt;1),DiscreteStatsTable[[#This Row],[HalfWidth]],DiscreteStatsTable[[#This Row],[BatchMeansHalfWidth]])</f>
        <v>1.5961730127794993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1.4718777228990501</v>
      </c>
      <c r="H205">
        <v>2E+20</v>
      </c>
      <c r="I205">
        <v>0</v>
      </c>
      <c r="J205">
        <v>27.056483498443399</v>
      </c>
      <c r="K205">
        <v>66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5.6392658441105308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1.4718777228990501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21.2763178399567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51.576612413178701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88.4</v>
      </c>
      <c r="W205" s="5">
        <f>IF((DiscreteStatsTable[[#This Row],[RepsRequested]]&gt;1),DiscreteStatsTable[[#This Row],[HalfWidth]],DiscreteStatsTable[[#This Row],[BatchMeansHalfWidth]])</f>
        <v>1.5961730127794993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3.90606186080388</v>
      </c>
      <c r="H206">
        <v>2E+20</v>
      </c>
      <c r="I206">
        <v>0</v>
      </c>
      <c r="J206">
        <v>31.3689005291643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5.6392658441105308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1.4718777228990501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21.2763178399567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51.576612413178701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88.4</v>
      </c>
      <c r="W206" s="5">
        <f>IF((DiscreteStatsTable[[#This Row],[RepsRequested]]&gt;1),DiscreteStatsTable[[#This Row],[HalfWidth]],DiscreteStatsTable[[#This Row],[BatchMeansHalfWidth]])</f>
        <v>1.5961730127794993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9.82683808335279</v>
      </c>
      <c r="H207">
        <v>2E+20</v>
      </c>
      <c r="I207">
        <v>0</v>
      </c>
      <c r="J207">
        <v>47.173452211490797</v>
      </c>
      <c r="K207">
        <v>84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5.6392658441105308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1.4718777228990501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21.2763178399567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51.576612413178701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88.4</v>
      </c>
      <c r="W207" s="5">
        <f>IF((DiscreteStatsTable[[#This Row],[RepsRequested]]&gt;1),DiscreteStatsTable[[#This Row],[HalfWidth]],DiscreteStatsTable[[#This Row],[BatchMeansHalfWidth]])</f>
        <v>1.5961730127794993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8.7749558561882992</v>
      </c>
      <c r="H208">
        <v>2E+20</v>
      </c>
      <c r="I208">
        <v>0</v>
      </c>
      <c r="J208">
        <v>46.020886595749701</v>
      </c>
      <c r="K208">
        <v>91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5.6392658441105308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1.4718777228990501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21.2763178399567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51.576612413178701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88.4</v>
      </c>
      <c r="W208" s="5">
        <f>IF((DiscreteStatsTable[[#This Row],[RepsRequested]]&gt;1),DiscreteStatsTable[[#This Row],[HalfWidth]],DiscreteStatsTable[[#This Row],[BatchMeansHalfWidth]])</f>
        <v>1.5961730127794993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21.2763178399567</v>
      </c>
      <c r="H209">
        <v>2E+20</v>
      </c>
      <c r="I209">
        <v>0</v>
      </c>
      <c r="J209">
        <v>51.576612413178701</v>
      </c>
      <c r="K209">
        <v>113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5.6392658441105308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4.2746298350568681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1.4718777228990501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21.2763178399567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51.576612413178701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88.4</v>
      </c>
      <c r="W209" s="5">
        <f>IF((DiscreteStatsTable[[#This Row],[RepsRequested]]&gt;1),DiscreteStatsTable[[#This Row],[HalfWidth]],DiscreteStatsTable[[#This Row],[BatchMeansHalfWidth]])</f>
        <v>1.5961730127794993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8.9307205696552803</v>
      </c>
      <c r="H210">
        <v>2E+20</v>
      </c>
      <c r="I210">
        <v>0</v>
      </c>
      <c r="J210">
        <v>47.289433938825702</v>
      </c>
      <c r="K210">
        <v>95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5.6392658441105308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4.2746298350568681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1.4718777228990501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21.2763178399567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51.576612413178701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88.4</v>
      </c>
      <c r="W210" s="5">
        <f>IF((DiscreteStatsTable[[#This Row],[RepsRequested]]&gt;1),DiscreteStatsTable[[#This Row],[HalfWidth]],DiscreteStatsTable[[#This Row],[BatchMeansHalfWidth]])</f>
        <v>1.5961730127794993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4.4183127820533699</v>
      </c>
      <c r="H211">
        <v>2E+20</v>
      </c>
      <c r="I211">
        <v>0</v>
      </c>
      <c r="J211">
        <v>25.665256405985499</v>
      </c>
      <c r="K211">
        <v>101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5.6392658441105308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4.2746298350568681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1.5961730127794993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1.4718777228990501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21.2763178399567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51.576612413178701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88.4</v>
      </c>
      <c r="W211" s="5">
        <f>IF((DiscreteStatsTable[[#This Row],[RepsRequested]]&gt;1),DiscreteStatsTable[[#This Row],[HalfWidth]],DiscreteStatsTable[[#This Row],[BatchMeansHalfWidth]])</f>
        <v>1.5961730127794993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2.3615810634841199</v>
      </c>
      <c r="H2">
        <v>2E+20</v>
      </c>
      <c r="I2">
        <v>0</v>
      </c>
      <c r="J2">
        <v>8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1.14670462555243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6.3862012006759796</v>
      </c>
      <c r="U2">
        <f>IF((ContinuousStatsTable[[#This Row],[RepsRequested]]&gt;1),ContinuousStatsTable[[#This Row],[HalfWidth]],ContinuousStatsTable[[#This Row],[BatchMeansHalfWidth]])</f>
        <v>0.37848292392452848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0.70511434114097904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0.44460892146328002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0.96696734486103797</v>
      </c>
      <c r="U3">
        <f>IF((ContinuousStatsTable[[#This Row],[RepsRequested]]&gt;1),ContinuousStatsTable[[#This Row],[HalfWidth]],ContinuousStatsTable[[#This Row],[BatchMeansHalfWidth]])</f>
        <v>3.8489312985140453E-2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1.4102286822819601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0.88921784292656103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1.9339346897220799</v>
      </c>
      <c r="U4">
        <f>IF((ContinuousStatsTable[[#This Row],[RepsRequested]]&gt;1),ContinuousStatsTable[[#This Row],[HalfWidth]],ContinuousStatsTable[[#This Row],[BatchMeansHalfWidth]])</f>
        <v>7.6978625970280448E-2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0.95135238120216103</v>
      </c>
      <c r="H6">
        <v>2E+20</v>
      </c>
      <c r="I6">
        <v>0</v>
      </c>
      <c r="J6">
        <v>6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0.19540731257165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4.4522665109539004</v>
      </c>
      <c r="U6">
        <f>IF((ContinuousStatsTable[[#This Row],[RepsRequested]]&gt;1),ContinuousStatsTable[[#This Row],[HalfWidth]],ContinuousStatsTable[[#This Row],[BatchMeansHalfWidth]])</f>
        <v>0.3159125326941864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3.4809646477534599</v>
      </c>
      <c r="H7">
        <v>2E+20</v>
      </c>
      <c r="I7">
        <v>0</v>
      </c>
      <c r="J7">
        <v>13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1.14670462555243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6.3862012006759796</v>
      </c>
      <c r="U7">
        <f>IF((ContinuousStatsTable[[#This Row],[RepsRequested]]&gt;1),ContinuousStatsTable[[#This Row],[HalfWidth]],ContinuousStatsTable[[#This Row],[BatchMeansHalfWidth]])</f>
        <v>0.37848292392452848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0.67884935331829799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0.44460892146328002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0.96696734486103797</v>
      </c>
      <c r="U8">
        <f>IF((ContinuousStatsTable[[#This Row],[RepsRequested]]&gt;1),ContinuousStatsTable[[#This Row],[HalfWidth]],ContinuousStatsTable[[#This Row],[BatchMeansHalfWidth]])</f>
        <v>3.8489312985140453E-2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1.3576987066366</v>
      </c>
      <c r="H9">
        <v>2E+20</v>
      </c>
      <c r="I9">
        <v>0</v>
      </c>
      <c r="J9">
        <v>2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0.88921784292656103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1.9339346897220799</v>
      </c>
      <c r="U9">
        <f>IF((ContinuousStatsTable[[#This Row],[RepsRequested]]&gt;1),ContinuousStatsTable[[#This Row],[HalfWidth]],ContinuousStatsTable[[#This Row],[BatchMeansHalfWidth]])</f>
        <v>7.6978625970280448E-2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2.12326594111686</v>
      </c>
      <c r="H11">
        <v>2E+20</v>
      </c>
      <c r="I11">
        <v>0</v>
      </c>
      <c r="J11">
        <v>11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0.19540731257165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4.4522665109539004</v>
      </c>
      <c r="U11">
        <f>IF((ContinuousStatsTable[[#This Row],[RepsRequested]]&gt;1),ContinuousStatsTable[[#This Row],[HalfWidth]],ContinuousStatsTable[[#This Row],[BatchMeansHalfWidth]])</f>
        <v>0.3159125326941864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2.2401674197556098</v>
      </c>
      <c r="H12">
        <v>2E+20</v>
      </c>
      <c r="I12">
        <v>0</v>
      </c>
      <c r="J12">
        <v>8</v>
      </c>
      <c r="K12">
        <v>8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1.14670462555243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6.3862012006759796</v>
      </c>
      <c r="U12">
        <f>IF((ContinuousStatsTable[[#This Row],[RepsRequested]]&gt;1),ContinuousStatsTable[[#This Row],[HalfWidth]],ContinuousStatsTable[[#This Row],[BatchMeansHalfWidth]])</f>
        <v>0.37848292392452848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0.74776210807622101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0.44460892146328002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0.96696734486103797</v>
      </c>
      <c r="U13">
        <f>IF((ContinuousStatsTable[[#This Row],[RepsRequested]]&gt;1),ContinuousStatsTable[[#This Row],[HalfWidth]],ContinuousStatsTable[[#This Row],[BatchMeansHalfWidth]])</f>
        <v>3.8489312985140453E-2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1.49552421615244</v>
      </c>
      <c r="H14">
        <v>2E+20</v>
      </c>
      <c r="I14">
        <v>0</v>
      </c>
      <c r="J14">
        <v>2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0.88921784292656103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1.9339346897220799</v>
      </c>
      <c r="U14">
        <f>IF((ContinuousStatsTable[[#This Row],[RepsRequested]]&gt;1),ContinuousStatsTable[[#This Row],[HalfWidth]],ContinuousStatsTable[[#This Row],[BatchMeansHalfWidth]])</f>
        <v>7.6978625970280448E-2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0.74464320360316705</v>
      </c>
      <c r="H16">
        <v>2E+20</v>
      </c>
      <c r="I16">
        <v>0</v>
      </c>
      <c r="J16">
        <v>6</v>
      </c>
      <c r="K16">
        <v>6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0.19540731257165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4.4522665109539004</v>
      </c>
      <c r="U16">
        <f>IF((ContinuousStatsTable[[#This Row],[RepsRequested]]&gt;1),ContinuousStatsTable[[#This Row],[HalfWidth]],ContinuousStatsTable[[#This Row],[BatchMeansHalfWidth]])</f>
        <v>0.3159125326941864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1.8333679520350501</v>
      </c>
      <c r="H17">
        <v>2E+20</v>
      </c>
      <c r="I17">
        <v>0</v>
      </c>
      <c r="J17">
        <v>6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1.14670462555243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6.3862012006759796</v>
      </c>
      <c r="U17">
        <f>IF((ContinuousStatsTable[[#This Row],[RepsRequested]]&gt;1),ContinuousStatsTable[[#This Row],[HalfWidth]],ContinuousStatsTable[[#This Row],[BatchMeansHalfWidth]])</f>
        <v>0.37848292392452848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0.64996927097244594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0.44460892146328002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0.96696734486103797</v>
      </c>
      <c r="U18">
        <f>IF((ContinuousStatsTable[[#This Row],[RepsRequested]]&gt;1),ContinuousStatsTable[[#This Row],[HalfWidth]],ContinuousStatsTable[[#This Row],[BatchMeansHalfWidth]])</f>
        <v>3.8489312985140453E-2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1.2999385419448899</v>
      </c>
      <c r="H19">
        <v>2E+20</v>
      </c>
      <c r="I19">
        <v>0</v>
      </c>
      <c r="J19">
        <v>2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0.88921784292656103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1.9339346897220799</v>
      </c>
      <c r="U19">
        <f>IF((ContinuousStatsTable[[#This Row],[RepsRequested]]&gt;1),ContinuousStatsTable[[#This Row],[HalfWidth]],ContinuousStatsTable[[#This Row],[BatchMeansHalfWidth]])</f>
        <v>7.6978625970280448E-2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0.53342941009015699</v>
      </c>
      <c r="H21">
        <v>2E+20</v>
      </c>
      <c r="I21">
        <v>0</v>
      </c>
      <c r="J21">
        <v>4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0.19540731257165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4.4522665109539004</v>
      </c>
      <c r="U21">
        <f>IF((ContinuousStatsTable[[#This Row],[RepsRequested]]&gt;1),ContinuousStatsTable[[#This Row],[HalfWidth]],ContinuousStatsTable[[#This Row],[BatchMeansHalfWidth]])</f>
        <v>0.3159125326941864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2.01763496663856</v>
      </c>
      <c r="H22">
        <v>2E+20</v>
      </c>
      <c r="I22">
        <v>0</v>
      </c>
      <c r="J22">
        <v>7</v>
      </c>
      <c r="K22">
        <v>4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1.14670462555243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6.3862012006759796</v>
      </c>
      <c r="U22">
        <f>IF((ContinuousStatsTable[[#This Row],[RepsRequested]]&gt;1),ContinuousStatsTable[[#This Row],[HalfWidth]],ContinuousStatsTable[[#This Row],[BatchMeansHalfWidth]])</f>
        <v>0.37848292392452848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0.63472525894104104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0.44460892146328002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0.96696734486103797</v>
      </c>
      <c r="U23">
        <f>IF((ContinuousStatsTable[[#This Row],[RepsRequested]]&gt;1),ContinuousStatsTable[[#This Row],[HalfWidth]],ContinuousStatsTable[[#This Row],[BatchMeansHalfWidth]])</f>
        <v>3.8489312985140453E-2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1.2694505178820801</v>
      </c>
      <c r="H24">
        <v>2E+20</v>
      </c>
      <c r="I24">
        <v>0</v>
      </c>
      <c r="J24">
        <v>2</v>
      </c>
      <c r="K24">
        <v>2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0.88921784292656103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1.9339346897220799</v>
      </c>
      <c r="U24">
        <f>IF((ContinuousStatsTable[[#This Row],[RepsRequested]]&gt;1),ContinuousStatsTable[[#This Row],[HalfWidth]],ContinuousStatsTable[[#This Row],[BatchMeansHalfWidth]])</f>
        <v>7.6978625970280448E-2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0.74818444875648304</v>
      </c>
      <c r="H26">
        <v>2E+20</v>
      </c>
      <c r="I26">
        <v>0</v>
      </c>
      <c r="J26">
        <v>5</v>
      </c>
      <c r="K26">
        <v>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0.19540731257165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4.4522665109539004</v>
      </c>
      <c r="U26">
        <f>IF((ContinuousStatsTable[[#This Row],[RepsRequested]]&gt;1),ContinuousStatsTable[[#This Row],[HalfWidth]],ContinuousStatsTable[[#This Row],[BatchMeansHalfWidth]])</f>
        <v>0.3159125326941864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1.6163099674155299</v>
      </c>
      <c r="H27">
        <v>2E+20</v>
      </c>
      <c r="I27">
        <v>0</v>
      </c>
      <c r="J27">
        <v>6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1.14670462555243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6.3862012006759796</v>
      </c>
      <c r="U27">
        <f>IF((ContinuousStatsTable[[#This Row],[RepsRequested]]&gt;1),ContinuousStatsTable[[#This Row],[HalfWidth]],ContinuousStatsTable[[#This Row],[BatchMeansHalfWidth]])</f>
        <v>0.37848292392452848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0.62403540178572103</v>
      </c>
      <c r="H28">
        <v>2E+20</v>
      </c>
      <c r="I28">
        <v>0</v>
      </c>
      <c r="J28">
        <v>1</v>
      </c>
      <c r="K28">
        <v>0.5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0.44460892146328002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0.96696734486103797</v>
      </c>
      <c r="U28">
        <f>IF((ContinuousStatsTable[[#This Row],[RepsRequested]]&gt;1),ContinuousStatsTable[[#This Row],[HalfWidth]],ContinuousStatsTable[[#This Row],[BatchMeansHalfWidth]])</f>
        <v>3.8489312985140453E-2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1.2480708035714401</v>
      </c>
      <c r="H29">
        <v>2E+20</v>
      </c>
      <c r="I29">
        <v>0</v>
      </c>
      <c r="J29">
        <v>2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0.88921784292656103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1.9339346897220799</v>
      </c>
      <c r="U29">
        <f>IF((ContinuousStatsTable[[#This Row],[RepsRequested]]&gt;1),ContinuousStatsTable[[#This Row],[HalfWidth]],ContinuousStatsTable[[#This Row],[BatchMeansHalfWidth]])</f>
        <v>7.6978625970280448E-2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0.368239163844089</v>
      </c>
      <c r="H31">
        <v>2E+20</v>
      </c>
      <c r="I31">
        <v>0</v>
      </c>
      <c r="J31">
        <v>4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0.19540731257165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4.4522665109539004</v>
      </c>
      <c r="U31">
        <f>IF((ContinuousStatsTable[[#This Row],[RepsRequested]]&gt;1),ContinuousStatsTable[[#This Row],[HalfWidth]],ContinuousStatsTable[[#This Row],[BatchMeansHalfWidth]])</f>
        <v>0.3159125326941864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3.3852814809951499</v>
      </c>
      <c r="H32">
        <v>2E+20</v>
      </c>
      <c r="I32">
        <v>0</v>
      </c>
      <c r="J32">
        <v>12</v>
      </c>
      <c r="K32">
        <v>4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1.14670462555243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6.3862012006759796</v>
      </c>
      <c r="U32">
        <f>IF((ContinuousStatsTable[[#This Row],[RepsRequested]]&gt;1),ContinuousStatsTable[[#This Row],[HalfWidth]],ContinuousStatsTable[[#This Row],[BatchMeansHalfWidth]])</f>
        <v>0.37848292392452848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0.76034655923569605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0.44460892146328002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0.96696734486103797</v>
      </c>
      <c r="U33">
        <f>IF((ContinuousStatsTable[[#This Row],[RepsRequested]]&gt;1),ContinuousStatsTable[[#This Row],[HalfWidth]],ContinuousStatsTable[[#This Row],[BatchMeansHalfWidth]])</f>
        <v>3.8489312985140453E-2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1.5206931184713901</v>
      </c>
      <c r="H34">
        <v>2E+20</v>
      </c>
      <c r="I34">
        <v>0</v>
      </c>
      <c r="J34">
        <v>2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0.88921784292656103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1.9339346897220799</v>
      </c>
      <c r="U34">
        <f>IF((ContinuousStatsTable[[#This Row],[RepsRequested]]&gt;1),ContinuousStatsTable[[#This Row],[HalfWidth]],ContinuousStatsTable[[#This Row],[BatchMeansHalfWidth]])</f>
        <v>7.6978625970280448E-2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1.86458836252375</v>
      </c>
      <c r="H36">
        <v>2E+20</v>
      </c>
      <c r="I36">
        <v>0</v>
      </c>
      <c r="J36">
        <v>10</v>
      </c>
      <c r="K36">
        <v>2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0.19540731257165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4.4522665109539004</v>
      </c>
      <c r="U36">
        <f>IF((ContinuousStatsTable[[#This Row],[RepsRequested]]&gt;1),ContinuousStatsTable[[#This Row],[HalfWidth]],ContinuousStatsTable[[#This Row],[BatchMeansHalfWidth]])</f>
        <v>0.3159125326941864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1.89024518711981</v>
      </c>
      <c r="H37">
        <v>2E+20</v>
      </c>
      <c r="I37">
        <v>0</v>
      </c>
      <c r="J37">
        <v>8</v>
      </c>
      <c r="K37">
        <v>2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1.14670462555243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6.3862012006759796</v>
      </c>
      <c r="U37">
        <f>IF((ContinuousStatsTable[[#This Row],[RepsRequested]]&gt;1),ContinuousStatsTable[[#This Row],[HalfWidth]],ContinuousStatsTable[[#This Row],[BatchMeansHalfWidth]])</f>
        <v>0.37848292392452848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0.65661398687750705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0.44460892146328002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0.96696734486103797</v>
      </c>
      <c r="U38">
        <f>IF((ContinuousStatsTable[[#This Row],[RepsRequested]]&gt;1),ContinuousStatsTable[[#This Row],[HalfWidth]],ContinuousStatsTable[[#This Row],[BatchMeansHalfWidth]])</f>
        <v>3.8489312985140453E-2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1.3132279737550101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0.88921784292656103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1.9339346897220799</v>
      </c>
      <c r="U39">
        <f>IF((ContinuousStatsTable[[#This Row],[RepsRequested]]&gt;1),ContinuousStatsTable[[#This Row],[HalfWidth]],ContinuousStatsTable[[#This Row],[BatchMeansHalfWidth]])</f>
        <v>7.6978625970280448E-2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0.57701721336480105</v>
      </c>
      <c r="H41">
        <v>2E+20</v>
      </c>
      <c r="I41">
        <v>0</v>
      </c>
      <c r="J41">
        <v>6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0.19540731257165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4.4522665109539004</v>
      </c>
      <c r="U41">
        <f>IF((ContinuousStatsTable[[#This Row],[RepsRequested]]&gt;1),ContinuousStatsTable[[#This Row],[HalfWidth]],ContinuousStatsTable[[#This Row],[BatchMeansHalfWidth]])</f>
        <v>0.3159125326941864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1.4003371654615</v>
      </c>
      <c r="H42">
        <v>2E+20</v>
      </c>
      <c r="I42">
        <v>0</v>
      </c>
      <c r="J42">
        <v>7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1.14670462555243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6.3862012006759796</v>
      </c>
      <c r="U42">
        <f>IF((ContinuousStatsTable[[#This Row],[RepsRequested]]&gt;1),ContinuousStatsTable[[#This Row],[HalfWidth]],ContinuousStatsTable[[#This Row],[BatchMeansHalfWidth]])</f>
        <v>0.37848292392452848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0.51911843686350101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0.44460892146328002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0.96696734486103797</v>
      </c>
      <c r="U43">
        <f>IF((ContinuousStatsTable[[#This Row],[RepsRequested]]&gt;1),ContinuousStatsTable[[#This Row],[HalfWidth]],ContinuousStatsTable[[#This Row],[BatchMeansHalfWidth]])</f>
        <v>3.8489312985140453E-2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1.038236873727</v>
      </c>
      <c r="H44">
        <v>2E+20</v>
      </c>
      <c r="I44">
        <v>0</v>
      </c>
      <c r="J44">
        <v>2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0.88921784292656103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1.9339346897220799</v>
      </c>
      <c r="U44">
        <f>IF((ContinuousStatsTable[[#This Row],[RepsRequested]]&gt;1),ContinuousStatsTable[[#This Row],[HalfWidth]],ContinuousStatsTable[[#This Row],[BatchMeansHalfWidth]])</f>
        <v>7.6978625970280448E-2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0.36210029173450198</v>
      </c>
      <c r="H46">
        <v>2E+20</v>
      </c>
      <c r="I46">
        <v>0</v>
      </c>
      <c r="J46">
        <v>5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0.19540731257165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4.4522665109539004</v>
      </c>
      <c r="U46">
        <f>IF((ContinuousStatsTable[[#This Row],[RepsRequested]]&gt;1),ContinuousStatsTable[[#This Row],[HalfWidth]],ContinuousStatsTable[[#This Row],[BatchMeansHalfWidth]])</f>
        <v>0.3159125326941864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2.82939333689378</v>
      </c>
      <c r="H47">
        <v>2E+20</v>
      </c>
      <c r="I47">
        <v>0</v>
      </c>
      <c r="J47">
        <v>11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1.14670462555243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6.3862012006759796</v>
      </c>
      <c r="U47">
        <f>IF((ContinuousStatsTable[[#This Row],[RepsRequested]]&gt;1),ContinuousStatsTable[[#This Row],[HalfWidth]],ContinuousStatsTable[[#This Row],[BatchMeansHalfWidth]])</f>
        <v>0.37848292392452848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0.63731325872403599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0.44460892146328002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0.96696734486103797</v>
      </c>
      <c r="U48">
        <f>IF((ContinuousStatsTable[[#This Row],[RepsRequested]]&gt;1),ContinuousStatsTable[[#This Row],[HalfWidth]],ContinuousStatsTable[[#This Row],[BatchMeansHalfWidth]])</f>
        <v>3.8489312985140453E-2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1.27462651744807</v>
      </c>
      <c r="H49">
        <v>2E+20</v>
      </c>
      <c r="I49">
        <v>0</v>
      </c>
      <c r="J49">
        <v>2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0.88921784292656103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1.9339346897220799</v>
      </c>
      <c r="U49">
        <f>IF((ContinuousStatsTable[[#This Row],[RepsRequested]]&gt;1),ContinuousStatsTable[[#This Row],[HalfWidth]],ContinuousStatsTable[[#This Row],[BatchMeansHalfWidth]])</f>
        <v>7.6978625970280448E-2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1.55476681944571</v>
      </c>
      <c r="H51">
        <v>2E+20</v>
      </c>
      <c r="I51">
        <v>0</v>
      </c>
      <c r="J51">
        <v>9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0.19540731257165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4.4522665109539004</v>
      </c>
      <c r="U51">
        <f>IF((ContinuousStatsTable[[#This Row],[RepsRequested]]&gt;1),ContinuousStatsTable[[#This Row],[HalfWidth]],ContinuousStatsTable[[#This Row],[BatchMeansHalfWidth]])</f>
        <v>0.3159125326941864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1.5361785574026701</v>
      </c>
      <c r="H52">
        <v>2E+20</v>
      </c>
      <c r="I52">
        <v>0</v>
      </c>
      <c r="J52">
        <v>6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1.14670462555243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6.3862012006759796</v>
      </c>
      <c r="U52">
        <f>IF((ContinuousStatsTable[[#This Row],[RepsRequested]]&gt;1),ContinuousStatsTable[[#This Row],[HalfWidth]],ContinuousStatsTable[[#This Row],[BatchMeansHalfWidth]])</f>
        <v>0.37848292392452848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0.56768084314366196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0.44460892146328002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0.96696734486103797</v>
      </c>
      <c r="U53">
        <f>IF((ContinuousStatsTable[[#This Row],[RepsRequested]]&gt;1),ContinuousStatsTable[[#This Row],[HalfWidth]],ContinuousStatsTable[[#This Row],[BatchMeansHalfWidth]])</f>
        <v>3.8489312985140453E-2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1.1353616862873199</v>
      </c>
      <c r="H54">
        <v>2E+20</v>
      </c>
      <c r="I54">
        <v>0</v>
      </c>
      <c r="J54">
        <v>2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0.88921784292656103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1.9339346897220799</v>
      </c>
      <c r="U54">
        <f>IF((ContinuousStatsTable[[#This Row],[RepsRequested]]&gt;1),ContinuousStatsTable[[#This Row],[HalfWidth]],ContinuousStatsTable[[#This Row],[BatchMeansHalfWidth]])</f>
        <v>7.6978625970280448E-2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0.40081687111534903</v>
      </c>
      <c r="H56">
        <v>2E+20</v>
      </c>
      <c r="I56">
        <v>0</v>
      </c>
      <c r="J56">
        <v>4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0.19540731257165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4.4522665109539004</v>
      </c>
      <c r="U56">
        <f>IF((ContinuousStatsTable[[#This Row],[RepsRequested]]&gt;1),ContinuousStatsTable[[#This Row],[HalfWidth]],ContinuousStatsTable[[#This Row],[BatchMeansHalfWidth]])</f>
        <v>0.3159125326941864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3.3951801569657101</v>
      </c>
      <c r="H57">
        <v>2E+20</v>
      </c>
      <c r="I57">
        <v>0</v>
      </c>
      <c r="J57">
        <v>8</v>
      </c>
      <c r="K57">
        <v>3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1.14670462555243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6.3862012006759796</v>
      </c>
      <c r="U57">
        <f>IF((ContinuousStatsTable[[#This Row],[RepsRequested]]&gt;1),ContinuousStatsTable[[#This Row],[HalfWidth]],ContinuousStatsTable[[#This Row],[BatchMeansHalfWidth]])</f>
        <v>0.37848292392452848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0.80037636824867298</v>
      </c>
      <c r="H58">
        <v>2E+20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0.44460892146328002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0.96696734486103797</v>
      </c>
      <c r="U58">
        <f>IF((ContinuousStatsTable[[#This Row],[RepsRequested]]&gt;1),ContinuousStatsTable[[#This Row],[HalfWidth]],ContinuousStatsTable[[#This Row],[BatchMeansHalfWidth]])</f>
        <v>3.8489312985140453E-2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1.6007527364973499</v>
      </c>
      <c r="H59">
        <v>2E+20</v>
      </c>
      <c r="I59">
        <v>0</v>
      </c>
      <c r="J59">
        <v>2</v>
      </c>
      <c r="K59">
        <v>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0.88921784292656103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1.9339346897220799</v>
      </c>
      <c r="U59">
        <f>IF((ContinuousStatsTable[[#This Row],[RepsRequested]]&gt;1),ContinuousStatsTable[[#This Row],[HalfWidth]],ContinuousStatsTable[[#This Row],[BatchMeansHalfWidth]])</f>
        <v>7.6978625970280448E-2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1.7944274204683599</v>
      </c>
      <c r="H61">
        <v>2E+20</v>
      </c>
      <c r="I61">
        <v>0</v>
      </c>
      <c r="J61">
        <v>6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0.19540731257165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4.4522665109539004</v>
      </c>
      <c r="U61">
        <f>IF((ContinuousStatsTable[[#This Row],[RepsRequested]]&gt;1),ContinuousStatsTable[[#This Row],[HalfWidth]],ContinuousStatsTable[[#This Row],[BatchMeansHalfWidth]])</f>
        <v>0.3159125326941864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1.77280380388915</v>
      </c>
      <c r="H62">
        <v>2E+20</v>
      </c>
      <c r="I62">
        <v>0</v>
      </c>
      <c r="J62">
        <v>7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1.14670462555243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6.3862012006759796</v>
      </c>
      <c r="U62">
        <f>IF((ContinuousStatsTable[[#This Row],[RepsRequested]]&gt;1),ContinuousStatsTable[[#This Row],[HalfWidth]],ContinuousStatsTable[[#This Row],[BatchMeansHalfWidth]])</f>
        <v>0.37848292392452848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0.645836061100303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0.44460892146328002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0.96696734486103797</v>
      </c>
      <c r="U63">
        <f>IF((ContinuousStatsTable[[#This Row],[RepsRequested]]&gt;1),ContinuousStatsTable[[#This Row],[HalfWidth]],ContinuousStatsTable[[#This Row],[BatchMeansHalfWidth]])</f>
        <v>3.8489312985140453E-2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1.29167212220061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0.88921784292656103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1.9339346897220799</v>
      </c>
      <c r="U64">
        <f>IF((ContinuousStatsTable[[#This Row],[RepsRequested]]&gt;1),ContinuousStatsTable[[#This Row],[HalfWidth]],ContinuousStatsTable[[#This Row],[BatchMeansHalfWidth]])</f>
        <v>7.6978625970280448E-2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0.48113168168854598</v>
      </c>
      <c r="H66">
        <v>2E+20</v>
      </c>
      <c r="I66">
        <v>0</v>
      </c>
      <c r="J66">
        <v>5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0.19540731257165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4.4522665109539004</v>
      </c>
      <c r="U66">
        <f>IF((ContinuousStatsTable[[#This Row],[RepsRequested]]&gt;1),ContinuousStatsTable[[#This Row],[HalfWidth]],ContinuousStatsTable[[#This Row],[BatchMeansHalfWidth]])</f>
        <v>0.3159125326941864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1.98039941414311</v>
      </c>
      <c r="H67">
        <v>2E+20</v>
      </c>
      <c r="I67">
        <v>0</v>
      </c>
      <c r="J67">
        <v>8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1.14670462555243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6.3862012006759796</v>
      </c>
      <c r="U67">
        <f>IF((ContinuousStatsTable[[#This Row],[RepsRequested]]&gt;1),ContinuousStatsTable[[#This Row],[HalfWidth]],ContinuousStatsTable[[#This Row],[BatchMeansHalfWidth]])</f>
        <v>0.37848292392452848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0.62344092045601396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0.44460892146328002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0.96696734486103797</v>
      </c>
      <c r="U68">
        <f>IF((ContinuousStatsTable[[#This Row],[RepsRequested]]&gt;1),ContinuousStatsTable[[#This Row],[HalfWidth]],ContinuousStatsTable[[#This Row],[BatchMeansHalfWidth]])</f>
        <v>3.8489312985140453E-2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1.2468818409120299</v>
      </c>
      <c r="H69">
        <v>2E+20</v>
      </c>
      <c r="I69">
        <v>0</v>
      </c>
      <c r="J69">
        <v>2</v>
      </c>
      <c r="K69">
        <v>2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0.88921784292656103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1.9339346897220799</v>
      </c>
      <c r="U69">
        <f>IF((ContinuousStatsTable[[#This Row],[RepsRequested]]&gt;1),ContinuousStatsTable[[#This Row],[HalfWidth]],ContinuousStatsTable[[#This Row],[BatchMeansHalfWidth]])</f>
        <v>7.6978625970280448E-2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0.73351757323108002</v>
      </c>
      <c r="H71">
        <v>2E+20</v>
      </c>
      <c r="I71">
        <v>0</v>
      </c>
      <c r="J71">
        <v>6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0.19540731257165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4.4522665109539004</v>
      </c>
      <c r="U71">
        <f>IF((ContinuousStatsTable[[#This Row],[RepsRequested]]&gt;1),ContinuousStatsTable[[#This Row],[HalfWidth]],ContinuousStatsTable[[#This Row],[BatchMeansHalfWidth]])</f>
        <v>0.3159125326941864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1.40880163726793</v>
      </c>
      <c r="H72">
        <v>2E+20</v>
      </c>
      <c r="I72">
        <v>0</v>
      </c>
      <c r="J72">
        <v>5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1.14670462555243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6.3862012006759796</v>
      </c>
      <c r="U72">
        <f>IF((ContinuousStatsTable[[#This Row],[RepsRequested]]&gt;1),ContinuousStatsTable[[#This Row],[HalfWidth]],ContinuousStatsTable[[#This Row],[BatchMeansHalfWidth]])</f>
        <v>0.37848292392452848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0.56411474984017596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0.44460892146328002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0.96696734486103797</v>
      </c>
      <c r="U73">
        <f>IF((ContinuousStatsTable[[#This Row],[RepsRequested]]&gt;1),ContinuousStatsTable[[#This Row],[HalfWidth]],ContinuousStatsTable[[#This Row],[BatchMeansHalfWidth]])</f>
        <v>3.8489312985140453E-2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1.1282294996803499</v>
      </c>
      <c r="H74">
        <v>2E+20</v>
      </c>
      <c r="I74">
        <v>0</v>
      </c>
      <c r="J74">
        <v>2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0.88921784292656103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1.9339346897220799</v>
      </c>
      <c r="U74">
        <f>IF((ContinuousStatsTable[[#This Row],[RepsRequested]]&gt;1),ContinuousStatsTable[[#This Row],[HalfWidth]],ContinuousStatsTable[[#This Row],[BatchMeansHalfWidth]])</f>
        <v>7.6978625970280448E-2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0.28057213758757699</v>
      </c>
      <c r="H76">
        <v>2E+20</v>
      </c>
      <c r="I76">
        <v>0</v>
      </c>
      <c r="J76">
        <v>3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0.19540731257165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4.4522665109539004</v>
      </c>
      <c r="U76">
        <f>IF((ContinuousStatsTable[[#This Row],[RepsRequested]]&gt;1),ContinuousStatsTable[[#This Row],[HalfWidth]],ContinuousStatsTable[[#This Row],[BatchMeansHalfWidth]])</f>
        <v>0.3159125326941864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2.4366820952164101</v>
      </c>
      <c r="H77">
        <v>2E+20</v>
      </c>
      <c r="I77">
        <v>0</v>
      </c>
      <c r="J77">
        <v>8</v>
      </c>
      <c r="K77">
        <v>5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1.14670462555243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6.3862012006759796</v>
      </c>
      <c r="U77">
        <f>IF((ContinuousStatsTable[[#This Row],[RepsRequested]]&gt;1),ContinuousStatsTable[[#This Row],[HalfWidth]],ContinuousStatsTable[[#This Row],[BatchMeansHalfWidth]])</f>
        <v>0.37848292392452848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0.74599603297739203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0.44460892146328002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0.96696734486103797</v>
      </c>
      <c r="U78">
        <f>IF((ContinuousStatsTable[[#This Row],[RepsRequested]]&gt;1),ContinuousStatsTable[[#This Row],[HalfWidth]],ContinuousStatsTable[[#This Row],[BatchMeansHalfWidth]])</f>
        <v>3.8489312985140453E-2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1.4919920659547801</v>
      </c>
      <c r="H79">
        <v>2E+20</v>
      </c>
      <c r="I79">
        <v>0</v>
      </c>
      <c r="J79">
        <v>2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0.88921784292656103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1.9339346897220799</v>
      </c>
      <c r="U79">
        <f>IF((ContinuousStatsTable[[#This Row],[RepsRequested]]&gt;1),ContinuousStatsTable[[#This Row],[HalfWidth]],ContinuousStatsTable[[#This Row],[BatchMeansHalfWidth]])</f>
        <v>7.6978625970280448E-2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0.94469002926162504</v>
      </c>
      <c r="H81">
        <v>2E+20</v>
      </c>
      <c r="I81">
        <v>0</v>
      </c>
      <c r="J81">
        <v>6</v>
      </c>
      <c r="K81">
        <v>3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0.19540731257165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4.4522665109539004</v>
      </c>
      <c r="U81">
        <f>IF((ContinuousStatsTable[[#This Row],[RepsRequested]]&gt;1),ContinuousStatsTable[[#This Row],[HalfWidth]],ContinuousStatsTable[[#This Row],[BatchMeansHalfWidth]])</f>
        <v>0.3159125326941864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1.21513048064366</v>
      </c>
      <c r="H82">
        <v>2E+20</v>
      </c>
      <c r="I82">
        <v>0</v>
      </c>
      <c r="J82">
        <v>6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1.14670462555243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6.3862012006759796</v>
      </c>
      <c r="U82">
        <f>IF((ContinuousStatsTable[[#This Row],[RepsRequested]]&gt;1),ContinuousStatsTable[[#This Row],[HalfWidth]],ContinuousStatsTable[[#This Row],[BatchMeansHalfWidth]])</f>
        <v>0.37848292392452848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0.44460892146328002</v>
      </c>
      <c r="H83">
        <v>2E+20</v>
      </c>
      <c r="I83">
        <v>0</v>
      </c>
      <c r="J83">
        <v>1</v>
      </c>
      <c r="K83">
        <v>0.5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0.44460892146328002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0.96696734486103797</v>
      </c>
      <c r="U83">
        <f>IF((ContinuousStatsTable[[#This Row],[RepsRequested]]&gt;1),ContinuousStatsTable[[#This Row],[HalfWidth]],ContinuousStatsTable[[#This Row],[BatchMeansHalfWidth]])</f>
        <v>3.8489312985140453E-2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0.88921784292656103</v>
      </c>
      <c r="H84">
        <v>2E+20</v>
      </c>
      <c r="I84">
        <v>0</v>
      </c>
      <c r="J84">
        <v>2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0.88921784292656103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1.9339346897220799</v>
      </c>
      <c r="U84">
        <f>IF((ContinuousStatsTable[[#This Row],[RepsRequested]]&gt;1),ContinuousStatsTable[[#This Row],[HalfWidth]],ContinuousStatsTable[[#This Row],[BatchMeansHalfWidth]])</f>
        <v>7.6978625970280448E-2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0.32591263771710299</v>
      </c>
      <c r="H86">
        <v>2E+20</v>
      </c>
      <c r="I86">
        <v>0</v>
      </c>
      <c r="J86">
        <v>4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0.19540731257165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4.4522665109539004</v>
      </c>
      <c r="U86">
        <f>IF((ContinuousStatsTable[[#This Row],[RepsRequested]]&gt;1),ContinuousStatsTable[[#This Row],[HalfWidth]],ContinuousStatsTable[[#This Row],[BatchMeansHalfWidth]])</f>
        <v>0.3159125326941864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1.8911307104908699</v>
      </c>
      <c r="H87">
        <v>2E+20</v>
      </c>
      <c r="I87">
        <v>0</v>
      </c>
      <c r="J87">
        <v>6</v>
      </c>
      <c r="K87">
        <v>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1.14670462555243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6.3862012006759796</v>
      </c>
      <c r="U87">
        <f>IF((ContinuousStatsTable[[#This Row],[RepsRequested]]&gt;1),ContinuousStatsTable[[#This Row],[HalfWidth]],ContinuousStatsTable[[#This Row],[BatchMeansHalfWidth]])</f>
        <v>0.37848292392452848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0.69912146170646705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0.44460892146328002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0.96696734486103797</v>
      </c>
      <c r="U88">
        <f>IF((ContinuousStatsTable[[#This Row],[RepsRequested]]&gt;1),ContinuousStatsTable[[#This Row],[HalfWidth]],ContinuousStatsTable[[#This Row],[BatchMeansHalfWidth]])</f>
        <v>3.8489312985140453E-2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1.3982429234129301</v>
      </c>
      <c r="H89">
        <v>2E+20</v>
      </c>
      <c r="I89">
        <v>0</v>
      </c>
      <c r="J89">
        <v>2</v>
      </c>
      <c r="K89">
        <v>2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0.88921784292656103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1.9339346897220799</v>
      </c>
      <c r="U89">
        <f>IF((ContinuousStatsTable[[#This Row],[RepsRequested]]&gt;1),ContinuousStatsTable[[#This Row],[HalfWidth]],ContinuousStatsTable[[#This Row],[BatchMeansHalfWidth]])</f>
        <v>7.6978625970280448E-2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0.49288778707793601</v>
      </c>
      <c r="H91">
        <v>2E+20</v>
      </c>
      <c r="I91">
        <v>0</v>
      </c>
      <c r="J91">
        <v>4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0.19540731257165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4.4522665109539004</v>
      </c>
      <c r="U91">
        <f>IF((ContinuousStatsTable[[#This Row],[RepsRequested]]&gt;1),ContinuousStatsTable[[#This Row],[HalfWidth]],ContinuousStatsTable[[#This Row],[BatchMeansHalfWidth]])</f>
        <v>0.3159125326941864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1.5138206357916799</v>
      </c>
      <c r="H92">
        <v>2E+20</v>
      </c>
      <c r="I92">
        <v>0</v>
      </c>
      <c r="J92">
        <v>6</v>
      </c>
      <c r="K92">
        <v>5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1.14670462555243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6.3862012006759796</v>
      </c>
      <c r="U92">
        <f>IF((ContinuousStatsTable[[#This Row],[RepsRequested]]&gt;1),ContinuousStatsTable[[#This Row],[HalfWidth]],ContinuousStatsTable[[#This Row],[BatchMeansHalfWidth]])</f>
        <v>0.37848292392452848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0.58754599723964096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0.44460892146328002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0.96696734486103797</v>
      </c>
      <c r="U93">
        <f>IF((ContinuousStatsTable[[#This Row],[RepsRequested]]&gt;1),ContinuousStatsTable[[#This Row],[HalfWidth]],ContinuousStatsTable[[#This Row],[BatchMeansHalfWidth]])</f>
        <v>3.8489312985140453E-2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1.1750919944792799</v>
      </c>
      <c r="H94">
        <v>2E+20</v>
      </c>
      <c r="I94">
        <v>0</v>
      </c>
      <c r="J94">
        <v>2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0.88921784292656103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1.9339346897220799</v>
      </c>
      <c r="U94">
        <f>IF((ContinuousStatsTable[[#This Row],[RepsRequested]]&gt;1),ContinuousStatsTable[[#This Row],[HalfWidth]],ContinuousStatsTable[[#This Row],[BatchMeansHalfWidth]])</f>
        <v>7.6978625970280448E-2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0.338728641312395</v>
      </c>
      <c r="H96">
        <v>2E+20</v>
      </c>
      <c r="I96">
        <v>0</v>
      </c>
      <c r="J96">
        <v>4</v>
      </c>
      <c r="K96">
        <v>3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0.19540731257165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4.4522665109539004</v>
      </c>
      <c r="U96">
        <f>IF((ContinuousStatsTable[[#This Row],[RepsRequested]]&gt;1),ContinuousStatsTable[[#This Row],[HalfWidth]],ContinuousStatsTable[[#This Row],[BatchMeansHalfWidth]])</f>
        <v>0.3159125326941864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2.1255016829964299</v>
      </c>
      <c r="H97">
        <v>2E+20</v>
      </c>
      <c r="I97">
        <v>0</v>
      </c>
      <c r="J97">
        <v>10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1.14670462555243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6.3862012006759796</v>
      </c>
      <c r="U97">
        <f>IF((ContinuousStatsTable[[#This Row],[RepsRequested]]&gt;1),ContinuousStatsTable[[#This Row],[HalfWidth]],ContinuousStatsTable[[#This Row],[BatchMeansHalfWidth]])</f>
        <v>0.37848292392452848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0.59284387506629699</v>
      </c>
      <c r="H98">
        <v>2E+20</v>
      </c>
      <c r="I98">
        <v>0</v>
      </c>
      <c r="J98">
        <v>1</v>
      </c>
      <c r="K98">
        <v>0.5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0.44460892146328002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0.96696734486103797</v>
      </c>
      <c r="U98">
        <f>IF((ContinuousStatsTable[[#This Row],[RepsRequested]]&gt;1),ContinuousStatsTable[[#This Row],[HalfWidth]],ContinuousStatsTable[[#This Row],[BatchMeansHalfWidth]])</f>
        <v>3.8489312985140453E-2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1.18568775013259</v>
      </c>
      <c r="H99">
        <v>2E+20</v>
      </c>
      <c r="I99">
        <v>0</v>
      </c>
      <c r="J99">
        <v>2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0.88921784292656103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1.9339346897220799</v>
      </c>
      <c r="U99">
        <f>IF((ContinuousStatsTable[[#This Row],[RepsRequested]]&gt;1),ContinuousStatsTable[[#This Row],[HalfWidth]],ContinuousStatsTable[[#This Row],[BatchMeansHalfWidth]])</f>
        <v>7.6978625970280448E-2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0.93981393286383996</v>
      </c>
      <c r="H101">
        <v>2E+20</v>
      </c>
      <c r="I101">
        <v>0</v>
      </c>
      <c r="J101">
        <v>8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0.19540731257165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4.4522665109539004</v>
      </c>
      <c r="U101">
        <f>IF((ContinuousStatsTable[[#This Row],[RepsRequested]]&gt;1),ContinuousStatsTable[[#This Row],[HalfWidth]],ContinuousStatsTable[[#This Row],[BatchMeansHalfWidth]])</f>
        <v>0.3159125326941864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2.07051898104742</v>
      </c>
      <c r="H102">
        <v>2E+20</v>
      </c>
      <c r="I102">
        <v>0</v>
      </c>
      <c r="J102">
        <v>7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1.14670462555243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6.3862012006759796</v>
      </c>
      <c r="U102">
        <f>IF((ContinuousStatsTable[[#This Row],[RepsRequested]]&gt;1),ContinuousStatsTable[[#This Row],[HalfWidth]],ContinuousStatsTable[[#This Row],[BatchMeansHalfWidth]])</f>
        <v>0.37848292392452848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0.66721410752092303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0.44460892146328002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0.96696734486103797</v>
      </c>
      <c r="U103">
        <f>IF((ContinuousStatsTable[[#This Row],[RepsRequested]]&gt;1),ContinuousStatsTable[[#This Row],[HalfWidth]],ContinuousStatsTable[[#This Row],[BatchMeansHalfWidth]])</f>
        <v>3.8489312985140453E-2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1.3344282150418501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0.88921784292656103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1.9339346897220799</v>
      </c>
      <c r="U104">
        <f>IF((ContinuousStatsTable[[#This Row],[RepsRequested]]&gt;1),ContinuousStatsTable[[#This Row],[HalfWidth]],ContinuousStatsTable[[#This Row],[BatchMeansHalfWidth]])</f>
        <v>7.6978625970280448E-2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0.73609076600557399</v>
      </c>
      <c r="H106">
        <v>2E+20</v>
      </c>
      <c r="I106">
        <v>0</v>
      </c>
      <c r="J106">
        <v>5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0.19540731257165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4.4522665109539004</v>
      </c>
      <c r="U106">
        <f>IF((ContinuousStatsTable[[#This Row],[RepsRequested]]&gt;1),ContinuousStatsTable[[#This Row],[HalfWidth]],ContinuousStatsTable[[#This Row],[BatchMeansHalfWidth]])</f>
        <v>0.3159125326941864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1.96219152405927</v>
      </c>
      <c r="H107">
        <v>2E+20</v>
      </c>
      <c r="I107">
        <v>0</v>
      </c>
      <c r="J107">
        <v>9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1.14670462555243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6.3862012006759796</v>
      </c>
      <c r="U107">
        <f>IF((ContinuousStatsTable[[#This Row],[RepsRequested]]&gt;1),ContinuousStatsTable[[#This Row],[HalfWidth]],ContinuousStatsTable[[#This Row],[BatchMeansHalfWidth]])</f>
        <v>0.37848292392452848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0.67395162778034301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0.44460892146328002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0.96696734486103797</v>
      </c>
      <c r="U108">
        <f>IF((ContinuousStatsTable[[#This Row],[RepsRequested]]&gt;1),ContinuousStatsTable[[#This Row],[HalfWidth]],ContinuousStatsTable[[#This Row],[BatchMeansHalfWidth]])</f>
        <v>3.8489312985140453E-2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1.34790325556069</v>
      </c>
      <c r="H109">
        <v>2E+20</v>
      </c>
      <c r="I109">
        <v>0</v>
      </c>
      <c r="J109">
        <v>2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0.88921784292656103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1.9339346897220799</v>
      </c>
      <c r="U109">
        <f>IF((ContinuousStatsTable[[#This Row],[RepsRequested]]&gt;1),ContinuousStatsTable[[#This Row],[HalfWidth]],ContinuousStatsTable[[#This Row],[BatchMeansHalfWidth]])</f>
        <v>7.6978625970280448E-2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0.61428826849858698</v>
      </c>
      <c r="H111">
        <v>2E+20</v>
      </c>
      <c r="I111">
        <v>0</v>
      </c>
      <c r="J111">
        <v>7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0.19540731257165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4.4522665109539004</v>
      </c>
      <c r="U111">
        <f>IF((ContinuousStatsTable[[#This Row],[RepsRequested]]&gt;1),ContinuousStatsTable[[#This Row],[HalfWidth]],ContinuousStatsTable[[#This Row],[BatchMeansHalfWidth]])</f>
        <v>0.3159125326941864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1.71713461875429</v>
      </c>
      <c r="H112">
        <v>2E+20</v>
      </c>
      <c r="I112">
        <v>0</v>
      </c>
      <c r="J112">
        <v>8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1.14670462555243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6.3862012006759796</v>
      </c>
      <c r="U112">
        <f>IF((ContinuousStatsTable[[#This Row],[RepsRequested]]&gt;1),ContinuousStatsTable[[#This Row],[HalfWidth]],ContinuousStatsTable[[#This Row],[BatchMeansHalfWidth]])</f>
        <v>0.37848292392452848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0.62370261214042</v>
      </c>
      <c r="H113">
        <v>2E+20</v>
      </c>
      <c r="I113">
        <v>0</v>
      </c>
      <c r="J113">
        <v>1</v>
      </c>
      <c r="K113">
        <v>0.5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0.44460892146328002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0.96696734486103797</v>
      </c>
      <c r="U113">
        <f>IF((ContinuousStatsTable[[#This Row],[RepsRequested]]&gt;1),ContinuousStatsTable[[#This Row],[HalfWidth]],ContinuousStatsTable[[#This Row],[BatchMeansHalfWidth]])</f>
        <v>3.8489312985140453E-2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1.24740522428084</v>
      </c>
      <c r="H114">
        <v>2E+20</v>
      </c>
      <c r="I114">
        <v>0</v>
      </c>
      <c r="J114">
        <v>2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0.88921784292656103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1.9339346897220799</v>
      </c>
      <c r="U114">
        <f>IF((ContinuousStatsTable[[#This Row],[RepsRequested]]&gt;1),ContinuousStatsTable[[#This Row],[HalfWidth]],ContinuousStatsTable[[#This Row],[BatchMeansHalfWidth]])</f>
        <v>7.6978625970280448E-2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0.46972939447344603</v>
      </c>
      <c r="H116">
        <v>2E+20</v>
      </c>
      <c r="I116">
        <v>0</v>
      </c>
      <c r="J116">
        <v>6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0.19540731257165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4.4522665109539004</v>
      </c>
      <c r="U116">
        <f>IF((ContinuousStatsTable[[#This Row],[RepsRequested]]&gt;1),ContinuousStatsTable[[#This Row],[HalfWidth]],ContinuousStatsTable[[#This Row],[BatchMeansHalfWidth]])</f>
        <v>0.3159125326941864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1.14670462555243</v>
      </c>
      <c r="H117">
        <v>2E+20</v>
      </c>
      <c r="I117">
        <v>0</v>
      </c>
      <c r="J117">
        <v>5</v>
      </c>
      <c r="K117">
        <v>4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1.14670462555243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6.3862012006759796</v>
      </c>
      <c r="U117">
        <f>IF((ContinuousStatsTable[[#This Row],[RepsRequested]]&gt;1),ContinuousStatsTable[[#This Row],[HalfWidth]],ContinuousStatsTable[[#This Row],[BatchMeansHalfWidth]])</f>
        <v>0.37848292392452848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0.47564865649039001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0.44460892146328002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0.96696734486103797</v>
      </c>
      <c r="U118">
        <f>IF((ContinuousStatsTable[[#This Row],[RepsRequested]]&gt;1),ContinuousStatsTable[[#This Row],[HalfWidth]],ContinuousStatsTable[[#This Row],[BatchMeansHalfWidth]])</f>
        <v>3.8489312985140453E-2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0.95129731298077902</v>
      </c>
      <c r="H119">
        <v>2E+20</v>
      </c>
      <c r="I119">
        <v>0</v>
      </c>
      <c r="J119">
        <v>2</v>
      </c>
      <c r="K119">
        <v>2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0.88921784292656103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1.9339346897220799</v>
      </c>
      <c r="U119">
        <f>IF((ContinuousStatsTable[[#This Row],[RepsRequested]]&gt;1),ContinuousStatsTable[[#This Row],[HalfWidth]],ContinuousStatsTable[[#This Row],[BatchMeansHalfWidth]])</f>
        <v>7.6978625970280448E-2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0.19540731257165</v>
      </c>
      <c r="H121">
        <v>2E+20</v>
      </c>
      <c r="I121">
        <v>0</v>
      </c>
      <c r="J121">
        <v>3</v>
      </c>
      <c r="K121">
        <v>2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0.19540731257165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4.4522665109539004</v>
      </c>
      <c r="U121">
        <f>IF((ContinuousStatsTable[[#This Row],[RepsRequested]]&gt;1),ContinuousStatsTable[[#This Row],[HalfWidth]],ContinuousStatsTable[[#This Row],[BatchMeansHalfWidth]])</f>
        <v>0.3159125326941864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1.88142321034963</v>
      </c>
      <c r="H122">
        <v>2E+20</v>
      </c>
      <c r="I122">
        <v>0</v>
      </c>
      <c r="J122">
        <v>8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1.14670462555243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6.3862012006759796</v>
      </c>
      <c r="U122">
        <f>IF((ContinuousStatsTable[[#This Row],[RepsRequested]]&gt;1),ContinuousStatsTable[[#This Row],[HalfWidth]],ContinuousStatsTable[[#This Row],[BatchMeansHalfWidth]])</f>
        <v>0.37848292392452848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0.62243989799820298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0.44460892146328002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0.96696734486103797</v>
      </c>
      <c r="U123">
        <f>IF((ContinuousStatsTable[[#This Row],[RepsRequested]]&gt;1),ContinuousStatsTable[[#This Row],[HalfWidth]],ContinuousStatsTable[[#This Row],[BatchMeansHalfWidth]])</f>
        <v>3.8489312985140453E-2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1.24487979599641</v>
      </c>
      <c r="H124">
        <v>2E+20</v>
      </c>
      <c r="I124">
        <v>0</v>
      </c>
      <c r="J124">
        <v>2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0.88921784292656103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1.9339346897220799</v>
      </c>
      <c r="U124">
        <f>IF((ContinuousStatsTable[[#This Row],[RepsRequested]]&gt;1),ContinuousStatsTable[[#This Row],[HalfWidth]],ContinuousStatsTable[[#This Row],[BatchMeansHalfWidth]])</f>
        <v>7.6978625970280448E-2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0.63654341435322503</v>
      </c>
      <c r="H126">
        <v>2E+20</v>
      </c>
      <c r="I126">
        <v>0</v>
      </c>
      <c r="J126">
        <v>6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0.19540731257165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4.4522665109539004</v>
      </c>
      <c r="U126">
        <f>IF((ContinuousStatsTable[[#This Row],[RepsRequested]]&gt;1),ContinuousStatsTable[[#This Row],[HalfWidth]],ContinuousStatsTable[[#This Row],[BatchMeansHalfWidth]])</f>
        <v>0.3159125326941864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2.8126372326989899</v>
      </c>
      <c r="H127">
        <v>2E+20</v>
      </c>
      <c r="I127">
        <v>0</v>
      </c>
      <c r="J127">
        <v>11</v>
      </c>
      <c r="K127">
        <v>3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1.14670462555243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6.3862012006759796</v>
      </c>
      <c r="U127">
        <f>IF((ContinuousStatsTable[[#This Row],[RepsRequested]]&gt;1),ContinuousStatsTable[[#This Row],[HalfWidth]],ContinuousStatsTable[[#This Row],[BatchMeansHalfWidth]])</f>
        <v>0.37848292392452848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0.641963918427782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0.44460892146328002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0.96696734486103797</v>
      </c>
      <c r="U128">
        <f>IF((ContinuousStatsTable[[#This Row],[RepsRequested]]&gt;1),ContinuousStatsTable[[#This Row],[HalfWidth]],ContinuousStatsTable[[#This Row],[BatchMeansHalfWidth]])</f>
        <v>3.8489312985140453E-2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1.28392783685556</v>
      </c>
      <c r="H129">
        <v>2E+20</v>
      </c>
      <c r="I129">
        <v>0</v>
      </c>
      <c r="J129">
        <v>2</v>
      </c>
      <c r="K129">
        <v>2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0.88921784292656103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1.9339346897220799</v>
      </c>
      <c r="U129">
        <f>IF((ContinuousStatsTable[[#This Row],[RepsRequested]]&gt;1),ContinuousStatsTable[[#This Row],[HalfWidth]],ContinuousStatsTable[[#This Row],[BatchMeansHalfWidth]])</f>
        <v>7.6978625970280448E-2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1.5287093958434299</v>
      </c>
      <c r="H131">
        <v>2E+20</v>
      </c>
      <c r="I131">
        <v>0</v>
      </c>
      <c r="J131">
        <v>9</v>
      </c>
      <c r="K131">
        <v>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0.19540731257165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4.4522665109539004</v>
      </c>
      <c r="U131">
        <f>IF((ContinuousStatsTable[[#This Row],[RepsRequested]]&gt;1),ContinuousStatsTable[[#This Row],[HalfWidth]],ContinuousStatsTable[[#This Row],[BatchMeansHalfWidth]])</f>
        <v>0.3159125326941864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3.0066859918398299</v>
      </c>
      <c r="H132">
        <v>2E+20</v>
      </c>
      <c r="I132">
        <v>0</v>
      </c>
      <c r="J132">
        <v>8</v>
      </c>
      <c r="K132">
        <v>3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1.14670462555243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6.3862012006759796</v>
      </c>
      <c r="U132">
        <f>IF((ContinuousStatsTable[[#This Row],[RepsRequested]]&gt;1),ContinuousStatsTable[[#This Row],[HalfWidth]],ContinuousStatsTable[[#This Row],[BatchMeansHalfWidth]])</f>
        <v>0.37848292392452848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0.75356308524229298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0.44460892146328002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0.96696734486103797</v>
      </c>
      <c r="U133">
        <f>IF((ContinuousStatsTable[[#This Row],[RepsRequested]]&gt;1),ContinuousStatsTable[[#This Row],[HalfWidth]],ContinuousStatsTable[[#This Row],[BatchMeansHalfWidth]])</f>
        <v>3.8489312985140453E-2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1.50712617048459</v>
      </c>
      <c r="H134">
        <v>2E+20</v>
      </c>
      <c r="I134">
        <v>0</v>
      </c>
      <c r="J134">
        <v>2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0.88921784292656103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1.9339346897220799</v>
      </c>
      <c r="U134">
        <f>IF((ContinuousStatsTable[[#This Row],[RepsRequested]]&gt;1),ContinuousStatsTable[[#This Row],[HalfWidth]],ContinuousStatsTable[[#This Row],[BatchMeansHalfWidth]])</f>
        <v>7.6978625970280448E-2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1.4995598213552499</v>
      </c>
      <c r="H136">
        <v>2E+20</v>
      </c>
      <c r="I136">
        <v>0</v>
      </c>
      <c r="J136">
        <v>6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0.19540731257165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4.4522665109539004</v>
      </c>
      <c r="U136">
        <f>IF((ContinuousStatsTable[[#This Row],[RepsRequested]]&gt;1),ContinuousStatsTable[[#This Row],[HalfWidth]],ContinuousStatsTable[[#This Row],[BatchMeansHalfWidth]])</f>
        <v>0.3159125326941864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6.3862012006759796</v>
      </c>
      <c r="H137">
        <v>2E+20</v>
      </c>
      <c r="I137">
        <v>0</v>
      </c>
      <c r="J137">
        <v>14</v>
      </c>
      <c r="K137">
        <v>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1.14670462555243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6.3862012006759796</v>
      </c>
      <c r="U137">
        <f>IF((ContinuousStatsTable[[#This Row],[RepsRequested]]&gt;1),ContinuousStatsTable[[#This Row],[HalfWidth]],ContinuousStatsTable[[#This Row],[BatchMeansHalfWidth]])</f>
        <v>0.37848292392452848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0.96696734486103797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0.44460892146328002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0.96696734486103797</v>
      </c>
      <c r="U138">
        <f>IF((ContinuousStatsTable[[#This Row],[RepsRequested]]&gt;1),ContinuousStatsTable[[#This Row],[HalfWidth]],ContinuousStatsTable[[#This Row],[BatchMeansHalfWidth]])</f>
        <v>3.8489312985140453E-2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1.9339346897220799</v>
      </c>
      <c r="H139">
        <v>2E+20</v>
      </c>
      <c r="I139">
        <v>0</v>
      </c>
      <c r="J139">
        <v>2</v>
      </c>
      <c r="K139">
        <v>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0.88921784292656103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1.9339346897220799</v>
      </c>
      <c r="U139">
        <f>IF((ContinuousStatsTable[[#This Row],[RepsRequested]]&gt;1),ContinuousStatsTable[[#This Row],[HalfWidth]],ContinuousStatsTable[[#This Row],[BatchMeansHalfWidth]])</f>
        <v>7.6978625970280448E-2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4.4522665109539004</v>
      </c>
      <c r="H141">
        <v>2E+20</v>
      </c>
      <c r="I141">
        <v>0</v>
      </c>
      <c r="J141">
        <v>12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0.19540731257165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4.4522665109539004</v>
      </c>
      <c r="U141">
        <f>IF((ContinuousStatsTable[[#This Row],[RepsRequested]]&gt;1),ContinuousStatsTable[[#This Row],[HalfWidth]],ContinuousStatsTable[[#This Row],[BatchMeansHalfWidth]])</f>
        <v>0.3159125326941864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3.1678637718211502</v>
      </c>
      <c r="H142">
        <v>2E+20</v>
      </c>
      <c r="I142">
        <v>0</v>
      </c>
      <c r="J142">
        <v>9</v>
      </c>
      <c r="K142">
        <v>6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1.14670462555243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6.3862012006759796</v>
      </c>
      <c r="U142">
        <f>IF((ContinuousStatsTable[[#This Row],[RepsRequested]]&gt;1),ContinuousStatsTable[[#This Row],[HalfWidth]],ContinuousStatsTable[[#This Row],[BatchMeansHalfWidth]])</f>
        <v>0.37848292392452848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0.77899813185011402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0.44460892146328002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0.96696734486103797</v>
      </c>
      <c r="U143">
        <f>IF((ContinuousStatsTable[[#This Row],[RepsRequested]]&gt;1),ContinuousStatsTable[[#This Row],[HalfWidth]],ContinuousStatsTable[[#This Row],[BatchMeansHalfWidth]])</f>
        <v>3.8489312985140453E-2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1.55799626370023</v>
      </c>
      <c r="H144">
        <v>2E+20</v>
      </c>
      <c r="I144">
        <v>0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0.88921784292656103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1.9339346897220799</v>
      </c>
      <c r="U144">
        <f>IF((ContinuousStatsTable[[#This Row],[RepsRequested]]&gt;1),ContinuousStatsTable[[#This Row],[HalfWidth]],ContinuousStatsTable[[#This Row],[BatchMeansHalfWidth]])</f>
        <v>7.6978625970280448E-2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1.6098675081209199</v>
      </c>
      <c r="H146">
        <v>2E+20</v>
      </c>
      <c r="I146">
        <v>0</v>
      </c>
      <c r="J146">
        <v>7</v>
      </c>
      <c r="K146">
        <v>4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0.19540731257165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4.4522665109539004</v>
      </c>
      <c r="U146">
        <f>IF((ContinuousStatsTable[[#This Row],[RepsRequested]]&gt;1),ContinuousStatsTable[[#This Row],[HalfWidth]],ContinuousStatsTable[[#This Row],[BatchMeansHalfWidth]])</f>
        <v>0.3159125326941864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2.3151440566586401</v>
      </c>
      <c r="H147">
        <v>2E+20</v>
      </c>
      <c r="I147">
        <v>0</v>
      </c>
      <c r="J147">
        <v>7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2.2932472525272605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1.0135958857304943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0.37848292392452848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1.14670462555243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6.3862012006759796</v>
      </c>
      <c r="U147">
        <f>IF((ContinuousStatsTable[[#This Row],[RepsRequested]]&gt;1),ContinuousStatsTable[[#This Row],[HalfWidth]],ContinuousStatsTable[[#This Row],[BatchMeansHalfWidth]])</f>
        <v>0.37848292392452848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0.74437796260025502</v>
      </c>
      <c r="H148">
        <v>2E+20</v>
      </c>
      <c r="I148">
        <v>0</v>
      </c>
      <c r="J148">
        <v>1</v>
      </c>
      <c r="K148">
        <v>0.5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0.66114135173630362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0.10307627324848868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3.8489312985140453E-2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0.44460892146328002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0.96696734486103797</v>
      </c>
      <c r="U148">
        <f>IF((ContinuousStatsTable[[#This Row],[RepsRequested]]&gt;1),ContinuousStatsTable[[#This Row],[HalfWidth]],ContinuousStatsTable[[#This Row],[BatchMeansHalfWidth]])</f>
        <v>3.8489312985140453E-2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1.48875592520051</v>
      </c>
      <c r="H149">
        <v>2E+20</v>
      </c>
      <c r="I149">
        <v>0</v>
      </c>
      <c r="J149">
        <v>2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1.3222827034726075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0.20615254649697617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7.6978625970280448E-2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0.88921784292656103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1.9339346897220799</v>
      </c>
      <c r="U149">
        <f>IF((ContinuousStatsTable[[#This Row],[RepsRequested]]&gt;1),ContinuousStatsTable[[#This Row],[HalfWidth]],ContinuousStatsTable[[#This Row],[BatchMeansHalfWidth]])</f>
        <v>7.6978625970280448E-2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0.82638813145813095</v>
      </c>
      <c r="H151">
        <v>2E+20</v>
      </c>
      <c r="I151">
        <v>0</v>
      </c>
      <c r="J151">
        <v>5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0.97096454905465335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0.84602930052764758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0.3159125326941864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0.19540731257165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4.4522665109539004</v>
      </c>
      <c r="U151">
        <f>IF((ContinuousStatsTable[[#This Row],[RepsRequested]]&gt;1),ContinuousStatsTable[[#This Row],[HalfWidth]],ContinuousStatsTable[[#This Row],[BatchMeansHalfWidth]])</f>
        <v>0.3159125326941864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82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87.1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9.5749313493532675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" cm="1">
        <f t="array" ref="N2">MIN(IF((CountersTable[GroupByKey]=CountersTable[[#This Row],[GroupByKey]]),(CountersTable[GroupByKey]=CountersTable[[#This Row],[GroupByKey]])*CountersTable[RecordedValue]))</f>
        <v>64</v>
      </c>
      <c r="O2" cm="1">
        <f t="array" ref="O2">MAX(IF((CountersTable[GroupByKey]=CountersTable[[#This Row],[GroupByKey]]),(CountersTable[GroupByKey]=CountersTable[[#This Row],[GroupByKey]])*CountersTable[RecordedValue]))</f>
        <v>111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34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27.933333333333334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17.884559577030902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" cm="1">
        <f t="array" ref="N3">MIN(IF((CountersTable[GroupByKey]=CountersTable[[#This Row],[GroupByKey]]),(CountersTable[GroupByKey]=CountersTable[[#This Row],[GroupByKey]])*CountersTable[RecordedValue]))</f>
        <v>6</v>
      </c>
      <c r="O3" cm="1">
        <f t="array" ref="O3">MAX(IF((CountersTable[GroupByKey]=CountersTable[[#This Row],[GroupByKey]]),(CountersTable[GroupByKey]=CountersTable[[#This Row],[GroupByKey]])*CountersTable[RecordedValue]))</f>
        <v>96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90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87.1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9.5749313493532675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" cm="1">
        <f t="array" ref="N4">MIN(IF((CountersTable[GroupByKey]=CountersTable[[#This Row],[GroupByKey]]),(CountersTable[GroupByKey]=CountersTable[[#This Row],[GroupByKey]])*CountersTable[RecordedValue]))</f>
        <v>64</v>
      </c>
      <c r="O4" cm="1">
        <f t="array" ref="O4">MAX(IF((CountersTable[GroupByKey]=CountersTable[[#This Row],[GroupByKey]]),(CountersTable[GroupByKey]=CountersTable[[#This Row],[GroupByKey]])*CountersTable[RecordedValue]))</f>
        <v>111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41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27.933333333333334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17.884559577030902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" cm="1">
        <f t="array" ref="N5">MIN(IF((CountersTable[GroupByKey]=CountersTable[[#This Row],[GroupByKey]]),(CountersTable[GroupByKey]=CountersTable[[#This Row],[GroupByKey]])*CountersTable[RecordedValue]))</f>
        <v>6</v>
      </c>
      <c r="O5" cm="1">
        <f t="array" ref="O5">MAX(IF((CountersTable[GroupByKey]=CountersTable[[#This Row],[GroupByKey]]),(CountersTable[GroupByKey]=CountersTable[[#This Row],[GroupByKey]])*CountersTable[RecordedValue]))</f>
        <v>96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99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87.1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9.5749313493532675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6" cm="1">
        <f t="array" ref="N6">MIN(IF((CountersTable[GroupByKey]=CountersTable[[#This Row],[GroupByKey]]),(CountersTable[GroupByKey]=CountersTable[[#This Row],[GroupByKey]])*CountersTable[RecordedValue]))</f>
        <v>64</v>
      </c>
      <c r="O6" cm="1">
        <f t="array" ref="O6">MAX(IF((CountersTable[GroupByKey]=CountersTable[[#This Row],[GroupByKey]]),(CountersTable[GroupByKey]=CountersTable[[#This Row],[GroupByKey]])*CountersTable[RecordedValue]))</f>
        <v>111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28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27.933333333333334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17.884559577030902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7" cm="1">
        <f t="array" ref="N7">MIN(IF((CountersTable[GroupByKey]=CountersTable[[#This Row],[GroupByKey]]),(CountersTable[GroupByKey]=CountersTable[[#This Row],[GroupByKey]])*CountersTable[RecordedValue]))</f>
        <v>6</v>
      </c>
      <c r="O7" cm="1">
        <f t="array" ref="O7">MAX(IF((CountersTable[GroupByKey]=CountersTable[[#This Row],[GroupByKey]]),(CountersTable[GroupByKey]=CountersTable[[#This Row],[GroupByKey]])*CountersTable[RecordedValue]))</f>
        <v>96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88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87.1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9.5749313493532675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8" cm="1">
        <f t="array" ref="N8">MIN(IF((CountersTable[GroupByKey]=CountersTable[[#This Row],[GroupByKey]]),(CountersTable[GroupByKey]=CountersTable[[#This Row],[GroupByKey]])*CountersTable[RecordedValue]))</f>
        <v>64</v>
      </c>
      <c r="O8" cm="1">
        <f t="array" ref="O8">MAX(IF((CountersTable[GroupByKey]=CountersTable[[#This Row],[GroupByKey]]),(CountersTable[GroupByKey]=CountersTable[[#This Row],[GroupByKey]])*CountersTable[RecordedValue]))</f>
        <v>111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19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27.933333333333334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17.884559577030902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9" cm="1">
        <f t="array" ref="N9">MIN(IF((CountersTable[GroupByKey]=CountersTable[[#This Row],[GroupByKey]]),(CountersTable[GroupByKey]=CountersTable[[#This Row],[GroupByKey]])*CountersTable[RecordedValue]))</f>
        <v>6</v>
      </c>
      <c r="O9" cm="1">
        <f t="array" ref="O9">MAX(IF((CountersTable[GroupByKey]=CountersTable[[#This Row],[GroupByKey]]),(CountersTable[GroupByKey]=CountersTable[[#This Row],[GroupByKey]])*CountersTable[RecordedValue]))</f>
        <v>96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97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87.1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9.5749313493532675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10" cm="1">
        <f t="array" ref="N10">MIN(IF((CountersTable[GroupByKey]=CountersTable[[#This Row],[GroupByKey]]),(CountersTable[GroupByKey]=CountersTable[[#This Row],[GroupByKey]])*CountersTable[RecordedValue]))</f>
        <v>64</v>
      </c>
      <c r="O10" cm="1">
        <f t="array" ref="O10">MAX(IF((CountersTable[GroupByKey]=CountersTable[[#This Row],[GroupByKey]]),(CountersTable[GroupByKey]=CountersTable[[#This Row],[GroupByKey]])*CountersTable[RecordedValue]))</f>
        <v>111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28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27.933333333333334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17.884559577030902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11" cm="1">
        <f t="array" ref="N11">MIN(IF((CountersTable[GroupByKey]=CountersTable[[#This Row],[GroupByKey]]),(CountersTable[GroupByKey]=CountersTable[[#This Row],[GroupByKey]])*CountersTable[RecordedValue]))</f>
        <v>6</v>
      </c>
      <c r="O11" cm="1">
        <f t="array" ref="O11">MAX(IF((CountersTable[GroupByKey]=CountersTable[[#This Row],[GroupByKey]]),(CountersTable[GroupByKey]=CountersTable[[#This Row],[GroupByKey]])*CountersTable[RecordedValue]))</f>
        <v>96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87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87.1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9.5749313493532675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12" s="5" cm="1">
        <f t="array" ref="N12">MIN(IF((CountersTable[GroupByKey]=CountersTable[[#This Row],[GroupByKey]]),(CountersTable[GroupByKey]=CountersTable[[#This Row],[GroupByKey]])*CountersTable[RecordedValue]))</f>
        <v>64</v>
      </c>
      <c r="O12" s="5" cm="1">
        <f t="array" ref="O12">MAX(IF((CountersTable[GroupByKey]=CountersTable[[#This Row],[GroupByKey]]),(CountersTable[GroupByKey]=CountersTable[[#This Row],[GroupByKey]])*CountersTable[RecordedValue]))</f>
        <v>111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12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27.933333333333334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17.884559577030902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13" s="5" cm="1">
        <f t="array" ref="N13">MIN(IF((CountersTable[GroupByKey]=CountersTable[[#This Row],[GroupByKey]]),(CountersTable[GroupByKey]=CountersTable[[#This Row],[GroupByKey]])*CountersTable[RecordedValue]))</f>
        <v>6</v>
      </c>
      <c r="O13" s="5" cm="1">
        <f t="array" ref="O13">MAX(IF((CountersTable[GroupByKey]=CountersTable[[#This Row],[GroupByKey]]),(CountersTable[GroupByKey]=CountersTable[[#This Row],[GroupByKey]])*CountersTable[RecordedValue]))</f>
        <v>96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87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87.1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9.5749313493532675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14" s="5" cm="1">
        <f t="array" ref="N14">MIN(IF((CountersTable[GroupByKey]=CountersTable[[#This Row],[GroupByKey]]),(CountersTable[GroupByKey]=CountersTable[[#This Row],[GroupByKey]])*CountersTable[RecordedValue]))</f>
        <v>64</v>
      </c>
      <c r="O14" s="5" cm="1">
        <f t="array" ref="O14">MAX(IF((CountersTable[GroupByKey]=CountersTable[[#This Row],[GroupByKey]]),(CountersTable[GroupByKey]=CountersTable[[#This Row],[GroupByKey]])*CountersTable[RecordedValue]))</f>
        <v>111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48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27.933333333333334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17.884559577030902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15" s="5" cm="1">
        <f t="array" ref="N15">MIN(IF((CountersTable[GroupByKey]=CountersTable[[#This Row],[GroupByKey]]),(CountersTable[GroupByKey]=CountersTable[[#This Row],[GroupByKey]])*CountersTable[RecordedValue]))</f>
        <v>6</v>
      </c>
      <c r="O15" s="5" cm="1">
        <f t="array" ref="O15">MAX(IF((CountersTable[GroupByKey]=CountersTable[[#This Row],[GroupByKey]]),(CountersTable[GroupByKey]=CountersTable[[#This Row],[GroupByKey]])*CountersTable[RecordedValue]))</f>
        <v>96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74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87.1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9.5749313493532675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16" s="5" cm="1">
        <f t="array" ref="N16">MIN(IF((CountersTable[GroupByKey]=CountersTable[[#This Row],[GroupByKey]]),(CountersTable[GroupByKey]=CountersTable[[#This Row],[GroupByKey]])*CountersTable[RecordedValue]))</f>
        <v>64</v>
      </c>
      <c r="O16" s="5" cm="1">
        <f t="array" ref="O16">MAX(IF((CountersTable[GroupByKey]=CountersTable[[#This Row],[GroupByKey]]),(CountersTable[GroupByKey]=CountersTable[[#This Row],[GroupByKey]])*CountersTable[RecordedValue]))</f>
        <v>111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19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27.933333333333334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17.884559577030902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17" s="5" cm="1">
        <f t="array" ref="N17">MIN(IF((CountersTable[GroupByKey]=CountersTable[[#This Row],[GroupByKey]]),(CountersTable[GroupByKey]=CountersTable[[#This Row],[GroupByKey]])*CountersTable[RecordedValue]))</f>
        <v>6</v>
      </c>
      <c r="O17" s="5" cm="1">
        <f t="array" ref="O17">MAX(IF((CountersTable[GroupByKey]=CountersTable[[#This Row],[GroupByKey]]),(CountersTable[GroupByKey]=CountersTable[[#This Row],[GroupByKey]])*CountersTable[RecordedValue]))</f>
        <v>96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84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87.1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9.5749313493532675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18" s="5" cm="1">
        <f t="array" ref="N18">MIN(IF((CountersTable[GroupByKey]=CountersTable[[#This Row],[GroupByKey]]),(CountersTable[GroupByKey]=CountersTable[[#This Row],[GroupByKey]])*CountersTable[RecordedValue]))</f>
        <v>64</v>
      </c>
      <c r="O18" s="5" cm="1">
        <f t="array" ref="O18">MAX(IF((CountersTable[GroupByKey]=CountersTable[[#This Row],[GroupByKey]]),(CountersTable[GroupByKey]=CountersTable[[#This Row],[GroupByKey]])*CountersTable[RecordedValue]))</f>
        <v>111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12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27.933333333333334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17.884559577030902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19" s="5" cm="1">
        <f t="array" ref="N19">MIN(IF((CountersTable[GroupByKey]=CountersTable[[#This Row],[GroupByKey]]),(CountersTable[GroupByKey]=CountersTable[[#This Row],[GroupByKey]])*CountersTable[RecordedValue]))</f>
        <v>6</v>
      </c>
      <c r="O19" s="5" cm="1">
        <f t="array" ref="O19">MAX(IF((CountersTable[GroupByKey]=CountersTable[[#This Row],[GroupByKey]]),(CountersTable[GroupByKey]=CountersTable[[#This Row],[GroupByKey]])*CountersTable[RecordedValue]))</f>
        <v>96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94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87.1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9.5749313493532675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0" s="5" cm="1">
        <f t="array" ref="N20">MIN(IF((CountersTable[GroupByKey]=CountersTable[[#This Row],[GroupByKey]]),(CountersTable[GroupByKey]=CountersTable[[#This Row],[GroupByKey]])*CountersTable[RecordedValue]))</f>
        <v>64</v>
      </c>
      <c r="O20" s="5" cm="1">
        <f t="array" ref="O20">MAX(IF((CountersTable[GroupByKey]=CountersTable[[#This Row],[GroupByKey]]),(CountersTable[GroupByKey]=CountersTable[[#This Row],[GroupByKey]])*CountersTable[RecordedValue]))</f>
        <v>111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45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27.933333333333334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17.884559577030902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21" s="5" cm="1">
        <f t="array" ref="N21">MIN(IF((CountersTable[GroupByKey]=CountersTable[[#This Row],[GroupByKey]]),(CountersTable[GroupByKey]=CountersTable[[#This Row],[GroupByKey]])*CountersTable[RecordedValue]))</f>
        <v>6</v>
      </c>
      <c r="O21" s="5" cm="1">
        <f t="array" ref="O21">MAX(IF((CountersTable[GroupByKey]=CountersTable[[#This Row],[GroupByKey]]),(CountersTable[GroupByKey]=CountersTable[[#This Row],[GroupByKey]])*CountersTable[RecordedValue]))</f>
        <v>96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87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87.1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9.5749313493532675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2" s="5" cm="1">
        <f t="array" ref="N22">MIN(IF((CountersTable[GroupByKey]=CountersTable[[#This Row],[GroupByKey]]),(CountersTable[GroupByKey]=CountersTable[[#This Row],[GroupByKey]])*CountersTable[RecordedValue]))</f>
        <v>64</v>
      </c>
      <c r="O22" s="5" cm="1">
        <f t="array" ref="O22">MAX(IF((CountersTable[GroupByKey]=CountersTable[[#This Row],[GroupByKey]]),(CountersTable[GroupByKey]=CountersTable[[#This Row],[GroupByKey]])*CountersTable[RecordedValue]))</f>
        <v>111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16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27.933333333333334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17.884559577030902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23" s="5" cm="1">
        <f t="array" ref="N23">MIN(IF((CountersTable[GroupByKey]=CountersTable[[#This Row],[GroupByKey]]),(CountersTable[GroupByKey]=CountersTable[[#This Row],[GroupByKey]])*CountersTable[RecordedValue]))</f>
        <v>6</v>
      </c>
      <c r="O23" s="5" cm="1">
        <f t="array" ref="O23">MAX(IF((CountersTable[GroupByKey]=CountersTable[[#This Row],[GroupByKey]]),(CountersTable[GroupByKey]=CountersTable[[#This Row],[GroupByKey]])*CountersTable[RecordedValue]))</f>
        <v>96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92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87.1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9.5749313493532675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4" s="5" cm="1">
        <f t="array" ref="N24">MIN(IF((CountersTable[GroupByKey]=CountersTable[[#This Row],[GroupByKey]]),(CountersTable[GroupByKey]=CountersTable[[#This Row],[GroupByKey]])*CountersTable[RecordedValue]))</f>
        <v>64</v>
      </c>
      <c r="O24" s="5" cm="1">
        <f t="array" ref="O24">MAX(IF((CountersTable[GroupByKey]=CountersTable[[#This Row],[GroupByKey]]),(CountersTable[GroupByKey]=CountersTable[[#This Row],[GroupByKey]])*CountersTable[RecordedValue]))</f>
        <v>111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58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27.933333333333334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17.884559577030902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25" s="5" cm="1">
        <f t="array" ref="N25">MIN(IF((CountersTable[GroupByKey]=CountersTable[[#This Row],[GroupByKey]]),(CountersTable[GroupByKey]=CountersTable[[#This Row],[GroupByKey]])*CountersTable[RecordedValue]))</f>
        <v>6</v>
      </c>
      <c r="O25" s="5" cm="1">
        <f t="array" ref="O25">MAX(IF((CountersTable[GroupByKey]=CountersTable[[#This Row],[GroupByKey]]),(CountersTable[GroupByKey]=CountersTable[[#This Row],[GroupByKey]])*CountersTable[RecordedValue]))</f>
        <v>96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88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87.1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9.5749313493532675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6" s="5" cm="1">
        <f t="array" ref="N26">MIN(IF((CountersTable[GroupByKey]=CountersTable[[#This Row],[GroupByKey]]),(CountersTable[GroupByKey]=CountersTable[[#This Row],[GroupByKey]])*CountersTable[RecordedValue]))</f>
        <v>64</v>
      </c>
      <c r="O26" s="5" cm="1">
        <f t="array" ref="O26">MAX(IF((CountersTable[GroupByKey]=CountersTable[[#This Row],[GroupByKey]]),(CountersTable[GroupByKey]=CountersTable[[#This Row],[GroupByKey]])*CountersTable[RecordedValue]))</f>
        <v>111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20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27.933333333333334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17.884559577030902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27" s="5" cm="1">
        <f t="array" ref="N27">MIN(IF((CountersTable[GroupByKey]=CountersTable[[#This Row],[GroupByKey]]),(CountersTable[GroupByKey]=CountersTable[[#This Row],[GroupByKey]])*CountersTable[RecordedValue]))</f>
        <v>6</v>
      </c>
      <c r="O27" s="5" cm="1">
        <f t="array" ref="O27">MAX(IF((CountersTable[GroupByKey]=CountersTable[[#This Row],[GroupByKey]]),(CountersTable[GroupByKey]=CountersTable[[#This Row],[GroupByKey]])*CountersTable[RecordedValue]))</f>
        <v>96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87.1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9.5749313493532675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28" s="5" cm="1">
        <f t="array" ref="N28">MIN(IF((CountersTable[GroupByKey]=CountersTable[[#This Row],[GroupByKey]]),(CountersTable[GroupByKey]=CountersTable[[#This Row],[GroupByKey]])*CountersTable[RecordedValue]))</f>
        <v>64</v>
      </c>
      <c r="O28" s="5" cm="1">
        <f t="array" ref="O28">MAX(IF((CountersTable[GroupByKey]=CountersTable[[#This Row],[GroupByKey]]),(CountersTable[GroupByKey]=CountersTable[[#This Row],[GroupByKey]])*CountersTable[RecordedValue]))</f>
        <v>111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29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27.933333333333334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17.884559577030902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29" s="5" cm="1">
        <f t="array" ref="N29">MIN(IF((CountersTable[GroupByKey]=CountersTable[[#This Row],[GroupByKey]]),(CountersTable[GroupByKey]=CountersTable[[#This Row],[GroupByKey]])*CountersTable[RecordedValue]))</f>
        <v>6</v>
      </c>
      <c r="O29" s="5" cm="1">
        <f t="array" ref="O29">MAX(IF((CountersTable[GroupByKey]=CountersTable[[#This Row],[GroupByKey]]),(CountersTable[GroupByKey]=CountersTable[[#This Row],[GroupByKey]])*CountersTable[RecordedValue]))</f>
        <v>96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82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87.1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9.5749313493532675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30" s="5" cm="1">
        <f t="array" ref="N30">MIN(IF((CountersTable[GroupByKey]=CountersTable[[#This Row],[GroupByKey]]),(CountersTable[GroupByKey]=CountersTable[[#This Row],[GroupByKey]])*CountersTable[RecordedValue]))</f>
        <v>64</v>
      </c>
      <c r="O30" s="5" cm="1">
        <f t="array" ref="O30">MAX(IF((CountersTable[GroupByKey]=CountersTable[[#This Row],[GroupByKey]]),(CountersTable[GroupByKey]=CountersTable[[#This Row],[GroupByKey]])*CountersTable[RecordedValue]))</f>
        <v>111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9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27.933333333333334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17.884559577030902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1" s="5" cm="1">
        <f t="array" ref="N31">MIN(IF((CountersTable[GroupByKey]=CountersTable[[#This Row],[GroupByKey]]),(CountersTable[GroupByKey]=CountersTable[[#This Row],[GroupByKey]])*CountersTable[RecordedValue]))</f>
        <v>6</v>
      </c>
      <c r="O31" s="5" cm="1">
        <f t="array" ref="O31">MAX(IF((CountersTable[GroupByKey]=CountersTable[[#This Row],[GroupByKey]]),(CountersTable[GroupByKey]=CountersTable[[#This Row],[GroupByKey]])*CountersTable[RecordedValue]))</f>
        <v>96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83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87.1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9.5749313493532675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32" s="5" cm="1">
        <f t="array" ref="N32">MIN(IF((CountersTable[GroupByKey]=CountersTable[[#This Row],[GroupByKey]]),(CountersTable[GroupByKey]=CountersTable[[#This Row],[GroupByKey]])*CountersTable[RecordedValue]))</f>
        <v>64</v>
      </c>
      <c r="O32" s="5" cm="1">
        <f t="array" ref="O32">MAX(IF((CountersTable[GroupByKey]=CountersTable[[#This Row],[GroupByKey]]),(CountersTable[GroupByKey]=CountersTable[[#This Row],[GroupByKey]])*CountersTable[RecordedValue]))</f>
        <v>111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30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27.933333333333334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17.884559577030902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3" s="5" cm="1">
        <f t="array" ref="N33">MIN(IF((CountersTable[GroupByKey]=CountersTable[[#This Row],[GroupByKey]]),(CountersTable[GroupByKey]=CountersTable[[#This Row],[GroupByKey]])*CountersTable[RecordedValue]))</f>
        <v>6</v>
      </c>
      <c r="O33" s="5" cm="1">
        <f t="array" ref="O33">MAX(IF((CountersTable[GroupByKey]=CountersTable[[#This Row],[GroupByKey]]),(CountersTable[GroupByKey]=CountersTable[[#This Row],[GroupByKey]])*CountersTable[RecordedValue]))</f>
        <v>96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67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87.1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9.5749313493532675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34" s="5" cm="1">
        <f t="array" ref="N34">MIN(IF((CountersTable[GroupByKey]=CountersTable[[#This Row],[GroupByKey]]),(CountersTable[GroupByKey]=CountersTable[[#This Row],[GroupByKey]])*CountersTable[RecordedValue]))</f>
        <v>64</v>
      </c>
      <c r="O34" s="5" cm="1">
        <f t="array" ref="O34">MAX(IF((CountersTable[GroupByKey]=CountersTable[[#This Row],[GroupByKey]]),(CountersTable[GroupByKey]=CountersTable[[#This Row],[GroupByKey]])*CountersTable[RecordedValue]))</f>
        <v>111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14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27.933333333333334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17.884559577030902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5" s="5" cm="1">
        <f t="array" ref="N35">MIN(IF((CountersTable[GroupByKey]=CountersTable[[#This Row],[GroupByKey]]),(CountersTable[GroupByKey]=CountersTable[[#This Row],[GroupByKey]])*CountersTable[RecordedValue]))</f>
        <v>6</v>
      </c>
      <c r="O35" s="5" cm="1">
        <f t="array" ref="O35">MAX(IF((CountersTable[GroupByKey]=CountersTable[[#This Row],[GroupByKey]]),(CountersTable[GroupByKey]=CountersTable[[#This Row],[GroupByKey]])*CountersTable[RecordedValue]))</f>
        <v>96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89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87.1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9.5749313493532675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36" s="5" cm="1">
        <f t="array" ref="N36">MIN(IF((CountersTable[GroupByKey]=CountersTable[[#This Row],[GroupByKey]]),(CountersTable[GroupByKey]=CountersTable[[#This Row],[GroupByKey]])*CountersTable[RecordedValue]))</f>
        <v>64</v>
      </c>
      <c r="O36" s="5" cm="1">
        <f t="array" ref="O36">MAX(IF((CountersTable[GroupByKey]=CountersTable[[#This Row],[GroupByKey]]),(CountersTable[GroupByKey]=CountersTable[[#This Row],[GroupByKey]])*CountersTable[RecordedValue]))</f>
        <v>111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16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27.933333333333334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17.884559577030902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7" s="5" cm="1">
        <f t="array" ref="N37">MIN(IF((CountersTable[GroupByKey]=CountersTable[[#This Row],[GroupByKey]]),(CountersTable[GroupByKey]=CountersTable[[#This Row],[GroupByKey]])*CountersTable[RecordedValue]))</f>
        <v>6</v>
      </c>
      <c r="O37" s="5" cm="1">
        <f t="array" ref="O37">MAX(IF((CountersTable[GroupByKey]=CountersTable[[#This Row],[GroupByKey]]),(CountersTable[GroupByKey]=CountersTable[[#This Row],[GroupByKey]])*CountersTable[RecordedValue]))</f>
        <v>96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75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87.1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9.5749313493532675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38" s="5" cm="1">
        <f t="array" ref="N38">MIN(IF((CountersTable[GroupByKey]=CountersTable[[#This Row],[GroupByKey]]),(CountersTable[GroupByKey]=CountersTable[[#This Row],[GroupByKey]])*CountersTable[RecordedValue]))</f>
        <v>64</v>
      </c>
      <c r="O38" s="5" cm="1">
        <f t="array" ref="O38">MAX(IF((CountersTable[GroupByKey]=CountersTable[[#This Row],[GroupByKey]]),(CountersTable[GroupByKey]=CountersTable[[#This Row],[GroupByKey]])*CountersTable[RecordedValue]))</f>
        <v>111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27.933333333333334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17.884559577030902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39" s="5" cm="1">
        <f t="array" ref="N39">MIN(IF((CountersTable[GroupByKey]=CountersTable[[#This Row],[GroupByKey]]),(CountersTable[GroupByKey]=CountersTable[[#This Row],[GroupByKey]])*CountersTable[RecordedValue]))</f>
        <v>6</v>
      </c>
      <c r="O39" s="5" cm="1">
        <f t="array" ref="O39">MAX(IF((CountersTable[GroupByKey]=CountersTable[[#This Row],[GroupByKey]]),(CountersTable[GroupByKey]=CountersTable[[#This Row],[GroupByKey]])*CountersTable[RecordedValue]))</f>
        <v>96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87.1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9.5749313493532675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0" s="5" cm="1">
        <f t="array" ref="N40">MIN(IF((CountersTable[GroupByKey]=CountersTable[[#This Row],[GroupByKey]]),(CountersTable[GroupByKey]=CountersTable[[#This Row],[GroupByKey]])*CountersTable[RecordedValue]))</f>
        <v>64</v>
      </c>
      <c r="O40" s="5" cm="1">
        <f t="array" ref="O40">MAX(IF((CountersTable[GroupByKey]=CountersTable[[#This Row],[GroupByKey]]),(CountersTable[GroupByKey]=CountersTable[[#This Row],[GroupByKey]])*CountersTable[RecordedValue]))</f>
        <v>111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23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27.933333333333334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17.884559577030902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41" s="5" cm="1">
        <f t="array" ref="N41">MIN(IF((CountersTable[GroupByKey]=CountersTable[[#This Row],[GroupByKey]]),(CountersTable[GroupByKey]=CountersTable[[#This Row],[GroupByKey]])*CountersTable[RecordedValue]))</f>
        <v>6</v>
      </c>
      <c r="O41" s="5" cm="1">
        <f t="array" ref="O41">MAX(IF((CountersTable[GroupByKey]=CountersTable[[#This Row],[GroupByKey]]),(CountersTable[GroupByKey]=CountersTable[[#This Row],[GroupByKey]])*CountersTable[RecordedValue]))</f>
        <v>96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97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87.1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9.5749313493532675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2" s="5" cm="1">
        <f t="array" ref="N42">MIN(IF((CountersTable[GroupByKey]=CountersTable[[#This Row],[GroupByKey]]),(CountersTable[GroupByKey]=CountersTable[[#This Row],[GroupByKey]])*CountersTable[RecordedValue]))</f>
        <v>64</v>
      </c>
      <c r="O42" s="5" cm="1">
        <f t="array" ref="O42">MAX(IF((CountersTable[GroupByKey]=CountersTable[[#This Row],[GroupByKey]]),(CountersTable[GroupByKey]=CountersTable[[#This Row],[GroupByKey]])*CountersTable[RecordedValue]))</f>
        <v>111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29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27.933333333333334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17.884559577030902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43" s="5" cm="1">
        <f t="array" ref="N43">MIN(IF((CountersTable[GroupByKey]=CountersTable[[#This Row],[GroupByKey]]),(CountersTable[GroupByKey]=CountersTable[[#This Row],[GroupByKey]])*CountersTable[RecordedValue]))</f>
        <v>6</v>
      </c>
      <c r="O43" s="5" cm="1">
        <f t="array" ref="O43">MAX(IF((CountersTable[GroupByKey]=CountersTable[[#This Row],[GroupByKey]]),(CountersTable[GroupByKey]=CountersTable[[#This Row],[GroupByKey]])*CountersTable[RecordedValue]))</f>
        <v>96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79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87.1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9.5749313493532675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4" s="5" cm="1">
        <f t="array" ref="N44">MIN(IF((CountersTable[GroupByKey]=CountersTable[[#This Row],[GroupByKey]]),(CountersTable[GroupByKey]=CountersTable[[#This Row],[GroupByKey]])*CountersTable[RecordedValue]))</f>
        <v>64</v>
      </c>
      <c r="O44" s="5" cm="1">
        <f t="array" ref="O44">MAX(IF((CountersTable[GroupByKey]=CountersTable[[#This Row],[GroupByKey]]),(CountersTable[GroupByKey]=CountersTable[[#This Row],[GroupByKey]])*CountersTable[RecordedValue]))</f>
        <v>111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16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27.933333333333334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17.884559577030902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45" s="5" cm="1">
        <f t="array" ref="N45">MIN(IF((CountersTable[GroupByKey]=CountersTable[[#This Row],[GroupByKey]]),(CountersTable[GroupByKey]=CountersTable[[#This Row],[GroupByKey]])*CountersTable[RecordedValue]))</f>
        <v>6</v>
      </c>
      <c r="O45" s="5" cm="1">
        <f t="array" ref="O45">MAX(IF((CountersTable[GroupByKey]=CountersTable[[#This Row],[GroupByKey]]),(CountersTable[GroupByKey]=CountersTable[[#This Row],[GroupByKey]])*CountersTable[RecordedValue]))</f>
        <v>96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90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87.1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9.5749313493532675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6" s="5" cm="1">
        <f t="array" ref="N46">MIN(IF((CountersTable[GroupByKey]=CountersTable[[#This Row],[GroupByKey]]),(CountersTable[GroupByKey]=CountersTable[[#This Row],[GroupByKey]])*CountersTable[RecordedValue]))</f>
        <v>64</v>
      </c>
      <c r="O46" s="5" cm="1">
        <f t="array" ref="O46">MAX(IF((CountersTable[GroupByKey]=CountersTable[[#This Row],[GroupByKey]]),(CountersTable[GroupByKey]=CountersTable[[#This Row],[GroupByKey]])*CountersTable[RecordedValue]))</f>
        <v>111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23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27.933333333333334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17.884559577030902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47" s="5" cm="1">
        <f t="array" ref="N47">MIN(IF((CountersTable[GroupByKey]=CountersTable[[#This Row],[GroupByKey]]),(CountersTable[GroupByKey]=CountersTable[[#This Row],[GroupByKey]])*CountersTable[RecordedValue]))</f>
        <v>6</v>
      </c>
      <c r="O47" s="5" cm="1">
        <f t="array" ref="O47">MAX(IF((CountersTable[GroupByKey]=CountersTable[[#This Row],[GroupByKey]]),(CountersTable[GroupByKey]=CountersTable[[#This Row],[GroupByKey]])*CountersTable[RecordedValue]))</f>
        <v>96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64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87.1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9.5749313493532675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48" s="5" cm="1">
        <f t="array" ref="N48">MIN(IF((CountersTable[GroupByKey]=CountersTable[[#This Row],[GroupByKey]]),(CountersTable[GroupByKey]=CountersTable[[#This Row],[GroupByKey]])*CountersTable[RecordedValue]))</f>
        <v>64</v>
      </c>
      <c r="O48" s="5" cm="1">
        <f t="array" ref="O48">MAX(IF((CountersTable[GroupByKey]=CountersTable[[#This Row],[GroupByKey]]),(CountersTable[GroupByKey]=CountersTable[[#This Row],[GroupByKey]])*CountersTable[RecordedValue]))</f>
        <v>111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6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27.933333333333334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17.884559577030902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49" s="5" cm="1">
        <f t="array" ref="N49">MIN(IF((CountersTable[GroupByKey]=CountersTable[[#This Row],[GroupByKey]]),(CountersTable[GroupByKey]=CountersTable[[#This Row],[GroupByKey]])*CountersTable[RecordedValue]))</f>
        <v>6</v>
      </c>
      <c r="O49" s="5" cm="1">
        <f t="array" ref="O49">MAX(IF((CountersTable[GroupByKey]=CountersTable[[#This Row],[GroupByKey]]),(CountersTable[GroupByKey]=CountersTable[[#This Row],[GroupByKey]])*CountersTable[RecordedValue]))</f>
        <v>96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87.1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9.5749313493532675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50" s="5" cm="1">
        <f t="array" ref="N50">MIN(IF((CountersTable[GroupByKey]=CountersTable[[#This Row],[GroupByKey]]),(CountersTable[GroupByKey]=CountersTable[[#This Row],[GroupByKey]])*CountersTable[RecordedValue]))</f>
        <v>64</v>
      </c>
      <c r="O50" s="5" cm="1">
        <f t="array" ref="O50">MAX(IF((CountersTable[GroupByKey]=CountersTable[[#This Row],[GroupByKey]]),(CountersTable[GroupByKey]=CountersTable[[#This Row],[GroupByKey]])*CountersTable[RecordedValue]))</f>
        <v>111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22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27.933333333333334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17.884559577030902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1" s="5" cm="1">
        <f t="array" ref="N51">MIN(IF((CountersTable[GroupByKey]=CountersTable[[#This Row],[GroupByKey]]),(CountersTable[GroupByKey]=CountersTable[[#This Row],[GroupByKey]])*CountersTable[RecordedValue]))</f>
        <v>6</v>
      </c>
      <c r="O51" s="5" cm="1">
        <f t="array" ref="O51">MAX(IF((CountersTable[GroupByKey]=CountersTable[[#This Row],[GroupByKey]]),(CountersTable[GroupByKey]=CountersTable[[#This Row],[GroupByKey]])*CountersTable[RecordedValue]))</f>
        <v>96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82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87.1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9.5749313493532675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52" s="5" cm="1">
        <f t="array" ref="N52">MIN(IF((CountersTable[GroupByKey]=CountersTable[[#This Row],[GroupByKey]]),(CountersTable[GroupByKey]=CountersTable[[#This Row],[GroupByKey]])*CountersTable[RecordedValue]))</f>
        <v>64</v>
      </c>
      <c r="O52" s="5" cm="1">
        <f t="array" ref="O52">MAX(IF((CountersTable[GroupByKey]=CountersTable[[#This Row],[GroupByKey]]),(CountersTable[GroupByKey]=CountersTable[[#This Row],[GroupByKey]])*CountersTable[RecordedValue]))</f>
        <v>111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34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27.933333333333334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17.884559577030902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3" s="5" cm="1">
        <f t="array" ref="N53">MIN(IF((CountersTable[GroupByKey]=CountersTable[[#This Row],[GroupByKey]]),(CountersTable[GroupByKey]=CountersTable[[#This Row],[GroupByKey]])*CountersTable[RecordedValue]))</f>
        <v>6</v>
      </c>
      <c r="O53" s="5" cm="1">
        <f t="array" ref="O53">MAX(IF((CountersTable[GroupByKey]=CountersTable[[#This Row],[GroupByKey]]),(CountersTable[GroupByKey]=CountersTable[[#This Row],[GroupByKey]])*CountersTable[RecordedValue]))</f>
        <v>96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89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87.1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9.5749313493532675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54" s="5" cm="1">
        <f t="array" ref="N54">MIN(IF((CountersTable[GroupByKey]=CountersTable[[#This Row],[GroupByKey]]),(CountersTable[GroupByKey]=CountersTable[[#This Row],[GroupByKey]])*CountersTable[RecordedValue]))</f>
        <v>64</v>
      </c>
      <c r="O54" s="5" cm="1">
        <f t="array" ref="O54">MAX(IF((CountersTable[GroupByKey]=CountersTable[[#This Row],[GroupByKey]]),(CountersTable[GroupByKey]=CountersTable[[#This Row],[GroupByKey]])*CountersTable[RecordedValue]))</f>
        <v>111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33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27.933333333333334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17.884559577030902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5" s="5" cm="1">
        <f t="array" ref="N55">MIN(IF((CountersTable[GroupByKey]=CountersTable[[#This Row],[GroupByKey]]),(CountersTable[GroupByKey]=CountersTable[[#This Row],[GroupByKey]])*CountersTable[RecordedValue]))</f>
        <v>6</v>
      </c>
      <c r="O55" s="5" cm="1">
        <f t="array" ref="O55">MAX(IF((CountersTable[GroupByKey]=CountersTable[[#This Row],[GroupByKey]]),(CountersTable[GroupByKey]=CountersTable[[#This Row],[GroupByKey]])*CountersTable[RecordedValue]))</f>
        <v>96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111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87.1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9.5749313493532675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56" s="5" cm="1">
        <f t="array" ref="N56">MIN(IF((CountersTable[GroupByKey]=CountersTable[[#This Row],[GroupByKey]]),(CountersTable[GroupByKey]=CountersTable[[#This Row],[GroupByKey]])*CountersTable[RecordedValue]))</f>
        <v>64</v>
      </c>
      <c r="O56" s="5" cm="1">
        <f t="array" ref="O56">MAX(IF((CountersTable[GroupByKey]=CountersTable[[#This Row],[GroupByKey]]),(CountersTable[GroupByKey]=CountersTable[[#This Row],[GroupByKey]])*CountersTable[RecordedValue]))</f>
        <v>111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96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27.933333333333334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17.884559577030902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7" s="5" cm="1">
        <f t="array" ref="N57">MIN(IF((CountersTable[GroupByKey]=CountersTable[[#This Row],[GroupByKey]]),(CountersTable[GroupByKey]=CountersTable[[#This Row],[GroupByKey]])*CountersTable[RecordedValue]))</f>
        <v>6</v>
      </c>
      <c r="O57" s="5" cm="1">
        <f t="array" ref="O57">MAX(IF((CountersTable[GroupByKey]=CountersTable[[#This Row],[GroupByKey]]),(CountersTable[GroupByKey]=CountersTable[[#This Row],[GroupByKey]])*CountersTable[RecordedValue]))</f>
        <v>96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93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87.1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9.5749313493532675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58" s="5" cm="1">
        <f t="array" ref="N58">MIN(IF((CountersTable[GroupByKey]=CountersTable[[#This Row],[GroupByKey]]),(CountersTable[GroupByKey]=CountersTable[[#This Row],[GroupByKey]])*CountersTable[RecordedValue]))</f>
        <v>64</v>
      </c>
      <c r="O58" s="5" cm="1">
        <f t="array" ref="O58">MAX(IF((CountersTable[GroupByKey]=CountersTable[[#This Row],[GroupByKey]]),(CountersTable[GroupByKey]=CountersTable[[#This Row],[GroupByKey]])*CountersTable[RecordedValue]))</f>
        <v>111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41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27.933333333333334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17.884559577030902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59" s="5" cm="1">
        <f t="array" ref="N59">MIN(IF((CountersTable[GroupByKey]=CountersTable[[#This Row],[GroupByKey]]),(CountersTable[GroupByKey]=CountersTable[[#This Row],[GroupByKey]])*CountersTable[RecordedValue]))</f>
        <v>6</v>
      </c>
      <c r="O59" s="5" cm="1">
        <f t="array" ref="O59">MAX(IF((CountersTable[GroupByKey]=CountersTable[[#This Row],[GroupByKey]]),(CountersTable[GroupByKey]=CountersTable[[#This Row],[GroupByKey]])*CountersTable[RecordedValue]))</f>
        <v>96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100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87.1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9.5749313493532675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3.575338124886025</v>
      </c>
      <c r="N60" s="5" cm="1">
        <f t="array" ref="N60">MIN(IF((CountersTable[GroupByKey]=CountersTable[[#This Row],[GroupByKey]]),(CountersTable[GroupByKey]=CountersTable[[#This Row],[GroupByKey]])*CountersTable[RecordedValue]))</f>
        <v>64</v>
      </c>
      <c r="O60" s="5" cm="1">
        <f t="array" ref="O60">MAX(IF((CountersTable[GroupByKey]=CountersTable[[#This Row],[GroupByKey]]),(CountersTable[GroupByKey]=CountersTable[[#This Row],[GroupByKey]])*CountersTable[RecordedValue]))</f>
        <v>111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27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27.933333333333334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17.884559577030902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6.6782042992791881</v>
      </c>
      <c r="N61" s="5" cm="1">
        <f t="array" ref="N61">MIN(IF((CountersTable[GroupByKey]=CountersTable[[#This Row],[GroupByKey]]),(CountersTable[GroupByKey]=CountersTable[[#This Row],[GroupByKey]])*CountersTable[RecordedValue]))</f>
        <v>6</v>
      </c>
      <c r="O61" s="5" cm="1">
        <f t="array" ref="O61">MAX(IF((CountersTable[GroupByKey]=CountersTable[[#This Row],[GroupByKey]]),(CountersTable[GroupByKey]=CountersTable[[#This Row],[GroupByKey]])*CountersTable[RecordedValue]))</f>
        <v>96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82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89.233333333333334</v>
      </c>
      <c r="L2" cm="1">
        <f t="array" ref="L2">IFERROR(_xlfn.STDEV.S(IF((OutputTable[GroupByKey]=OutputTable[[#This Row],[GroupByKey]]),(OutputTable[GroupByKey]=OutputTable[[#This Row],[GroupByKey]])*OutputTable[RecordedValue])),0)</f>
        <v>9.8949075489515774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2" cm="1">
        <f t="array" ref="O2">MIN(IF((OutputTable[GroupByKey]=OutputTable[[#This Row],[GroupByKey]]),(OutputTable[GroupByKey]=OutputTable[[#This Row],[GroupByKey]])*OutputTable[RecordedValue]))</f>
        <v>68</v>
      </c>
      <c r="P2" cm="1">
        <f t="array" ref="P2">MAX(IF((OutputTable[GroupByKey]=OutputTable[[#This Row],[GroupByKey]]),(OutputTable[GroupByKey]=OutputTable[[#This Row],[GroupByKey]])*OutputTable[RecordedValue]))</f>
        <v>113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82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87.1</v>
      </c>
      <c r="L3" cm="1">
        <f t="array" ref="L3">IFERROR(_xlfn.STDEV.S(IF((OutputTable[GroupByKey]=OutputTable[[#This Row],[GroupByKey]]),(OutputTable[GroupByKey]=OutputTable[[#This Row],[GroupByKey]])*OutputTable[RecordedValue])),0)</f>
        <v>9.5749313493532675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3" cm="1">
        <f t="array" ref="O3">MIN(IF((OutputTable[GroupByKey]=OutputTable[[#This Row],[GroupByKey]]),(OutputTable[GroupByKey]=OutputTable[[#This Row],[GroupByKey]])*OutputTable[RecordedValue]))</f>
        <v>64</v>
      </c>
      <c r="P3" cm="1">
        <f t="array" ref="P3">MAX(IF((OutputTable[GroupByKey]=OutputTable[[#This Row],[GroupByKey]]),(OutputTable[GroupByKey]=OutputTable[[#This Row],[GroupByKey]])*OutputTable[RecordedValue]))</f>
        <v>111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82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88.4</v>
      </c>
      <c r="L4" cm="1">
        <f t="array" ref="L4">IFERROR(_xlfn.STDEV.S(IF((OutputTable[GroupByKey]=OutputTable[[#This Row],[GroupByKey]]),(OutputTable[GroupByKey]=OutputTable[[#This Row],[GroupByKey]])*OutputTable[RecordedValue])),0)</f>
        <v>9.6440083239141039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4" cm="1">
        <f t="array" ref="O4">MIN(IF((OutputTable[GroupByKey]=OutputTable[[#This Row],[GroupByKey]]),(OutputTable[GroupByKey]=OutputTable[[#This Row],[GroupByKey]])*OutputTable[RecordedValue]))</f>
        <v>66</v>
      </c>
      <c r="P4" cm="1">
        <f t="array" ref="P4">MAX(IF((OutputTable[GroupByKey]=OutputTable[[#This Row],[GroupByKey]]),(OutputTable[GroupByKey]=OutputTable[[#This Row],[GroupByKey]])*OutputTable[RecordedValue]))</f>
        <v>113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0.70511434114097904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0.66114135173630362</v>
      </c>
      <c r="L5" cm="1">
        <f t="array" ref="L5">IFERROR(_xlfn.STDEV.S(IF((OutputTable[GroupByKey]=OutputTable[[#This Row],[GroupByKey]]),(OutputTable[GroupByKey]=OutputTable[[#This Row],[GroupByKey]])*OutputTable[RecordedValue])),0)</f>
        <v>0.10307627324848868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5" cm="1">
        <f t="array" ref="O5">MIN(IF((OutputTable[GroupByKey]=OutputTable[[#This Row],[GroupByKey]]),(OutputTable[GroupByKey]=OutputTable[[#This Row],[GroupByKey]])*OutputTable[RecordedValue]))</f>
        <v>0.44460892146328002</v>
      </c>
      <c r="P5" cm="1">
        <f t="array" ref="P5">MAX(IF((OutputTable[GroupByKey]=OutputTable[[#This Row],[GroupByKey]]),(OutputTable[GroupByKey]=OutputTable[[#This Row],[GroupByKey]])*OutputTable[RecordedValue]))</f>
        <v>0.96696734486103797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82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87.1</v>
      </c>
      <c r="L6" cm="1">
        <f t="array" ref="L6">IFERROR(_xlfn.STDEV.S(IF((OutputTable[GroupByKey]=OutputTable[[#This Row],[GroupByKey]]),(OutputTable[GroupByKey]=OutputTable[[#This Row],[GroupByKey]])*OutputTable[RecordedValue])),0)</f>
        <v>9.5749313493532675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6" cm="1">
        <f t="array" ref="O6">MIN(IF((OutputTable[GroupByKey]=OutputTable[[#This Row],[GroupByKey]]),(OutputTable[GroupByKey]=OutputTable[[#This Row],[GroupByKey]])*OutputTable[RecordedValue]))</f>
        <v>64</v>
      </c>
      <c r="P6" cm="1">
        <f t="array" ref="P6">MAX(IF((OutputTable[GroupByKey]=OutputTable[[#This Row],[GroupByKey]]),(OutputTable[GroupByKey]=OutputTable[[#This Row],[GroupByKey]])*OutputTable[RecordedValue]))</f>
        <v>111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91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89.233333333333334</v>
      </c>
      <c r="L7" cm="1">
        <f t="array" ref="L7">IFERROR(_xlfn.STDEV.S(IF((OutputTable[GroupByKey]=OutputTable[[#This Row],[GroupByKey]]),(OutputTable[GroupByKey]=OutputTable[[#This Row],[GroupByKey]])*OutputTable[RecordedValue])),0)</f>
        <v>9.8949075489515774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7" cm="1">
        <f t="array" ref="O7">MIN(IF((OutputTable[GroupByKey]=OutputTable[[#This Row],[GroupByKey]]),(OutputTable[GroupByKey]=OutputTable[[#This Row],[GroupByKey]])*OutputTable[RecordedValue]))</f>
        <v>68</v>
      </c>
      <c r="P7" cm="1">
        <f t="array" ref="P7">MAX(IF((OutputTable[GroupByKey]=OutputTable[[#This Row],[GroupByKey]]),(OutputTable[GroupByKey]=OutputTable[[#This Row],[GroupByKey]])*OutputTable[RecordedValue]))</f>
        <v>113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90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87.1</v>
      </c>
      <c r="L8" cm="1">
        <f t="array" ref="L8">IFERROR(_xlfn.STDEV.S(IF((OutputTable[GroupByKey]=OutputTable[[#This Row],[GroupByKey]]),(OutputTable[GroupByKey]=OutputTable[[#This Row],[GroupByKey]])*OutputTable[RecordedValue])),0)</f>
        <v>9.5749313493532675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8" cm="1">
        <f t="array" ref="O8">MIN(IF((OutputTable[GroupByKey]=OutputTable[[#This Row],[GroupByKey]]),(OutputTable[GroupByKey]=OutputTable[[#This Row],[GroupByKey]])*OutputTable[RecordedValue]))</f>
        <v>64</v>
      </c>
      <c r="P8" cm="1">
        <f t="array" ref="P8">MAX(IF((OutputTable[GroupByKey]=OutputTable[[#This Row],[GroupByKey]]),(OutputTable[GroupByKey]=OutputTable[[#This Row],[GroupByKey]])*OutputTable[RecordedValue]))</f>
        <v>111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91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88.4</v>
      </c>
      <c r="L9" cm="1">
        <f t="array" ref="L9">IFERROR(_xlfn.STDEV.S(IF((OutputTable[GroupByKey]=OutputTable[[#This Row],[GroupByKey]]),(OutputTable[GroupByKey]=OutputTable[[#This Row],[GroupByKey]])*OutputTable[RecordedValue])),0)</f>
        <v>9.6440083239141039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9" cm="1">
        <f t="array" ref="O9">MIN(IF((OutputTable[GroupByKey]=OutputTable[[#This Row],[GroupByKey]]),(OutputTable[GroupByKey]=OutputTable[[#This Row],[GroupByKey]])*OutputTable[RecordedValue]))</f>
        <v>66</v>
      </c>
      <c r="P9" cm="1">
        <f t="array" ref="P9">MAX(IF((OutputTable[GroupByKey]=OutputTable[[#This Row],[GroupByKey]]),(OutputTable[GroupByKey]=OutputTable[[#This Row],[GroupByKey]])*OutputTable[RecordedValue]))</f>
        <v>113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0.67884935331829799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0.66114135173630362</v>
      </c>
      <c r="L10" cm="1">
        <f t="array" ref="L10">IFERROR(_xlfn.STDEV.S(IF((OutputTable[GroupByKey]=OutputTable[[#This Row],[GroupByKey]]),(OutputTable[GroupByKey]=OutputTable[[#This Row],[GroupByKey]])*OutputTable[RecordedValue])),0)</f>
        <v>0.10307627324848868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0" cm="1">
        <f t="array" ref="O10">MIN(IF((OutputTable[GroupByKey]=OutputTable[[#This Row],[GroupByKey]]),(OutputTable[GroupByKey]=OutputTable[[#This Row],[GroupByKey]])*OutputTable[RecordedValue]))</f>
        <v>0.44460892146328002</v>
      </c>
      <c r="P10" cm="1">
        <f t="array" ref="P10">MAX(IF((OutputTable[GroupByKey]=OutputTable[[#This Row],[GroupByKey]]),(OutputTable[GroupByKey]=OutputTable[[#This Row],[GroupByKey]])*OutputTable[RecordedValue]))</f>
        <v>0.96696734486103797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90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87.1</v>
      </c>
      <c r="L11" cm="1">
        <f t="array" ref="L11">IFERROR(_xlfn.STDEV.S(IF((OutputTable[GroupByKey]=OutputTable[[#This Row],[GroupByKey]]),(OutputTable[GroupByKey]=OutputTable[[#This Row],[GroupByKey]])*OutputTable[RecordedValue])),0)</f>
        <v>9.5749313493532675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1" cm="1">
        <f t="array" ref="O11">MIN(IF((OutputTable[GroupByKey]=OutputTable[[#This Row],[GroupByKey]]),(OutputTable[GroupByKey]=OutputTable[[#This Row],[GroupByKey]])*OutputTable[RecordedValue]))</f>
        <v>64</v>
      </c>
      <c r="P11" cm="1">
        <f t="array" ref="P11">MAX(IF((OutputTable[GroupByKey]=OutputTable[[#This Row],[GroupByKey]]),(OutputTable[GroupByKey]=OutputTable[[#This Row],[GroupByKey]])*OutputTable[RecordedValue]))</f>
        <v>111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107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89.233333333333334</v>
      </c>
      <c r="L12" cm="1">
        <f t="array" ref="L12">IFERROR(_xlfn.STDEV.S(IF((OutputTable[GroupByKey]=OutputTable[[#This Row],[GroupByKey]]),(OutputTable[GroupByKey]=OutputTable[[#This Row],[GroupByKey]])*OutputTable[RecordedValue])),0)</f>
        <v>9.8949075489515774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2" cm="1">
        <f t="array" ref="O12">MIN(IF((OutputTable[GroupByKey]=OutputTable[[#This Row],[GroupByKey]]),(OutputTable[GroupByKey]=OutputTable[[#This Row],[GroupByKey]])*OutputTable[RecordedValue]))</f>
        <v>68</v>
      </c>
      <c r="P12" cm="1">
        <f t="array" ref="P12">MAX(IF((OutputTable[GroupByKey]=OutputTable[[#This Row],[GroupByKey]]),(OutputTable[GroupByKey]=OutputTable[[#This Row],[GroupByKey]])*OutputTable[RecordedValue]))</f>
        <v>113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99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87.1</v>
      </c>
      <c r="L13" cm="1">
        <f t="array" ref="L13">IFERROR(_xlfn.STDEV.S(IF((OutputTable[GroupByKey]=OutputTable[[#This Row],[GroupByKey]]),(OutputTable[GroupByKey]=OutputTable[[#This Row],[GroupByKey]])*OutputTable[RecordedValue])),0)</f>
        <v>9.5749313493532675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3" cm="1">
        <f t="array" ref="O13">MIN(IF((OutputTable[GroupByKey]=OutputTable[[#This Row],[GroupByKey]]),(OutputTable[GroupByKey]=OutputTable[[#This Row],[GroupByKey]])*OutputTable[RecordedValue]))</f>
        <v>64</v>
      </c>
      <c r="P13" cm="1">
        <f t="array" ref="P13">MAX(IF((OutputTable[GroupByKey]=OutputTable[[#This Row],[GroupByKey]]),(OutputTable[GroupByKey]=OutputTable[[#This Row],[GroupByKey]])*OutputTable[RecordedValue]))</f>
        <v>111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101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88.4</v>
      </c>
      <c r="L14" cm="1">
        <f t="array" ref="L14">IFERROR(_xlfn.STDEV.S(IF((OutputTable[GroupByKey]=OutputTable[[#This Row],[GroupByKey]]),(OutputTable[GroupByKey]=OutputTable[[#This Row],[GroupByKey]])*OutputTable[RecordedValue])),0)</f>
        <v>9.6440083239141039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4" cm="1">
        <f t="array" ref="O14">MIN(IF((OutputTable[GroupByKey]=OutputTable[[#This Row],[GroupByKey]]),(OutputTable[GroupByKey]=OutputTable[[#This Row],[GroupByKey]])*OutputTable[RecordedValue]))</f>
        <v>66</v>
      </c>
      <c r="P14" cm="1">
        <f t="array" ref="P14">MAX(IF((OutputTable[GroupByKey]=OutputTable[[#This Row],[GroupByKey]]),(OutputTable[GroupByKey]=OutputTable[[#This Row],[GroupByKey]])*OutputTable[RecordedValue]))</f>
        <v>113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0.74776210807622101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0.66114135173630362</v>
      </c>
      <c r="L15" cm="1">
        <f t="array" ref="L15">IFERROR(_xlfn.STDEV.S(IF((OutputTable[GroupByKey]=OutputTable[[#This Row],[GroupByKey]]),(OutputTable[GroupByKey]=OutputTable[[#This Row],[GroupByKey]])*OutputTable[RecordedValue])),0)</f>
        <v>0.10307627324848868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5" cm="1">
        <f t="array" ref="O15">MIN(IF((OutputTable[GroupByKey]=OutputTable[[#This Row],[GroupByKey]]),(OutputTable[GroupByKey]=OutputTable[[#This Row],[GroupByKey]])*OutputTable[RecordedValue]))</f>
        <v>0.44460892146328002</v>
      </c>
      <c r="P15" cm="1">
        <f t="array" ref="P15">MAX(IF((OutputTable[GroupByKey]=OutputTable[[#This Row],[GroupByKey]]),(OutputTable[GroupByKey]=OutputTable[[#This Row],[GroupByKey]])*OutputTable[RecordedValue]))</f>
        <v>0.96696734486103797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99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87.1</v>
      </c>
      <c r="L16" cm="1">
        <f t="array" ref="L16">IFERROR(_xlfn.STDEV.S(IF((OutputTable[GroupByKey]=OutputTable[[#This Row],[GroupByKey]]),(OutputTable[GroupByKey]=OutputTable[[#This Row],[GroupByKey]])*OutputTable[RecordedValue])),0)</f>
        <v>9.5749313493532675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6" cm="1">
        <f t="array" ref="O16">MIN(IF((OutputTable[GroupByKey]=OutputTable[[#This Row],[GroupByKey]]),(OutputTable[GroupByKey]=OutputTable[[#This Row],[GroupByKey]])*OutputTable[RecordedValue]))</f>
        <v>64</v>
      </c>
      <c r="P16" cm="1">
        <f t="array" ref="P16">MAX(IF((OutputTable[GroupByKey]=OutputTable[[#This Row],[GroupByKey]]),(OutputTable[GroupByKey]=OutputTable[[#This Row],[GroupByKey]])*OutputTable[RecordedValue]))</f>
        <v>111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88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89.233333333333334</v>
      </c>
      <c r="L17" cm="1">
        <f t="array" ref="L17">IFERROR(_xlfn.STDEV.S(IF((OutputTable[GroupByKey]=OutputTable[[#This Row],[GroupByKey]]),(OutputTable[GroupByKey]=OutputTable[[#This Row],[GroupByKey]])*OutputTable[RecordedValue])),0)</f>
        <v>9.8949075489515774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7" cm="1">
        <f t="array" ref="O17">MIN(IF((OutputTable[GroupByKey]=OutputTable[[#This Row],[GroupByKey]]),(OutputTable[GroupByKey]=OutputTable[[#This Row],[GroupByKey]])*OutputTable[RecordedValue]))</f>
        <v>68</v>
      </c>
      <c r="P17" cm="1">
        <f t="array" ref="P17">MAX(IF((OutputTable[GroupByKey]=OutputTable[[#This Row],[GroupByKey]]),(OutputTable[GroupByKey]=OutputTable[[#This Row],[GroupByKey]])*OutputTable[RecordedValue]))</f>
        <v>113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87.1</v>
      </c>
      <c r="L18" cm="1">
        <f t="array" ref="L18">IFERROR(_xlfn.STDEV.S(IF((OutputTable[GroupByKey]=OutputTable[[#This Row],[GroupByKey]]),(OutputTable[GroupByKey]=OutputTable[[#This Row],[GroupByKey]])*OutputTable[RecordedValue])),0)</f>
        <v>9.5749313493532675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8" cm="1">
        <f t="array" ref="O18">MIN(IF((OutputTable[GroupByKey]=OutputTable[[#This Row],[GroupByKey]]),(OutputTable[GroupByKey]=OutputTable[[#This Row],[GroupByKey]])*OutputTable[RecordedValue]))</f>
        <v>64</v>
      </c>
      <c r="P18" cm="1">
        <f t="array" ref="P18">MAX(IF((OutputTable[GroupByKey]=OutputTable[[#This Row],[GroupByKey]]),(OutputTable[GroupByKey]=OutputTable[[#This Row],[GroupByKey]])*OutputTable[RecordedValue]))</f>
        <v>111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88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88.4</v>
      </c>
      <c r="L19" cm="1">
        <f t="array" ref="L19">IFERROR(_xlfn.STDEV.S(IF((OutputTable[GroupByKey]=OutputTable[[#This Row],[GroupByKey]]),(OutputTable[GroupByKey]=OutputTable[[#This Row],[GroupByKey]])*OutputTable[RecordedValue])),0)</f>
        <v>9.6440083239141039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9" cm="1">
        <f t="array" ref="O19">MIN(IF((OutputTable[GroupByKey]=OutputTable[[#This Row],[GroupByKey]]),(OutputTable[GroupByKey]=OutputTable[[#This Row],[GroupByKey]])*OutputTable[RecordedValue]))</f>
        <v>66</v>
      </c>
      <c r="P19" cm="1">
        <f t="array" ref="P19">MAX(IF((OutputTable[GroupByKey]=OutputTable[[#This Row],[GroupByKey]]),(OutputTable[GroupByKey]=OutputTable[[#This Row],[GroupByKey]])*OutputTable[RecordedValue]))</f>
        <v>113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0.64996927097244594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0.66114135173630362</v>
      </c>
      <c r="L20" cm="1">
        <f t="array" ref="L20">IFERROR(_xlfn.STDEV.S(IF((OutputTable[GroupByKey]=OutputTable[[#This Row],[GroupByKey]]),(OutputTable[GroupByKey]=OutputTable[[#This Row],[GroupByKey]])*OutputTable[RecordedValue])),0)</f>
        <v>0.10307627324848868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20" cm="1">
        <f t="array" ref="O20">MIN(IF((OutputTable[GroupByKey]=OutputTable[[#This Row],[GroupByKey]]),(OutputTable[GroupByKey]=OutputTable[[#This Row],[GroupByKey]])*OutputTable[RecordedValue]))</f>
        <v>0.44460892146328002</v>
      </c>
      <c r="P20" cm="1">
        <f t="array" ref="P20">MAX(IF((OutputTable[GroupByKey]=OutputTable[[#This Row],[GroupByKey]]),(OutputTable[GroupByKey]=OutputTable[[#This Row],[GroupByKey]])*OutputTable[RecordedValue]))</f>
        <v>0.96696734486103797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87.1</v>
      </c>
      <c r="L21" cm="1">
        <f t="array" ref="L21">IFERROR(_xlfn.STDEV.S(IF((OutputTable[GroupByKey]=OutputTable[[#This Row],[GroupByKey]]),(OutputTable[GroupByKey]=OutputTable[[#This Row],[GroupByKey]])*OutputTable[RecordedValue])),0)</f>
        <v>9.5749313493532675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21" cm="1">
        <f t="array" ref="O21">MIN(IF((OutputTable[GroupByKey]=OutputTable[[#This Row],[GroupByKey]]),(OutputTable[GroupByKey]=OutputTable[[#This Row],[GroupByKey]])*OutputTable[RecordedValue]))</f>
        <v>64</v>
      </c>
      <c r="P21" cm="1">
        <f t="array" ref="P21">MAX(IF((OutputTable[GroupByKey]=OutputTable[[#This Row],[GroupByKey]]),(OutputTable[GroupByKey]=OutputTable[[#This Row],[GroupByKey]])*OutputTable[RecordedValue]))</f>
        <v>111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101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89.233333333333334</v>
      </c>
      <c r="L22" cm="1">
        <f t="array" ref="L22">IFERROR(_xlfn.STDEV.S(IF((OutputTable[GroupByKey]=OutputTable[[#This Row],[GroupByKey]]),(OutputTable[GroupByKey]=OutputTable[[#This Row],[GroupByKey]])*OutputTable[RecordedValue])),0)</f>
        <v>9.8949075489515774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22" cm="1">
        <f t="array" ref="O22">MIN(IF((OutputTable[GroupByKey]=OutputTable[[#This Row],[GroupByKey]]),(OutputTable[GroupByKey]=OutputTable[[#This Row],[GroupByKey]])*OutputTable[RecordedValue]))</f>
        <v>68</v>
      </c>
      <c r="P22" cm="1">
        <f t="array" ref="P22">MAX(IF((OutputTable[GroupByKey]=OutputTable[[#This Row],[GroupByKey]]),(OutputTable[GroupByKey]=OutputTable[[#This Row],[GroupByKey]])*OutputTable[RecordedValue]))</f>
        <v>113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97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87.1</v>
      </c>
      <c r="L23" cm="1">
        <f t="array" ref="L23">IFERROR(_xlfn.STDEV.S(IF((OutputTable[GroupByKey]=OutputTable[[#This Row],[GroupByKey]]),(OutputTable[GroupByKey]=OutputTable[[#This Row],[GroupByKey]])*OutputTable[RecordedValue])),0)</f>
        <v>9.5749313493532675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23" cm="1">
        <f t="array" ref="O23">MIN(IF((OutputTable[GroupByKey]=OutputTable[[#This Row],[GroupByKey]]),(OutputTable[GroupByKey]=OutputTable[[#This Row],[GroupByKey]])*OutputTable[RecordedValue]))</f>
        <v>64</v>
      </c>
      <c r="P23" cm="1">
        <f t="array" ref="P23">MAX(IF((OutputTable[GroupByKey]=OutputTable[[#This Row],[GroupByKey]]),(OutputTable[GroupByKey]=OutputTable[[#This Row],[GroupByKey]])*OutputTable[RecordedValue]))</f>
        <v>111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99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88.4</v>
      </c>
      <c r="L24" cm="1">
        <f t="array" ref="L24">IFERROR(_xlfn.STDEV.S(IF((OutputTable[GroupByKey]=OutputTable[[#This Row],[GroupByKey]]),(OutputTable[GroupByKey]=OutputTable[[#This Row],[GroupByKey]])*OutputTable[RecordedValue])),0)</f>
        <v>9.6440083239141039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24" cm="1">
        <f t="array" ref="O24">MIN(IF((OutputTable[GroupByKey]=OutputTable[[#This Row],[GroupByKey]]),(OutputTable[GroupByKey]=OutputTable[[#This Row],[GroupByKey]])*OutputTable[RecordedValue]))</f>
        <v>66</v>
      </c>
      <c r="P24" cm="1">
        <f t="array" ref="P24">MAX(IF((OutputTable[GroupByKey]=OutputTable[[#This Row],[GroupByKey]]),(OutputTable[GroupByKey]=OutputTable[[#This Row],[GroupByKey]])*OutputTable[RecordedValue]))</f>
        <v>113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0.63472525894104104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0.66114135173630362</v>
      </c>
      <c r="L25" cm="1">
        <f t="array" ref="L25">IFERROR(_xlfn.STDEV.S(IF((OutputTable[GroupByKey]=OutputTable[[#This Row],[GroupByKey]]),(OutputTable[GroupByKey]=OutputTable[[#This Row],[GroupByKey]])*OutputTable[RecordedValue])),0)</f>
        <v>0.10307627324848868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25" cm="1">
        <f t="array" ref="O25">MIN(IF((OutputTable[GroupByKey]=OutputTable[[#This Row],[GroupByKey]]),(OutputTable[GroupByKey]=OutputTable[[#This Row],[GroupByKey]])*OutputTable[RecordedValue]))</f>
        <v>0.44460892146328002</v>
      </c>
      <c r="P25" cm="1">
        <f t="array" ref="P25">MAX(IF((OutputTable[GroupByKey]=OutputTable[[#This Row],[GroupByKey]]),(OutputTable[GroupByKey]=OutputTable[[#This Row],[GroupByKey]])*OutputTable[RecordedValue]))</f>
        <v>0.96696734486103797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97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87.1</v>
      </c>
      <c r="L26" cm="1">
        <f t="array" ref="L26">IFERROR(_xlfn.STDEV.S(IF((OutputTable[GroupByKey]=OutputTable[[#This Row],[GroupByKey]]),(OutputTable[GroupByKey]=OutputTable[[#This Row],[GroupByKey]])*OutputTable[RecordedValue])),0)</f>
        <v>9.5749313493532675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26" cm="1">
        <f t="array" ref="O26">MIN(IF((OutputTable[GroupByKey]=OutputTable[[#This Row],[GroupByKey]]),(OutputTable[GroupByKey]=OutputTable[[#This Row],[GroupByKey]])*OutputTable[RecordedValue]))</f>
        <v>64</v>
      </c>
      <c r="P26" cm="1">
        <f t="array" ref="P26">MAX(IF((OutputTable[GroupByKey]=OutputTable[[#This Row],[GroupByKey]]),(OutputTable[GroupByKey]=OutputTable[[#This Row],[GroupByKey]])*OutputTable[RecordedValue]))</f>
        <v>111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88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89.233333333333334</v>
      </c>
      <c r="L27" cm="1">
        <f t="array" ref="L27">IFERROR(_xlfn.STDEV.S(IF((OutputTable[GroupByKey]=OutputTable[[#This Row],[GroupByKey]]),(OutputTable[GroupByKey]=OutputTable[[#This Row],[GroupByKey]])*OutputTable[RecordedValue])),0)</f>
        <v>9.8949075489515774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27" cm="1">
        <f t="array" ref="O27">MIN(IF((OutputTable[GroupByKey]=OutputTable[[#This Row],[GroupByKey]]),(OutputTable[GroupByKey]=OutputTable[[#This Row],[GroupByKey]])*OutputTable[RecordedValue]))</f>
        <v>68</v>
      </c>
      <c r="P27" cm="1">
        <f t="array" ref="P27">MAX(IF((OutputTable[GroupByKey]=OutputTable[[#This Row],[GroupByKey]]),(OutputTable[GroupByKey]=OutputTable[[#This Row],[GroupByKey]])*OutputTable[RecordedValue]))</f>
        <v>113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87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87.1</v>
      </c>
      <c r="L28" cm="1">
        <f t="array" ref="L28">IFERROR(_xlfn.STDEV.S(IF((OutputTable[GroupByKey]=OutputTable[[#This Row],[GroupByKey]]),(OutputTable[GroupByKey]=OutputTable[[#This Row],[GroupByKey]])*OutputTable[RecordedValue])),0)</f>
        <v>9.5749313493532675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28" cm="1">
        <f t="array" ref="O28">MIN(IF((OutputTable[GroupByKey]=OutputTable[[#This Row],[GroupByKey]]),(OutputTable[GroupByKey]=OutputTable[[#This Row],[GroupByKey]])*OutputTable[RecordedValue]))</f>
        <v>64</v>
      </c>
      <c r="P28" cm="1">
        <f t="array" ref="P28">MAX(IF((OutputTable[GroupByKey]=OutputTable[[#This Row],[GroupByKey]]),(OutputTable[GroupByKey]=OutputTable[[#This Row],[GroupByKey]])*OutputTable[RecordedValue]))</f>
        <v>111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88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88.4</v>
      </c>
      <c r="L29" cm="1">
        <f t="array" ref="L29">IFERROR(_xlfn.STDEV.S(IF((OutputTable[GroupByKey]=OutputTable[[#This Row],[GroupByKey]]),(OutputTable[GroupByKey]=OutputTable[[#This Row],[GroupByKey]])*OutputTable[RecordedValue])),0)</f>
        <v>9.6440083239141039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29" cm="1">
        <f t="array" ref="O29">MIN(IF((OutputTable[GroupByKey]=OutputTable[[#This Row],[GroupByKey]]),(OutputTable[GroupByKey]=OutputTable[[#This Row],[GroupByKey]])*OutputTable[RecordedValue]))</f>
        <v>66</v>
      </c>
      <c r="P29" cm="1">
        <f t="array" ref="P29">MAX(IF((OutputTable[GroupByKey]=OutputTable[[#This Row],[GroupByKey]]),(OutputTable[GroupByKey]=OutputTable[[#This Row],[GroupByKey]])*OutputTable[RecordedValue]))</f>
        <v>113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0.62403540178572103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0.66114135173630362</v>
      </c>
      <c r="L30" cm="1">
        <f t="array" ref="L30">IFERROR(_xlfn.STDEV.S(IF((OutputTable[GroupByKey]=OutputTable[[#This Row],[GroupByKey]]),(OutputTable[GroupByKey]=OutputTable[[#This Row],[GroupByKey]])*OutputTable[RecordedValue])),0)</f>
        <v>0.10307627324848868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30" cm="1">
        <f t="array" ref="O30">MIN(IF((OutputTable[GroupByKey]=OutputTable[[#This Row],[GroupByKey]]),(OutputTable[GroupByKey]=OutputTable[[#This Row],[GroupByKey]])*OutputTable[RecordedValue]))</f>
        <v>0.44460892146328002</v>
      </c>
      <c r="P30" cm="1">
        <f t="array" ref="P30">MAX(IF((OutputTable[GroupByKey]=OutputTable[[#This Row],[GroupByKey]]),(OutputTable[GroupByKey]=OutputTable[[#This Row],[GroupByKey]])*OutputTable[RecordedValue]))</f>
        <v>0.96696734486103797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87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87.1</v>
      </c>
      <c r="L31" cm="1">
        <f t="array" ref="L31">IFERROR(_xlfn.STDEV.S(IF((OutputTable[GroupByKey]=OutputTable[[#This Row],[GroupByKey]]),(OutputTable[GroupByKey]=OutputTable[[#This Row],[GroupByKey]])*OutputTable[RecordedValue])),0)</f>
        <v>9.5749313493532675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31" cm="1">
        <f t="array" ref="O31">MIN(IF((OutputTable[GroupByKey]=OutputTable[[#This Row],[GroupByKey]]),(OutputTable[GroupByKey]=OutputTable[[#This Row],[GroupByKey]])*OutputTable[RecordedValue]))</f>
        <v>64</v>
      </c>
      <c r="P31" cm="1">
        <f t="array" ref="P31">MAX(IF((OutputTable[GroupByKey]=OutputTable[[#This Row],[GroupByKey]]),(OutputTable[GroupByKey]=OutputTable[[#This Row],[GroupByKey]])*OutputTable[RecordedValue]))</f>
        <v>111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91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89.233333333333334</v>
      </c>
      <c r="L32" cm="1">
        <f t="array" ref="L32">IFERROR(_xlfn.STDEV.S(IF((OutputTable[GroupByKey]=OutputTable[[#This Row],[GroupByKey]]),(OutputTable[GroupByKey]=OutputTable[[#This Row],[GroupByKey]])*OutputTable[RecordedValue])),0)</f>
        <v>9.8949075489515774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32" cm="1">
        <f t="array" ref="O32">MIN(IF((OutputTable[GroupByKey]=OutputTable[[#This Row],[GroupByKey]]),(OutputTable[GroupByKey]=OutputTable[[#This Row],[GroupByKey]])*OutputTable[RecordedValue]))</f>
        <v>68</v>
      </c>
      <c r="P32" cm="1">
        <f t="array" ref="P32">MAX(IF((OutputTable[GroupByKey]=OutputTable[[#This Row],[GroupByKey]]),(OutputTable[GroupByKey]=OutputTable[[#This Row],[GroupByKey]])*OutputTable[RecordedValue]))</f>
        <v>113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87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87.1</v>
      </c>
      <c r="L33" cm="1">
        <f t="array" ref="L33">IFERROR(_xlfn.STDEV.S(IF((OutputTable[GroupByKey]=OutputTable[[#This Row],[GroupByKey]]),(OutputTable[GroupByKey]=OutputTable[[#This Row],[GroupByKey]])*OutputTable[RecordedValue])),0)</f>
        <v>9.5749313493532675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33" cm="1">
        <f t="array" ref="O33">MIN(IF((OutputTable[GroupByKey]=OutputTable[[#This Row],[GroupByKey]]),(OutputTable[GroupByKey]=OutputTable[[#This Row],[GroupByKey]])*OutputTable[RecordedValue]))</f>
        <v>64</v>
      </c>
      <c r="P33" cm="1">
        <f t="array" ref="P33">MAX(IF((OutputTable[GroupByKey]=OutputTable[[#This Row],[GroupByKey]]),(OutputTable[GroupByKey]=OutputTable[[#This Row],[GroupByKey]])*OutputTable[RecordedValue]))</f>
        <v>111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89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88.4</v>
      </c>
      <c r="L34" cm="1">
        <f t="array" ref="L34">IFERROR(_xlfn.STDEV.S(IF((OutputTable[GroupByKey]=OutputTable[[#This Row],[GroupByKey]]),(OutputTable[GroupByKey]=OutputTable[[#This Row],[GroupByKey]])*OutputTable[RecordedValue])),0)</f>
        <v>9.6440083239141039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34" cm="1">
        <f t="array" ref="O34">MIN(IF((OutputTable[GroupByKey]=OutputTable[[#This Row],[GroupByKey]]),(OutputTable[GroupByKey]=OutputTable[[#This Row],[GroupByKey]])*OutputTable[RecordedValue]))</f>
        <v>66</v>
      </c>
      <c r="P34" cm="1">
        <f t="array" ref="P34">MAX(IF((OutputTable[GroupByKey]=OutputTable[[#This Row],[GroupByKey]]),(OutputTable[GroupByKey]=OutputTable[[#This Row],[GroupByKey]])*OutputTable[RecordedValue]))</f>
        <v>113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0.76034655923569605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0.66114135173630362</v>
      </c>
      <c r="L35" cm="1">
        <f t="array" ref="L35">IFERROR(_xlfn.STDEV.S(IF((OutputTable[GroupByKey]=OutputTable[[#This Row],[GroupByKey]]),(OutputTable[GroupByKey]=OutputTable[[#This Row],[GroupByKey]])*OutputTable[RecordedValue])),0)</f>
        <v>0.10307627324848868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35" cm="1">
        <f t="array" ref="O35">MIN(IF((OutputTable[GroupByKey]=OutputTable[[#This Row],[GroupByKey]]),(OutputTable[GroupByKey]=OutputTable[[#This Row],[GroupByKey]])*OutputTable[RecordedValue]))</f>
        <v>0.44460892146328002</v>
      </c>
      <c r="P35" cm="1">
        <f t="array" ref="P35">MAX(IF((OutputTable[GroupByKey]=OutputTable[[#This Row],[GroupByKey]]),(OutputTable[GroupByKey]=OutputTable[[#This Row],[GroupByKey]])*OutputTable[RecordedValue]))</f>
        <v>0.96696734486103797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87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87.1</v>
      </c>
      <c r="L36" cm="1">
        <f t="array" ref="L36">IFERROR(_xlfn.STDEV.S(IF((OutputTable[GroupByKey]=OutputTable[[#This Row],[GroupByKey]]),(OutputTable[GroupByKey]=OutputTable[[#This Row],[GroupByKey]])*OutputTable[RecordedValue])),0)</f>
        <v>9.5749313493532675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36" cm="1">
        <f t="array" ref="O36">MIN(IF((OutputTable[GroupByKey]=OutputTable[[#This Row],[GroupByKey]]),(OutputTable[GroupByKey]=OutputTable[[#This Row],[GroupByKey]])*OutputTable[RecordedValue]))</f>
        <v>64</v>
      </c>
      <c r="P36" cm="1">
        <f t="array" ref="P36">MAX(IF((OutputTable[GroupByKey]=OutputTable[[#This Row],[GroupByKey]]),(OutputTable[GroupByKey]=OutputTable[[#This Row],[GroupByKey]])*OutputTable[RecordedValue]))</f>
        <v>111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76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89.233333333333334</v>
      </c>
      <c r="L37" cm="1">
        <f t="array" ref="L37">IFERROR(_xlfn.STDEV.S(IF((OutputTable[GroupByKey]=OutputTable[[#This Row],[GroupByKey]]),(OutputTable[GroupByKey]=OutputTable[[#This Row],[GroupByKey]])*OutputTable[RecordedValue])),0)</f>
        <v>9.8949075489515774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37" cm="1">
        <f t="array" ref="O37">MIN(IF((OutputTable[GroupByKey]=OutputTable[[#This Row],[GroupByKey]]),(OutputTable[GroupByKey]=OutputTable[[#This Row],[GroupByKey]])*OutputTable[RecordedValue]))</f>
        <v>68</v>
      </c>
      <c r="P37" cm="1">
        <f t="array" ref="P37">MAX(IF((OutputTable[GroupByKey]=OutputTable[[#This Row],[GroupByKey]]),(OutputTable[GroupByKey]=OutputTable[[#This Row],[GroupByKey]])*OutputTable[RecordedValue]))</f>
        <v>113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74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87.1</v>
      </c>
      <c r="L38" cm="1">
        <f t="array" ref="L38">IFERROR(_xlfn.STDEV.S(IF((OutputTable[GroupByKey]=OutputTable[[#This Row],[GroupByKey]]),(OutputTable[GroupByKey]=OutputTable[[#This Row],[GroupByKey]])*OutputTable[RecordedValue])),0)</f>
        <v>9.5749313493532675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38" cm="1">
        <f t="array" ref="O38">MIN(IF((OutputTable[GroupByKey]=OutputTable[[#This Row],[GroupByKey]]),(OutputTable[GroupByKey]=OutputTable[[#This Row],[GroupByKey]])*OutputTable[RecordedValue]))</f>
        <v>64</v>
      </c>
      <c r="P38" cm="1">
        <f t="array" ref="P38">MAX(IF((OutputTable[GroupByKey]=OutputTable[[#This Row],[GroupByKey]]),(OutputTable[GroupByKey]=OutputTable[[#This Row],[GroupByKey]])*OutputTable[RecordedValue]))</f>
        <v>111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76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88.4</v>
      </c>
      <c r="L39" cm="1">
        <f t="array" ref="L39">IFERROR(_xlfn.STDEV.S(IF((OutputTable[GroupByKey]=OutputTable[[#This Row],[GroupByKey]]),(OutputTable[GroupByKey]=OutputTable[[#This Row],[GroupByKey]])*OutputTable[RecordedValue])),0)</f>
        <v>9.6440083239141039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39" cm="1">
        <f t="array" ref="O39">MIN(IF((OutputTable[GroupByKey]=OutputTable[[#This Row],[GroupByKey]]),(OutputTable[GroupByKey]=OutputTable[[#This Row],[GroupByKey]])*OutputTable[RecordedValue]))</f>
        <v>66</v>
      </c>
      <c r="P39" cm="1">
        <f t="array" ref="P39">MAX(IF((OutputTable[GroupByKey]=OutputTable[[#This Row],[GroupByKey]]),(OutputTable[GroupByKey]=OutputTable[[#This Row],[GroupByKey]])*OutputTable[RecordedValue]))</f>
        <v>113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0.65661398687750705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0.66114135173630362</v>
      </c>
      <c r="L40" cm="1">
        <f t="array" ref="L40">IFERROR(_xlfn.STDEV.S(IF((OutputTable[GroupByKey]=OutputTable[[#This Row],[GroupByKey]]),(OutputTable[GroupByKey]=OutputTable[[#This Row],[GroupByKey]])*OutputTable[RecordedValue])),0)</f>
        <v>0.10307627324848868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40" cm="1">
        <f t="array" ref="O40">MIN(IF((OutputTable[GroupByKey]=OutputTable[[#This Row],[GroupByKey]]),(OutputTable[GroupByKey]=OutputTable[[#This Row],[GroupByKey]])*OutputTable[RecordedValue]))</f>
        <v>0.44460892146328002</v>
      </c>
      <c r="P40" cm="1">
        <f t="array" ref="P40">MAX(IF((OutputTable[GroupByKey]=OutputTable[[#This Row],[GroupByKey]]),(OutputTable[GroupByKey]=OutputTable[[#This Row],[GroupByKey]])*OutputTable[RecordedValue]))</f>
        <v>0.96696734486103797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74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87.1</v>
      </c>
      <c r="L41" cm="1">
        <f t="array" ref="L41">IFERROR(_xlfn.STDEV.S(IF((OutputTable[GroupByKey]=OutputTable[[#This Row],[GroupByKey]]),(OutputTable[GroupByKey]=OutputTable[[#This Row],[GroupByKey]])*OutputTable[RecordedValue])),0)</f>
        <v>9.5749313493532675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41" cm="1">
        <f t="array" ref="O41">MIN(IF((OutputTable[GroupByKey]=OutputTable[[#This Row],[GroupByKey]]),(OutputTable[GroupByKey]=OutputTable[[#This Row],[GroupByKey]])*OutputTable[RecordedValue]))</f>
        <v>64</v>
      </c>
      <c r="P41" cm="1">
        <f t="array" ref="P41">MAX(IF((OutputTable[GroupByKey]=OutputTable[[#This Row],[GroupByKey]]),(OutputTable[GroupByKey]=OutputTable[[#This Row],[GroupByKey]])*OutputTable[RecordedValue]))</f>
        <v>111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85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89.233333333333334</v>
      </c>
      <c r="L42" cm="1">
        <f t="array" ref="L42">IFERROR(_xlfn.STDEV.S(IF((OutputTable[GroupByKey]=OutputTable[[#This Row],[GroupByKey]]),(OutputTable[GroupByKey]=OutputTable[[#This Row],[GroupByKey]])*OutputTable[RecordedValue])),0)</f>
        <v>9.8949075489515774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42" cm="1">
        <f t="array" ref="O42">MIN(IF((OutputTable[GroupByKey]=OutputTable[[#This Row],[GroupByKey]]),(OutputTable[GroupByKey]=OutputTable[[#This Row],[GroupByKey]])*OutputTable[RecordedValue]))</f>
        <v>68</v>
      </c>
      <c r="P42" cm="1">
        <f t="array" ref="P42">MAX(IF((OutputTable[GroupByKey]=OutputTable[[#This Row],[GroupByKey]]),(OutputTable[GroupByKey]=OutputTable[[#This Row],[GroupByKey]])*OutputTable[RecordedValue]))</f>
        <v>113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84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87.1</v>
      </c>
      <c r="L43" cm="1">
        <f t="array" ref="L43">IFERROR(_xlfn.STDEV.S(IF((OutputTable[GroupByKey]=OutputTable[[#This Row],[GroupByKey]]),(OutputTable[GroupByKey]=OutputTable[[#This Row],[GroupByKey]])*OutputTable[RecordedValue])),0)</f>
        <v>9.5749313493532675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43" cm="1">
        <f t="array" ref="O43">MIN(IF((OutputTable[GroupByKey]=OutputTable[[#This Row],[GroupByKey]]),(OutputTable[GroupByKey]=OutputTable[[#This Row],[GroupByKey]])*OutputTable[RecordedValue]))</f>
        <v>64</v>
      </c>
      <c r="P43" cm="1">
        <f t="array" ref="P43">MAX(IF((OutputTable[GroupByKey]=OutputTable[[#This Row],[GroupByKey]]),(OutputTable[GroupByKey]=OutputTable[[#This Row],[GroupByKey]])*OutputTable[RecordedValue]))</f>
        <v>111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85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88.4</v>
      </c>
      <c r="L44" cm="1">
        <f t="array" ref="L44">IFERROR(_xlfn.STDEV.S(IF((OutputTable[GroupByKey]=OutputTable[[#This Row],[GroupByKey]]),(OutputTable[GroupByKey]=OutputTable[[#This Row],[GroupByKey]])*OutputTable[RecordedValue])),0)</f>
        <v>9.6440083239141039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44" cm="1">
        <f t="array" ref="O44">MIN(IF((OutputTable[GroupByKey]=OutputTable[[#This Row],[GroupByKey]]),(OutputTable[GroupByKey]=OutputTable[[#This Row],[GroupByKey]])*OutputTable[RecordedValue]))</f>
        <v>66</v>
      </c>
      <c r="P44" cm="1">
        <f t="array" ref="P44">MAX(IF((OutputTable[GroupByKey]=OutputTable[[#This Row],[GroupByKey]]),(OutputTable[GroupByKey]=OutputTable[[#This Row],[GroupByKey]])*OutputTable[RecordedValue]))</f>
        <v>113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0.51911843686350101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0.66114135173630362</v>
      </c>
      <c r="L45" cm="1">
        <f t="array" ref="L45">IFERROR(_xlfn.STDEV.S(IF((OutputTable[GroupByKey]=OutputTable[[#This Row],[GroupByKey]]),(OutputTable[GroupByKey]=OutputTable[[#This Row],[GroupByKey]])*OutputTable[RecordedValue])),0)</f>
        <v>0.10307627324848868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45" cm="1">
        <f t="array" ref="O45">MIN(IF((OutputTable[GroupByKey]=OutputTable[[#This Row],[GroupByKey]]),(OutputTable[GroupByKey]=OutputTable[[#This Row],[GroupByKey]])*OutputTable[RecordedValue]))</f>
        <v>0.44460892146328002</v>
      </c>
      <c r="P45" cm="1">
        <f t="array" ref="P45">MAX(IF((OutputTable[GroupByKey]=OutputTable[[#This Row],[GroupByKey]]),(OutputTable[GroupByKey]=OutputTable[[#This Row],[GroupByKey]])*OutputTable[RecordedValue]))</f>
        <v>0.96696734486103797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84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87.1</v>
      </c>
      <c r="L46" cm="1">
        <f t="array" ref="L46">IFERROR(_xlfn.STDEV.S(IF((OutputTable[GroupByKey]=OutputTable[[#This Row],[GroupByKey]]),(OutputTable[GroupByKey]=OutputTable[[#This Row],[GroupByKey]])*OutputTable[RecordedValue])),0)</f>
        <v>9.5749313493532675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46" cm="1">
        <f t="array" ref="O46">MIN(IF((OutputTable[GroupByKey]=OutputTable[[#This Row],[GroupByKey]]),(OutputTable[GroupByKey]=OutputTable[[#This Row],[GroupByKey]])*OutputTable[RecordedValue]))</f>
        <v>64</v>
      </c>
      <c r="P46" cm="1">
        <f t="array" ref="P46">MAX(IF((OutputTable[GroupByKey]=OutputTable[[#This Row],[GroupByKey]]),(OutputTable[GroupByKey]=OutputTable[[#This Row],[GroupByKey]])*OutputTable[RecordedValue]))</f>
        <v>111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94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89.233333333333334</v>
      </c>
      <c r="L47" cm="1">
        <f t="array" ref="L47">IFERROR(_xlfn.STDEV.S(IF((OutputTable[GroupByKey]=OutputTable[[#This Row],[GroupByKey]]),(OutputTable[GroupByKey]=OutputTable[[#This Row],[GroupByKey]])*OutputTable[RecordedValue])),0)</f>
        <v>9.8949075489515774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47" cm="1">
        <f t="array" ref="O47">MIN(IF((OutputTable[GroupByKey]=OutputTable[[#This Row],[GroupByKey]]),(OutputTable[GroupByKey]=OutputTable[[#This Row],[GroupByKey]])*OutputTable[RecordedValue]))</f>
        <v>68</v>
      </c>
      <c r="P47" cm="1">
        <f t="array" ref="P47">MAX(IF((OutputTable[GroupByKey]=OutputTable[[#This Row],[GroupByKey]]),(OutputTable[GroupByKey]=OutputTable[[#This Row],[GroupByKey]])*OutputTable[RecordedValue]))</f>
        <v>113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94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87.1</v>
      </c>
      <c r="L48" cm="1">
        <f t="array" ref="L48">IFERROR(_xlfn.STDEV.S(IF((OutputTable[GroupByKey]=OutputTable[[#This Row],[GroupByKey]]),(OutputTable[GroupByKey]=OutputTable[[#This Row],[GroupByKey]])*OutputTable[RecordedValue])),0)</f>
        <v>9.5749313493532675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48" cm="1">
        <f t="array" ref="O48">MIN(IF((OutputTable[GroupByKey]=OutputTable[[#This Row],[GroupByKey]]),(OutputTable[GroupByKey]=OutputTable[[#This Row],[GroupByKey]])*OutputTable[RecordedValue]))</f>
        <v>64</v>
      </c>
      <c r="P48" cm="1">
        <f t="array" ref="P48">MAX(IF((OutputTable[GroupByKey]=OutputTable[[#This Row],[GroupByKey]]),(OutputTable[GroupByKey]=OutputTable[[#This Row],[GroupByKey]])*OutputTable[RecordedValue]))</f>
        <v>111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94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88.4</v>
      </c>
      <c r="L49" cm="1">
        <f t="array" ref="L49">IFERROR(_xlfn.STDEV.S(IF((OutputTable[GroupByKey]=OutputTable[[#This Row],[GroupByKey]]),(OutputTable[GroupByKey]=OutputTable[[#This Row],[GroupByKey]])*OutputTable[RecordedValue])),0)</f>
        <v>9.6440083239141039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49" cm="1">
        <f t="array" ref="O49">MIN(IF((OutputTable[GroupByKey]=OutputTable[[#This Row],[GroupByKey]]),(OutputTable[GroupByKey]=OutputTable[[#This Row],[GroupByKey]])*OutputTable[RecordedValue]))</f>
        <v>66</v>
      </c>
      <c r="P49" cm="1">
        <f t="array" ref="P49">MAX(IF((OutputTable[GroupByKey]=OutputTable[[#This Row],[GroupByKey]]),(OutputTable[GroupByKey]=OutputTable[[#This Row],[GroupByKey]])*OutputTable[RecordedValue]))</f>
        <v>113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0.63731325872403599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0.66114135173630362</v>
      </c>
      <c r="L50" cm="1">
        <f t="array" ref="L50">IFERROR(_xlfn.STDEV.S(IF((OutputTable[GroupByKey]=OutputTable[[#This Row],[GroupByKey]]),(OutputTable[GroupByKey]=OutputTable[[#This Row],[GroupByKey]])*OutputTable[RecordedValue])),0)</f>
        <v>0.10307627324848868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50" cm="1">
        <f t="array" ref="O50">MIN(IF((OutputTable[GroupByKey]=OutputTable[[#This Row],[GroupByKey]]),(OutputTable[GroupByKey]=OutputTable[[#This Row],[GroupByKey]])*OutputTable[RecordedValue]))</f>
        <v>0.44460892146328002</v>
      </c>
      <c r="P50" cm="1">
        <f t="array" ref="P50">MAX(IF((OutputTable[GroupByKey]=OutputTable[[#This Row],[GroupByKey]]),(OutputTable[GroupByKey]=OutputTable[[#This Row],[GroupByKey]])*OutputTable[RecordedValue]))</f>
        <v>0.96696734486103797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94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87.1</v>
      </c>
      <c r="L51" cm="1">
        <f t="array" ref="L51">IFERROR(_xlfn.STDEV.S(IF((OutputTable[GroupByKey]=OutputTable[[#This Row],[GroupByKey]]),(OutputTable[GroupByKey]=OutputTable[[#This Row],[GroupByKey]])*OutputTable[RecordedValue])),0)</f>
        <v>9.5749313493532675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51" cm="1">
        <f t="array" ref="O51">MIN(IF((OutputTable[GroupByKey]=OutputTable[[#This Row],[GroupByKey]]),(OutputTable[GroupByKey]=OutputTable[[#This Row],[GroupByKey]])*OutputTable[RecordedValue]))</f>
        <v>64</v>
      </c>
      <c r="P51" cm="1">
        <f t="array" ref="P51">MAX(IF((OutputTable[GroupByKey]=OutputTable[[#This Row],[GroupByKey]]),(OutputTable[GroupByKey]=OutputTable[[#This Row],[GroupByKey]])*OutputTable[RecordedValue]))</f>
        <v>111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87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89.233333333333334</v>
      </c>
      <c r="L52" cm="1">
        <f t="array" ref="L52">IFERROR(_xlfn.STDEV.S(IF((OutputTable[GroupByKey]=OutputTable[[#This Row],[GroupByKey]]),(OutputTable[GroupByKey]=OutputTable[[#This Row],[GroupByKey]])*OutputTable[RecordedValue])),0)</f>
        <v>9.8949075489515774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52" cm="1">
        <f t="array" ref="O52">MIN(IF((OutputTable[GroupByKey]=OutputTable[[#This Row],[GroupByKey]]),(OutputTable[GroupByKey]=OutputTable[[#This Row],[GroupByKey]])*OutputTable[RecordedValue]))</f>
        <v>68</v>
      </c>
      <c r="P52" cm="1">
        <f t="array" ref="P52">MAX(IF((OutputTable[GroupByKey]=OutputTable[[#This Row],[GroupByKey]]),(OutputTable[GroupByKey]=OutputTable[[#This Row],[GroupByKey]])*OutputTable[RecordedValue]))</f>
        <v>113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87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87.1</v>
      </c>
      <c r="L53" cm="1">
        <f t="array" ref="L53">IFERROR(_xlfn.STDEV.S(IF((OutputTable[GroupByKey]=OutputTable[[#This Row],[GroupByKey]]),(OutputTable[GroupByKey]=OutputTable[[#This Row],[GroupByKey]])*OutputTable[RecordedValue])),0)</f>
        <v>9.5749313493532675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53" cm="1">
        <f t="array" ref="O53">MIN(IF((OutputTable[GroupByKey]=OutputTable[[#This Row],[GroupByKey]]),(OutputTable[GroupByKey]=OutputTable[[#This Row],[GroupByKey]])*OutputTable[RecordedValue]))</f>
        <v>64</v>
      </c>
      <c r="P53" cm="1">
        <f t="array" ref="P53">MAX(IF((OutputTable[GroupByKey]=OutputTable[[#This Row],[GroupByKey]]),(OutputTable[GroupByKey]=OutputTable[[#This Row],[GroupByKey]])*OutputTable[RecordedValue]))</f>
        <v>111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87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88.4</v>
      </c>
      <c r="L54" cm="1">
        <f t="array" ref="L54">IFERROR(_xlfn.STDEV.S(IF((OutputTable[GroupByKey]=OutputTable[[#This Row],[GroupByKey]]),(OutputTable[GroupByKey]=OutputTable[[#This Row],[GroupByKey]])*OutputTable[RecordedValue])),0)</f>
        <v>9.6440083239141039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54" cm="1">
        <f t="array" ref="O54">MIN(IF((OutputTable[GroupByKey]=OutputTable[[#This Row],[GroupByKey]]),(OutputTable[GroupByKey]=OutputTable[[#This Row],[GroupByKey]])*OutputTable[RecordedValue]))</f>
        <v>66</v>
      </c>
      <c r="P54" cm="1">
        <f t="array" ref="P54">MAX(IF((OutputTable[GroupByKey]=OutputTable[[#This Row],[GroupByKey]]),(OutputTable[GroupByKey]=OutputTable[[#This Row],[GroupByKey]])*OutputTable[RecordedValue]))</f>
        <v>113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0.56768084314366196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0.66114135173630362</v>
      </c>
      <c r="L55" cm="1">
        <f t="array" ref="L55">IFERROR(_xlfn.STDEV.S(IF((OutputTable[GroupByKey]=OutputTable[[#This Row],[GroupByKey]]),(OutputTable[GroupByKey]=OutputTable[[#This Row],[GroupByKey]])*OutputTable[RecordedValue])),0)</f>
        <v>0.10307627324848868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55" cm="1">
        <f t="array" ref="O55">MIN(IF((OutputTable[GroupByKey]=OutputTable[[#This Row],[GroupByKey]]),(OutputTable[GroupByKey]=OutputTable[[#This Row],[GroupByKey]])*OutputTable[RecordedValue]))</f>
        <v>0.44460892146328002</v>
      </c>
      <c r="P55" cm="1">
        <f t="array" ref="P55">MAX(IF((OutputTable[GroupByKey]=OutputTable[[#This Row],[GroupByKey]]),(OutputTable[GroupByKey]=OutputTable[[#This Row],[GroupByKey]])*OutputTable[RecordedValue]))</f>
        <v>0.96696734486103797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87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87.1</v>
      </c>
      <c r="L56" cm="1">
        <f t="array" ref="L56">IFERROR(_xlfn.STDEV.S(IF((OutputTable[GroupByKey]=OutputTable[[#This Row],[GroupByKey]]),(OutputTable[GroupByKey]=OutputTable[[#This Row],[GroupByKey]])*OutputTable[RecordedValue])),0)</f>
        <v>9.5749313493532675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56" cm="1">
        <f t="array" ref="O56">MIN(IF((OutputTable[GroupByKey]=OutputTable[[#This Row],[GroupByKey]]),(OutputTable[GroupByKey]=OutputTable[[#This Row],[GroupByKey]])*OutputTable[RecordedValue]))</f>
        <v>64</v>
      </c>
      <c r="P56" cm="1">
        <f t="array" ref="P56">MAX(IF((OutputTable[GroupByKey]=OutputTable[[#This Row],[GroupByKey]]),(OutputTable[GroupByKey]=OutputTable[[#This Row],[GroupByKey]])*OutputTable[RecordedValue]))</f>
        <v>111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95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89.233333333333334</v>
      </c>
      <c r="L57" cm="1">
        <f t="array" ref="L57">IFERROR(_xlfn.STDEV.S(IF((OutputTable[GroupByKey]=OutputTable[[#This Row],[GroupByKey]]),(OutputTable[GroupByKey]=OutputTable[[#This Row],[GroupByKey]])*OutputTable[RecordedValue])),0)</f>
        <v>9.8949075489515774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57" cm="1">
        <f t="array" ref="O57">MIN(IF((OutputTable[GroupByKey]=OutputTable[[#This Row],[GroupByKey]]),(OutputTable[GroupByKey]=OutputTable[[#This Row],[GroupByKey]])*OutputTable[RecordedValue]))</f>
        <v>68</v>
      </c>
      <c r="P57" cm="1">
        <f t="array" ref="P57">MAX(IF((OutputTable[GroupByKey]=OutputTable[[#This Row],[GroupByKey]]),(OutputTable[GroupByKey]=OutputTable[[#This Row],[GroupByKey]])*OutputTable[RecordedValue]))</f>
        <v>113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92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87.1</v>
      </c>
      <c r="L58" cm="1">
        <f t="array" ref="L58">IFERROR(_xlfn.STDEV.S(IF((OutputTable[GroupByKey]=OutputTable[[#This Row],[GroupByKey]]),(OutputTable[GroupByKey]=OutputTable[[#This Row],[GroupByKey]])*OutputTable[RecordedValue])),0)</f>
        <v>9.5749313493532675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58" cm="1">
        <f t="array" ref="O58">MIN(IF((OutputTable[GroupByKey]=OutputTable[[#This Row],[GroupByKey]]),(OutputTable[GroupByKey]=OutputTable[[#This Row],[GroupByKey]])*OutputTable[RecordedValue]))</f>
        <v>64</v>
      </c>
      <c r="P58" cm="1">
        <f t="array" ref="P58">MAX(IF((OutputTable[GroupByKey]=OutputTable[[#This Row],[GroupByKey]]),(OutputTable[GroupByKey]=OutputTable[[#This Row],[GroupByKey]])*OutputTable[RecordedValue]))</f>
        <v>111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94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88.4</v>
      </c>
      <c r="L59" cm="1">
        <f t="array" ref="L59">IFERROR(_xlfn.STDEV.S(IF((OutputTable[GroupByKey]=OutputTable[[#This Row],[GroupByKey]]),(OutputTable[GroupByKey]=OutputTable[[#This Row],[GroupByKey]])*OutputTable[RecordedValue])),0)</f>
        <v>9.6440083239141039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59" cm="1">
        <f t="array" ref="O59">MIN(IF((OutputTable[GroupByKey]=OutputTable[[#This Row],[GroupByKey]]),(OutputTable[GroupByKey]=OutputTable[[#This Row],[GroupByKey]])*OutputTable[RecordedValue]))</f>
        <v>66</v>
      </c>
      <c r="P59" cm="1">
        <f t="array" ref="P59">MAX(IF((OutputTable[GroupByKey]=OutputTable[[#This Row],[GroupByKey]]),(OutputTable[GroupByKey]=OutputTable[[#This Row],[GroupByKey]])*OutputTable[RecordedValue]))</f>
        <v>113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0.80037636824867298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0.66114135173630362</v>
      </c>
      <c r="L60" cm="1">
        <f t="array" ref="L60">IFERROR(_xlfn.STDEV.S(IF((OutputTable[GroupByKey]=OutputTable[[#This Row],[GroupByKey]]),(OutputTable[GroupByKey]=OutputTable[[#This Row],[GroupByKey]])*OutputTable[RecordedValue])),0)</f>
        <v>0.10307627324848868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60" cm="1">
        <f t="array" ref="O60">MIN(IF((OutputTable[GroupByKey]=OutputTable[[#This Row],[GroupByKey]]),(OutputTable[GroupByKey]=OutputTable[[#This Row],[GroupByKey]])*OutputTable[RecordedValue]))</f>
        <v>0.44460892146328002</v>
      </c>
      <c r="P60" cm="1">
        <f t="array" ref="P60">MAX(IF((OutputTable[GroupByKey]=OutputTable[[#This Row],[GroupByKey]]),(OutputTable[GroupByKey]=OutputTable[[#This Row],[GroupByKey]])*OutputTable[RecordedValue]))</f>
        <v>0.96696734486103797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92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87.1</v>
      </c>
      <c r="L61" cm="1">
        <f t="array" ref="L61">IFERROR(_xlfn.STDEV.S(IF((OutputTable[GroupByKey]=OutputTable[[#This Row],[GroupByKey]]),(OutputTable[GroupByKey]=OutputTable[[#This Row],[GroupByKey]])*OutputTable[RecordedValue])),0)</f>
        <v>9.5749313493532675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61" cm="1">
        <f t="array" ref="O61">MIN(IF((OutputTable[GroupByKey]=OutputTable[[#This Row],[GroupByKey]]),(OutputTable[GroupByKey]=OutputTable[[#This Row],[GroupByKey]])*OutputTable[RecordedValue]))</f>
        <v>64</v>
      </c>
      <c r="P61" cm="1">
        <f t="array" ref="P61">MAX(IF((OutputTable[GroupByKey]=OutputTable[[#This Row],[GroupByKey]]),(OutputTable[GroupByKey]=OutputTable[[#This Row],[GroupByKey]])*OutputTable[RecordedValue]))</f>
        <v>111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88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89.233333333333334</v>
      </c>
      <c r="L62" cm="1">
        <f t="array" ref="L62">IFERROR(_xlfn.STDEV.S(IF((OutputTable[GroupByKey]=OutputTable[[#This Row],[GroupByKey]]),(OutputTable[GroupByKey]=OutputTable[[#This Row],[GroupByKey]])*OutputTable[RecordedValue])),0)</f>
        <v>9.8949075489515774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62" cm="1">
        <f t="array" ref="O62">MIN(IF((OutputTable[GroupByKey]=OutputTable[[#This Row],[GroupByKey]]),(OutputTable[GroupByKey]=OutputTable[[#This Row],[GroupByKey]])*OutputTable[RecordedValue]))</f>
        <v>68</v>
      </c>
      <c r="P62" cm="1">
        <f t="array" ref="P62">MAX(IF((OutputTable[GroupByKey]=OutputTable[[#This Row],[GroupByKey]]),(OutputTable[GroupByKey]=OutputTable[[#This Row],[GroupByKey]])*OutputTable[RecordedValue]))</f>
        <v>113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88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87.1</v>
      </c>
      <c r="L63" cm="1">
        <f t="array" ref="L63">IFERROR(_xlfn.STDEV.S(IF((OutputTable[GroupByKey]=OutputTable[[#This Row],[GroupByKey]]),(OutputTable[GroupByKey]=OutputTable[[#This Row],[GroupByKey]])*OutputTable[RecordedValue])),0)</f>
        <v>9.5749313493532675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63" cm="1">
        <f t="array" ref="O63">MIN(IF((OutputTable[GroupByKey]=OutputTable[[#This Row],[GroupByKey]]),(OutputTable[GroupByKey]=OutputTable[[#This Row],[GroupByKey]])*OutputTable[RecordedValue]))</f>
        <v>64</v>
      </c>
      <c r="P63" cm="1">
        <f t="array" ref="P63">MAX(IF((OutputTable[GroupByKey]=OutputTable[[#This Row],[GroupByKey]]),(OutputTable[GroupByKey]=OutputTable[[#This Row],[GroupByKey]])*OutputTable[RecordedValue]))</f>
        <v>111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88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88.4</v>
      </c>
      <c r="L64" cm="1">
        <f t="array" ref="L64">IFERROR(_xlfn.STDEV.S(IF((OutputTable[GroupByKey]=OutputTable[[#This Row],[GroupByKey]]),(OutputTable[GroupByKey]=OutputTable[[#This Row],[GroupByKey]])*OutputTable[RecordedValue])),0)</f>
        <v>9.6440083239141039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64" cm="1">
        <f t="array" ref="O64">MIN(IF((OutputTable[GroupByKey]=OutputTable[[#This Row],[GroupByKey]]),(OutputTable[GroupByKey]=OutputTable[[#This Row],[GroupByKey]])*OutputTable[RecordedValue]))</f>
        <v>66</v>
      </c>
      <c r="P64" cm="1">
        <f t="array" ref="P64">MAX(IF((OutputTable[GroupByKey]=OutputTable[[#This Row],[GroupByKey]]),(OutputTable[GroupByKey]=OutputTable[[#This Row],[GroupByKey]])*OutputTable[RecordedValue]))</f>
        <v>113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0.645836061100303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0.66114135173630362</v>
      </c>
      <c r="L65" cm="1">
        <f t="array" ref="L65">IFERROR(_xlfn.STDEV.S(IF((OutputTable[GroupByKey]=OutputTable[[#This Row],[GroupByKey]]),(OutputTable[GroupByKey]=OutputTable[[#This Row],[GroupByKey]])*OutputTable[RecordedValue])),0)</f>
        <v>0.10307627324848868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65" cm="1">
        <f t="array" ref="O65">MIN(IF((OutputTable[GroupByKey]=OutputTable[[#This Row],[GroupByKey]]),(OutputTable[GroupByKey]=OutputTable[[#This Row],[GroupByKey]])*OutputTable[RecordedValue]))</f>
        <v>0.44460892146328002</v>
      </c>
      <c r="P65" cm="1">
        <f t="array" ref="P65">MAX(IF((OutputTable[GroupByKey]=OutputTable[[#This Row],[GroupByKey]]),(OutputTable[GroupByKey]=OutputTable[[#This Row],[GroupByKey]])*OutputTable[RecordedValue]))</f>
        <v>0.96696734486103797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88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87.1</v>
      </c>
      <c r="L66" cm="1">
        <f t="array" ref="L66">IFERROR(_xlfn.STDEV.S(IF((OutputTable[GroupByKey]=OutputTable[[#This Row],[GroupByKey]]),(OutputTable[GroupByKey]=OutputTable[[#This Row],[GroupByKey]])*OutputTable[RecordedValue])),0)</f>
        <v>9.5749313493532675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66" cm="1">
        <f t="array" ref="O66">MIN(IF((OutputTable[GroupByKey]=OutputTable[[#This Row],[GroupByKey]]),(OutputTable[GroupByKey]=OutputTable[[#This Row],[GroupByKey]])*OutputTable[RecordedValue]))</f>
        <v>64</v>
      </c>
      <c r="P66" cm="1">
        <f t="array" ref="P66">MAX(IF((OutputTable[GroupByKey]=OutputTable[[#This Row],[GroupByKey]]),(OutputTable[GroupByKey]=OutputTable[[#This Row],[GroupByKey]])*OutputTable[RecordedValue]))</f>
        <v>111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93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89.233333333333334</v>
      </c>
      <c r="L67" cm="1">
        <f t="array" ref="L67">IFERROR(_xlfn.STDEV.S(IF((OutputTable[GroupByKey]=OutputTable[[#This Row],[GroupByKey]]),(OutputTable[GroupByKey]=OutputTable[[#This Row],[GroupByKey]])*OutputTable[RecordedValue])),0)</f>
        <v>9.8949075489515774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67" cm="1">
        <f t="array" ref="O67">MIN(IF((OutputTable[GroupByKey]=OutputTable[[#This Row],[GroupByKey]]),(OutputTable[GroupByKey]=OutputTable[[#This Row],[GroupByKey]])*OutputTable[RecordedValue]))</f>
        <v>68</v>
      </c>
      <c r="P67" cm="1">
        <f t="array" ref="P67">MAX(IF((OutputTable[GroupByKey]=OutputTable[[#This Row],[GroupByKey]]),(OutputTable[GroupByKey]=OutputTable[[#This Row],[GroupByKey]])*OutputTable[RecordedValue]))</f>
        <v>113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87.1</v>
      </c>
      <c r="L68" cm="1">
        <f t="array" ref="L68">IFERROR(_xlfn.STDEV.S(IF((OutputTable[GroupByKey]=OutputTable[[#This Row],[GroupByKey]]),(OutputTable[GroupByKey]=OutputTable[[#This Row],[GroupByKey]])*OutputTable[RecordedValue])),0)</f>
        <v>9.5749313493532675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68" cm="1">
        <f t="array" ref="O68">MIN(IF((OutputTable[GroupByKey]=OutputTable[[#This Row],[GroupByKey]]),(OutputTable[GroupByKey]=OutputTable[[#This Row],[GroupByKey]])*OutputTable[RecordedValue]))</f>
        <v>64</v>
      </c>
      <c r="P68" cm="1">
        <f t="array" ref="P68">MAX(IF((OutputTable[GroupByKey]=OutputTable[[#This Row],[GroupByKey]]),(OutputTable[GroupByKey]=OutputTable[[#This Row],[GroupByKey]])*OutputTable[RecordedValue]))</f>
        <v>111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93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88.4</v>
      </c>
      <c r="L69" cm="1">
        <f t="array" ref="L69">IFERROR(_xlfn.STDEV.S(IF((OutputTable[GroupByKey]=OutputTable[[#This Row],[GroupByKey]]),(OutputTable[GroupByKey]=OutputTable[[#This Row],[GroupByKey]])*OutputTable[RecordedValue])),0)</f>
        <v>9.6440083239141039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69" cm="1">
        <f t="array" ref="O69">MIN(IF((OutputTable[GroupByKey]=OutputTable[[#This Row],[GroupByKey]]),(OutputTable[GroupByKey]=OutputTable[[#This Row],[GroupByKey]])*OutputTable[RecordedValue]))</f>
        <v>66</v>
      </c>
      <c r="P69" cm="1">
        <f t="array" ref="P69">MAX(IF((OutputTable[GroupByKey]=OutputTable[[#This Row],[GroupByKey]]),(OutputTable[GroupByKey]=OutputTable[[#This Row],[GroupByKey]])*OutputTable[RecordedValue]))</f>
        <v>113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0.62344092045601396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0.66114135173630362</v>
      </c>
      <c r="L70" cm="1">
        <f t="array" ref="L70">IFERROR(_xlfn.STDEV.S(IF((OutputTable[GroupByKey]=OutputTable[[#This Row],[GroupByKey]]),(OutputTable[GroupByKey]=OutputTable[[#This Row],[GroupByKey]])*OutputTable[RecordedValue])),0)</f>
        <v>0.10307627324848868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70" cm="1">
        <f t="array" ref="O70">MIN(IF((OutputTable[GroupByKey]=OutputTable[[#This Row],[GroupByKey]]),(OutputTable[GroupByKey]=OutputTable[[#This Row],[GroupByKey]])*OutputTable[RecordedValue]))</f>
        <v>0.44460892146328002</v>
      </c>
      <c r="P70" cm="1">
        <f t="array" ref="P70">MAX(IF((OutputTable[GroupByKey]=OutputTable[[#This Row],[GroupByKey]]),(OutputTable[GroupByKey]=OutputTable[[#This Row],[GroupByKey]])*OutputTable[RecordedValue]))</f>
        <v>0.96696734486103797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87.1</v>
      </c>
      <c r="L71" cm="1">
        <f t="array" ref="L71">IFERROR(_xlfn.STDEV.S(IF((OutputTable[GroupByKey]=OutputTable[[#This Row],[GroupByKey]]),(OutputTable[GroupByKey]=OutputTable[[#This Row],[GroupByKey]])*OutputTable[RecordedValue])),0)</f>
        <v>9.5749313493532675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71" cm="1">
        <f t="array" ref="O71">MIN(IF((OutputTable[GroupByKey]=OutputTable[[#This Row],[GroupByKey]]),(OutputTable[GroupByKey]=OutputTable[[#This Row],[GroupByKey]])*OutputTable[RecordedValue]))</f>
        <v>64</v>
      </c>
      <c r="P71" cm="1">
        <f t="array" ref="P71">MAX(IF((OutputTable[GroupByKey]=OutputTable[[#This Row],[GroupByKey]]),(OutputTable[GroupByKey]=OutputTable[[#This Row],[GroupByKey]])*OutputTable[RecordedValue]))</f>
        <v>111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82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89.233333333333334</v>
      </c>
      <c r="L72" cm="1">
        <f t="array" ref="L72">IFERROR(_xlfn.STDEV.S(IF((OutputTable[GroupByKey]=OutputTable[[#This Row],[GroupByKey]]),(OutputTable[GroupByKey]=OutputTable[[#This Row],[GroupByKey]])*OutputTable[RecordedValue])),0)</f>
        <v>9.8949075489515774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72" cm="1">
        <f t="array" ref="O72">MIN(IF((OutputTable[GroupByKey]=OutputTable[[#This Row],[GroupByKey]]),(OutputTable[GroupByKey]=OutputTable[[#This Row],[GroupByKey]])*OutputTable[RecordedValue]))</f>
        <v>68</v>
      </c>
      <c r="P72" cm="1">
        <f t="array" ref="P72">MAX(IF((OutputTable[GroupByKey]=OutputTable[[#This Row],[GroupByKey]]),(OutputTable[GroupByKey]=OutputTable[[#This Row],[GroupByKey]])*OutputTable[RecordedValue]))</f>
        <v>113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82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87.1</v>
      </c>
      <c r="L73" cm="1">
        <f t="array" ref="L73">IFERROR(_xlfn.STDEV.S(IF((OutputTable[GroupByKey]=OutputTable[[#This Row],[GroupByKey]]),(OutputTable[GroupByKey]=OutputTable[[#This Row],[GroupByKey]])*OutputTable[RecordedValue])),0)</f>
        <v>9.5749313493532675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73" cm="1">
        <f t="array" ref="O73">MIN(IF((OutputTable[GroupByKey]=OutputTable[[#This Row],[GroupByKey]]),(OutputTable[GroupByKey]=OutputTable[[#This Row],[GroupByKey]])*OutputTable[RecordedValue]))</f>
        <v>64</v>
      </c>
      <c r="P73" cm="1">
        <f t="array" ref="P73">MAX(IF((OutputTable[GroupByKey]=OutputTable[[#This Row],[GroupByKey]]),(OutputTable[GroupByKey]=OutputTable[[#This Row],[GroupByKey]])*OutputTable[RecordedValue]))</f>
        <v>111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82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88.4</v>
      </c>
      <c r="L74" cm="1">
        <f t="array" ref="L74">IFERROR(_xlfn.STDEV.S(IF((OutputTable[GroupByKey]=OutputTable[[#This Row],[GroupByKey]]),(OutputTable[GroupByKey]=OutputTable[[#This Row],[GroupByKey]])*OutputTable[RecordedValue])),0)</f>
        <v>9.6440083239141039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74" cm="1">
        <f t="array" ref="O74">MIN(IF((OutputTable[GroupByKey]=OutputTable[[#This Row],[GroupByKey]]),(OutputTable[GroupByKey]=OutputTable[[#This Row],[GroupByKey]])*OutputTable[RecordedValue]))</f>
        <v>66</v>
      </c>
      <c r="P74" cm="1">
        <f t="array" ref="P74">MAX(IF((OutputTable[GroupByKey]=OutputTable[[#This Row],[GroupByKey]]),(OutputTable[GroupByKey]=OutputTable[[#This Row],[GroupByKey]])*OutputTable[RecordedValue]))</f>
        <v>113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0.56411474984017596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0.66114135173630362</v>
      </c>
      <c r="L75" cm="1">
        <f t="array" ref="L75">IFERROR(_xlfn.STDEV.S(IF((OutputTable[GroupByKey]=OutputTable[[#This Row],[GroupByKey]]),(OutputTable[GroupByKey]=OutputTable[[#This Row],[GroupByKey]])*OutputTable[RecordedValue])),0)</f>
        <v>0.10307627324848868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75" cm="1">
        <f t="array" ref="O75">MIN(IF((OutputTable[GroupByKey]=OutputTable[[#This Row],[GroupByKey]]),(OutputTable[GroupByKey]=OutputTable[[#This Row],[GroupByKey]])*OutputTable[RecordedValue]))</f>
        <v>0.44460892146328002</v>
      </c>
      <c r="P75" cm="1">
        <f t="array" ref="P75">MAX(IF((OutputTable[GroupByKey]=OutputTable[[#This Row],[GroupByKey]]),(OutputTable[GroupByKey]=OutputTable[[#This Row],[GroupByKey]])*OutputTable[RecordedValue]))</f>
        <v>0.96696734486103797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82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87.1</v>
      </c>
      <c r="L76" cm="1">
        <f t="array" ref="L76">IFERROR(_xlfn.STDEV.S(IF((OutputTable[GroupByKey]=OutputTable[[#This Row],[GroupByKey]]),(OutputTable[GroupByKey]=OutputTable[[#This Row],[GroupByKey]])*OutputTable[RecordedValue])),0)</f>
        <v>9.5749313493532675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76" cm="1">
        <f t="array" ref="O76">MIN(IF((OutputTable[GroupByKey]=OutputTable[[#This Row],[GroupByKey]]),(OutputTable[GroupByKey]=OutputTable[[#This Row],[GroupByKey]])*OutputTable[RecordedValue]))</f>
        <v>64</v>
      </c>
      <c r="P76" cm="1">
        <f t="array" ref="P76">MAX(IF((OutputTable[GroupByKey]=OutputTable[[#This Row],[GroupByKey]]),(OutputTable[GroupByKey]=OutputTable[[#This Row],[GroupByKey]])*OutputTable[RecordedValue]))</f>
        <v>111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88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89.233333333333334</v>
      </c>
      <c r="L77" cm="1">
        <f t="array" ref="L77">IFERROR(_xlfn.STDEV.S(IF((OutputTable[GroupByKey]=OutputTable[[#This Row],[GroupByKey]]),(OutputTable[GroupByKey]=OutputTable[[#This Row],[GroupByKey]])*OutputTable[RecordedValue])),0)</f>
        <v>9.8949075489515774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77" cm="1">
        <f t="array" ref="O77">MIN(IF((OutputTable[GroupByKey]=OutputTable[[#This Row],[GroupByKey]]),(OutputTable[GroupByKey]=OutputTable[[#This Row],[GroupByKey]])*OutputTable[RecordedValue]))</f>
        <v>68</v>
      </c>
      <c r="P77" cm="1">
        <f t="array" ref="P77">MAX(IF((OutputTable[GroupByKey]=OutputTable[[#This Row],[GroupByKey]]),(OutputTable[GroupByKey]=OutputTable[[#This Row],[GroupByKey]])*OutputTable[RecordedValue]))</f>
        <v>113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83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87.1</v>
      </c>
      <c r="L78" cm="1">
        <f t="array" ref="L78">IFERROR(_xlfn.STDEV.S(IF((OutputTable[GroupByKey]=OutputTable[[#This Row],[GroupByKey]]),(OutputTable[GroupByKey]=OutputTable[[#This Row],[GroupByKey]])*OutputTable[RecordedValue])),0)</f>
        <v>9.5749313493532675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78" cm="1">
        <f t="array" ref="O78">MIN(IF((OutputTable[GroupByKey]=OutputTable[[#This Row],[GroupByKey]]),(OutputTable[GroupByKey]=OutputTable[[#This Row],[GroupByKey]])*OutputTable[RecordedValue]))</f>
        <v>64</v>
      </c>
      <c r="P78" cm="1">
        <f t="array" ref="P78">MAX(IF((OutputTable[GroupByKey]=OutputTable[[#This Row],[GroupByKey]]),(OutputTable[GroupByKey]=OutputTable[[#This Row],[GroupByKey]])*OutputTable[RecordedValue]))</f>
        <v>111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85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88.4</v>
      </c>
      <c r="L79" cm="1">
        <f t="array" ref="L79">IFERROR(_xlfn.STDEV.S(IF((OutputTable[GroupByKey]=OutputTable[[#This Row],[GroupByKey]]),(OutputTable[GroupByKey]=OutputTable[[#This Row],[GroupByKey]])*OutputTable[RecordedValue])),0)</f>
        <v>9.6440083239141039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79" cm="1">
        <f t="array" ref="O79">MIN(IF((OutputTable[GroupByKey]=OutputTable[[#This Row],[GroupByKey]]),(OutputTable[GroupByKey]=OutputTable[[#This Row],[GroupByKey]])*OutputTable[RecordedValue]))</f>
        <v>66</v>
      </c>
      <c r="P79" cm="1">
        <f t="array" ref="P79">MAX(IF((OutputTable[GroupByKey]=OutputTable[[#This Row],[GroupByKey]]),(OutputTable[GroupByKey]=OutputTable[[#This Row],[GroupByKey]])*OutputTable[RecordedValue]))</f>
        <v>113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0.74599603297739203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0.66114135173630362</v>
      </c>
      <c r="L80" cm="1">
        <f t="array" ref="L80">IFERROR(_xlfn.STDEV.S(IF((OutputTable[GroupByKey]=OutputTable[[#This Row],[GroupByKey]]),(OutputTable[GroupByKey]=OutputTable[[#This Row],[GroupByKey]])*OutputTable[RecordedValue])),0)</f>
        <v>0.10307627324848868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80" cm="1">
        <f t="array" ref="O80">MIN(IF((OutputTable[GroupByKey]=OutputTable[[#This Row],[GroupByKey]]),(OutputTable[GroupByKey]=OutputTable[[#This Row],[GroupByKey]])*OutputTable[RecordedValue]))</f>
        <v>0.44460892146328002</v>
      </c>
      <c r="P80" cm="1">
        <f t="array" ref="P80">MAX(IF((OutputTable[GroupByKey]=OutputTable[[#This Row],[GroupByKey]]),(OutputTable[GroupByKey]=OutputTable[[#This Row],[GroupByKey]])*OutputTable[RecordedValue]))</f>
        <v>0.96696734486103797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83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87.1</v>
      </c>
      <c r="L81" cm="1">
        <f t="array" ref="L81">IFERROR(_xlfn.STDEV.S(IF((OutputTable[GroupByKey]=OutputTable[[#This Row],[GroupByKey]]),(OutputTable[GroupByKey]=OutputTable[[#This Row],[GroupByKey]])*OutputTable[RecordedValue])),0)</f>
        <v>9.5749313493532675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81" cm="1">
        <f t="array" ref="O81">MIN(IF((OutputTable[GroupByKey]=OutputTable[[#This Row],[GroupByKey]]),(OutputTable[GroupByKey]=OutputTable[[#This Row],[GroupByKey]])*OutputTable[RecordedValue]))</f>
        <v>64</v>
      </c>
      <c r="P81" cm="1">
        <f t="array" ref="P81">MAX(IF((OutputTable[GroupByKey]=OutputTable[[#This Row],[GroupByKey]]),(OutputTable[GroupByKey]=OutputTable[[#This Row],[GroupByKey]])*OutputTable[RecordedValue]))</f>
        <v>111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68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89.233333333333334</v>
      </c>
      <c r="L82" cm="1">
        <f t="array" ref="L82">IFERROR(_xlfn.STDEV.S(IF((OutputTable[GroupByKey]=OutputTable[[#This Row],[GroupByKey]]),(OutputTable[GroupByKey]=OutputTable[[#This Row],[GroupByKey]])*OutputTable[RecordedValue])),0)</f>
        <v>9.8949075489515774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82" cm="1">
        <f t="array" ref="O82">MIN(IF((OutputTable[GroupByKey]=OutputTable[[#This Row],[GroupByKey]]),(OutputTable[GroupByKey]=OutputTable[[#This Row],[GroupByKey]])*OutputTable[RecordedValue]))</f>
        <v>68</v>
      </c>
      <c r="P82" cm="1">
        <f t="array" ref="P82">MAX(IF((OutputTable[GroupByKey]=OutputTable[[#This Row],[GroupByKey]]),(OutputTable[GroupByKey]=OutputTable[[#This Row],[GroupByKey]])*OutputTable[RecordedValue]))</f>
        <v>113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67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87.1</v>
      </c>
      <c r="L83" cm="1">
        <f t="array" ref="L83">IFERROR(_xlfn.STDEV.S(IF((OutputTable[GroupByKey]=OutputTable[[#This Row],[GroupByKey]]),(OutputTable[GroupByKey]=OutputTable[[#This Row],[GroupByKey]])*OutputTable[RecordedValue])),0)</f>
        <v>9.5749313493532675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83" cm="1">
        <f t="array" ref="O83">MIN(IF((OutputTable[GroupByKey]=OutputTable[[#This Row],[GroupByKey]]),(OutputTable[GroupByKey]=OutputTable[[#This Row],[GroupByKey]])*OutputTable[RecordedValue]))</f>
        <v>64</v>
      </c>
      <c r="P83" cm="1">
        <f t="array" ref="P83">MAX(IF((OutputTable[GroupByKey]=OutputTable[[#This Row],[GroupByKey]]),(OutputTable[GroupByKey]=OutputTable[[#This Row],[GroupByKey]])*OutputTable[RecordedValue]))</f>
        <v>111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68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88.4</v>
      </c>
      <c r="L84" cm="1">
        <f t="array" ref="L84">IFERROR(_xlfn.STDEV.S(IF((OutputTable[GroupByKey]=OutputTable[[#This Row],[GroupByKey]]),(OutputTable[GroupByKey]=OutputTable[[#This Row],[GroupByKey]])*OutputTable[RecordedValue])),0)</f>
        <v>9.6440083239141039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84" cm="1">
        <f t="array" ref="O84">MIN(IF((OutputTable[GroupByKey]=OutputTable[[#This Row],[GroupByKey]]),(OutputTable[GroupByKey]=OutputTable[[#This Row],[GroupByKey]])*OutputTable[RecordedValue]))</f>
        <v>66</v>
      </c>
      <c r="P84" cm="1">
        <f t="array" ref="P84">MAX(IF((OutputTable[GroupByKey]=OutputTable[[#This Row],[GroupByKey]]),(OutputTable[GroupByKey]=OutputTable[[#This Row],[GroupByKey]])*OutputTable[RecordedValue]))</f>
        <v>113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0.44460892146328002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0.66114135173630362</v>
      </c>
      <c r="L85" cm="1">
        <f t="array" ref="L85">IFERROR(_xlfn.STDEV.S(IF((OutputTable[GroupByKey]=OutputTable[[#This Row],[GroupByKey]]),(OutputTable[GroupByKey]=OutputTable[[#This Row],[GroupByKey]])*OutputTable[RecordedValue])),0)</f>
        <v>0.10307627324848868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85" cm="1">
        <f t="array" ref="O85">MIN(IF((OutputTable[GroupByKey]=OutputTable[[#This Row],[GroupByKey]]),(OutputTable[GroupByKey]=OutputTable[[#This Row],[GroupByKey]])*OutputTable[RecordedValue]))</f>
        <v>0.44460892146328002</v>
      </c>
      <c r="P85" cm="1">
        <f t="array" ref="P85">MAX(IF((OutputTable[GroupByKey]=OutputTable[[#This Row],[GroupByKey]]),(OutputTable[GroupByKey]=OutputTable[[#This Row],[GroupByKey]])*OutputTable[RecordedValue]))</f>
        <v>0.96696734486103797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67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87.1</v>
      </c>
      <c r="L86" cm="1">
        <f t="array" ref="L86">IFERROR(_xlfn.STDEV.S(IF((OutputTable[GroupByKey]=OutputTable[[#This Row],[GroupByKey]]),(OutputTable[GroupByKey]=OutputTable[[#This Row],[GroupByKey]])*OutputTable[RecordedValue])),0)</f>
        <v>9.5749313493532675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86" cm="1">
        <f t="array" ref="O86">MIN(IF((OutputTable[GroupByKey]=OutputTable[[#This Row],[GroupByKey]]),(OutputTable[GroupByKey]=OutputTable[[#This Row],[GroupByKey]])*OutputTable[RecordedValue]))</f>
        <v>64</v>
      </c>
      <c r="P86" cm="1">
        <f t="array" ref="P86">MAX(IF((OutputTable[GroupByKey]=OutputTable[[#This Row],[GroupByKey]]),(OutputTable[GroupByKey]=OutputTable[[#This Row],[GroupByKey]])*OutputTable[RecordedValue]))</f>
        <v>111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91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89.233333333333334</v>
      </c>
      <c r="L87" cm="1">
        <f t="array" ref="L87">IFERROR(_xlfn.STDEV.S(IF((OutputTable[GroupByKey]=OutputTable[[#This Row],[GroupByKey]]),(OutputTable[GroupByKey]=OutputTable[[#This Row],[GroupByKey]])*OutputTable[RecordedValue])),0)</f>
        <v>9.8949075489515774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87" cm="1">
        <f t="array" ref="O87">MIN(IF((OutputTable[GroupByKey]=OutputTable[[#This Row],[GroupByKey]]),(OutputTable[GroupByKey]=OutputTable[[#This Row],[GroupByKey]])*OutputTable[RecordedValue]))</f>
        <v>68</v>
      </c>
      <c r="P87" cm="1">
        <f t="array" ref="P87">MAX(IF((OutputTable[GroupByKey]=OutputTable[[#This Row],[GroupByKey]]),(OutputTable[GroupByKey]=OutputTable[[#This Row],[GroupByKey]])*OutputTable[RecordedValue]))</f>
        <v>113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89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87.1</v>
      </c>
      <c r="L88" cm="1">
        <f t="array" ref="L88">IFERROR(_xlfn.STDEV.S(IF((OutputTable[GroupByKey]=OutputTable[[#This Row],[GroupByKey]]),(OutputTable[GroupByKey]=OutputTable[[#This Row],[GroupByKey]])*OutputTable[RecordedValue])),0)</f>
        <v>9.5749313493532675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88" cm="1">
        <f t="array" ref="O88">MIN(IF((OutputTable[GroupByKey]=OutputTable[[#This Row],[GroupByKey]]),(OutputTable[GroupByKey]=OutputTable[[#This Row],[GroupByKey]])*OutputTable[RecordedValue]))</f>
        <v>64</v>
      </c>
      <c r="P88" cm="1">
        <f t="array" ref="P88">MAX(IF((OutputTable[GroupByKey]=OutputTable[[#This Row],[GroupByKey]]),(OutputTable[GroupByKey]=OutputTable[[#This Row],[GroupByKey]])*OutputTable[RecordedValue]))</f>
        <v>111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91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88.4</v>
      </c>
      <c r="L89" cm="1">
        <f t="array" ref="L89">IFERROR(_xlfn.STDEV.S(IF((OutputTable[GroupByKey]=OutputTable[[#This Row],[GroupByKey]]),(OutputTable[GroupByKey]=OutputTable[[#This Row],[GroupByKey]])*OutputTable[RecordedValue])),0)</f>
        <v>9.6440083239141039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89" cm="1">
        <f t="array" ref="O89">MIN(IF((OutputTable[GroupByKey]=OutputTable[[#This Row],[GroupByKey]]),(OutputTable[GroupByKey]=OutputTable[[#This Row],[GroupByKey]])*OutputTable[RecordedValue]))</f>
        <v>66</v>
      </c>
      <c r="P89" cm="1">
        <f t="array" ref="P89">MAX(IF((OutputTable[GroupByKey]=OutputTable[[#This Row],[GroupByKey]]),(OutputTable[GroupByKey]=OutputTable[[#This Row],[GroupByKey]])*OutputTable[RecordedValue]))</f>
        <v>113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0.69912146170646705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0.66114135173630362</v>
      </c>
      <c r="L90" cm="1">
        <f t="array" ref="L90">IFERROR(_xlfn.STDEV.S(IF((OutputTable[GroupByKey]=OutputTable[[#This Row],[GroupByKey]]),(OutputTable[GroupByKey]=OutputTable[[#This Row],[GroupByKey]])*OutputTable[RecordedValue])),0)</f>
        <v>0.10307627324848868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90" cm="1">
        <f t="array" ref="O90">MIN(IF((OutputTable[GroupByKey]=OutputTable[[#This Row],[GroupByKey]]),(OutputTable[GroupByKey]=OutputTable[[#This Row],[GroupByKey]])*OutputTable[RecordedValue]))</f>
        <v>0.44460892146328002</v>
      </c>
      <c r="P90" cm="1">
        <f t="array" ref="P90">MAX(IF((OutputTable[GroupByKey]=OutputTable[[#This Row],[GroupByKey]]),(OutputTable[GroupByKey]=OutputTable[[#This Row],[GroupByKey]])*OutputTable[RecordedValue]))</f>
        <v>0.96696734486103797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89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87.1</v>
      </c>
      <c r="L91" cm="1">
        <f t="array" ref="L91">IFERROR(_xlfn.STDEV.S(IF((OutputTable[GroupByKey]=OutputTable[[#This Row],[GroupByKey]]),(OutputTable[GroupByKey]=OutputTable[[#This Row],[GroupByKey]])*OutputTable[RecordedValue])),0)</f>
        <v>9.5749313493532675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91" cm="1">
        <f t="array" ref="O91">MIN(IF((OutputTable[GroupByKey]=OutputTable[[#This Row],[GroupByKey]]),(OutputTable[GroupByKey]=OutputTable[[#This Row],[GroupByKey]])*OutputTable[RecordedValue]))</f>
        <v>64</v>
      </c>
      <c r="P91" cm="1">
        <f t="array" ref="P91">MAX(IF((OutputTable[GroupByKey]=OutputTable[[#This Row],[GroupByKey]]),(OutputTable[GroupByKey]=OutputTable[[#This Row],[GroupByKey]])*OutputTable[RecordedValue]))</f>
        <v>111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80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89.233333333333334</v>
      </c>
      <c r="L92" cm="1">
        <f t="array" ref="L92">IFERROR(_xlfn.STDEV.S(IF((OutputTable[GroupByKey]=OutputTable[[#This Row],[GroupByKey]]),(OutputTable[GroupByKey]=OutputTable[[#This Row],[GroupByKey]])*OutputTable[RecordedValue])),0)</f>
        <v>9.8949075489515774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92" cm="1">
        <f t="array" ref="O92">MIN(IF((OutputTable[GroupByKey]=OutputTable[[#This Row],[GroupByKey]]),(OutputTable[GroupByKey]=OutputTable[[#This Row],[GroupByKey]])*OutputTable[RecordedValue]))</f>
        <v>68</v>
      </c>
      <c r="P92" cm="1">
        <f t="array" ref="P92">MAX(IF((OutputTable[GroupByKey]=OutputTable[[#This Row],[GroupByKey]]),(OutputTable[GroupByKey]=OutputTable[[#This Row],[GroupByKey]])*OutputTable[RecordedValue]))</f>
        <v>113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75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87.1</v>
      </c>
      <c r="L93" cm="1">
        <f t="array" ref="L93">IFERROR(_xlfn.STDEV.S(IF((OutputTable[GroupByKey]=OutputTable[[#This Row],[GroupByKey]]),(OutputTable[GroupByKey]=OutputTable[[#This Row],[GroupByKey]])*OutputTable[RecordedValue])),0)</f>
        <v>9.5749313493532675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93" cm="1">
        <f t="array" ref="O93">MIN(IF((OutputTable[GroupByKey]=OutputTable[[#This Row],[GroupByKey]]),(OutputTable[GroupByKey]=OutputTable[[#This Row],[GroupByKey]])*OutputTable[RecordedValue]))</f>
        <v>64</v>
      </c>
      <c r="P93" cm="1">
        <f t="array" ref="P93">MAX(IF((OutputTable[GroupByKey]=OutputTable[[#This Row],[GroupByKey]]),(OutputTable[GroupByKey]=OutputTable[[#This Row],[GroupByKey]])*OutputTable[RecordedValue]))</f>
        <v>111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77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88.4</v>
      </c>
      <c r="L94" cm="1">
        <f t="array" ref="L94">IFERROR(_xlfn.STDEV.S(IF((OutputTable[GroupByKey]=OutputTable[[#This Row],[GroupByKey]]),(OutputTable[GroupByKey]=OutputTable[[#This Row],[GroupByKey]])*OutputTable[RecordedValue])),0)</f>
        <v>9.6440083239141039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94" cm="1">
        <f t="array" ref="O94">MIN(IF((OutputTable[GroupByKey]=OutputTable[[#This Row],[GroupByKey]]),(OutputTable[GroupByKey]=OutputTable[[#This Row],[GroupByKey]])*OutputTable[RecordedValue]))</f>
        <v>66</v>
      </c>
      <c r="P94" cm="1">
        <f t="array" ref="P94">MAX(IF((OutputTable[GroupByKey]=OutputTable[[#This Row],[GroupByKey]]),(OutputTable[GroupByKey]=OutputTable[[#This Row],[GroupByKey]])*OutputTable[RecordedValue]))</f>
        <v>113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0.58754599723964096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0.66114135173630362</v>
      </c>
      <c r="L95" cm="1">
        <f t="array" ref="L95">IFERROR(_xlfn.STDEV.S(IF((OutputTable[GroupByKey]=OutputTable[[#This Row],[GroupByKey]]),(OutputTable[GroupByKey]=OutputTable[[#This Row],[GroupByKey]])*OutputTable[RecordedValue])),0)</f>
        <v>0.10307627324848868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95" cm="1">
        <f t="array" ref="O95">MIN(IF((OutputTable[GroupByKey]=OutputTable[[#This Row],[GroupByKey]]),(OutputTable[GroupByKey]=OutputTable[[#This Row],[GroupByKey]])*OutputTable[RecordedValue]))</f>
        <v>0.44460892146328002</v>
      </c>
      <c r="P95" cm="1">
        <f t="array" ref="P95">MAX(IF((OutputTable[GroupByKey]=OutputTable[[#This Row],[GroupByKey]]),(OutputTable[GroupByKey]=OutputTable[[#This Row],[GroupByKey]])*OutputTable[RecordedValue]))</f>
        <v>0.96696734486103797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75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87.1</v>
      </c>
      <c r="L96" cm="1">
        <f t="array" ref="L96">IFERROR(_xlfn.STDEV.S(IF((OutputTable[GroupByKey]=OutputTable[[#This Row],[GroupByKey]]),(OutputTable[GroupByKey]=OutputTable[[#This Row],[GroupByKey]])*OutputTable[RecordedValue])),0)</f>
        <v>9.5749313493532675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96" cm="1">
        <f t="array" ref="O96">MIN(IF((OutputTable[GroupByKey]=OutputTable[[#This Row],[GroupByKey]]),(OutputTable[GroupByKey]=OutputTable[[#This Row],[GroupByKey]])*OutputTable[RecordedValue]))</f>
        <v>64</v>
      </c>
      <c r="P96" cm="1">
        <f t="array" ref="P96">MAX(IF((OutputTable[GroupByKey]=OutputTable[[#This Row],[GroupByKey]]),(OutputTable[GroupByKey]=OutputTable[[#This Row],[GroupByKey]])*OutputTable[RecordedValue]))</f>
        <v>111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89.233333333333334</v>
      </c>
      <c r="L97" cm="1">
        <f t="array" ref="L97">IFERROR(_xlfn.STDEV.S(IF((OutputTable[GroupByKey]=OutputTable[[#This Row],[GroupByKey]]),(OutputTable[GroupByKey]=OutputTable[[#This Row],[GroupByKey]])*OutputTable[RecordedValue])),0)</f>
        <v>9.8949075489515774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97" cm="1">
        <f t="array" ref="O97">MIN(IF((OutputTable[GroupByKey]=OutputTable[[#This Row],[GroupByKey]]),(OutputTable[GroupByKey]=OutputTable[[#This Row],[GroupByKey]])*OutputTable[RecordedValue]))</f>
        <v>68</v>
      </c>
      <c r="P97" cm="1">
        <f t="array" ref="P97">MAX(IF((OutputTable[GroupByKey]=OutputTable[[#This Row],[GroupByKey]]),(OutputTable[GroupByKey]=OutputTable[[#This Row],[GroupByKey]])*OutputTable[RecordedValue]))</f>
        <v>113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87.1</v>
      </c>
      <c r="L98" cm="1">
        <f t="array" ref="L98">IFERROR(_xlfn.STDEV.S(IF((OutputTable[GroupByKey]=OutputTable[[#This Row],[GroupByKey]]),(OutputTable[GroupByKey]=OutputTable[[#This Row],[GroupByKey]])*OutputTable[RecordedValue])),0)</f>
        <v>9.5749313493532675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98" cm="1">
        <f t="array" ref="O98">MIN(IF((OutputTable[GroupByKey]=OutputTable[[#This Row],[GroupByKey]]),(OutputTable[GroupByKey]=OutputTable[[#This Row],[GroupByKey]])*OutputTable[RecordedValue]))</f>
        <v>64</v>
      </c>
      <c r="P98" cm="1">
        <f t="array" ref="P98">MAX(IF((OutputTable[GroupByKey]=OutputTable[[#This Row],[GroupByKey]]),(OutputTable[GroupByKey]=OutputTable[[#This Row],[GroupByKey]])*OutputTable[RecordedValue]))</f>
        <v>111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88.4</v>
      </c>
      <c r="L99" cm="1">
        <f t="array" ref="L99">IFERROR(_xlfn.STDEV.S(IF((OutputTable[GroupByKey]=OutputTable[[#This Row],[GroupByKey]]),(OutputTable[GroupByKey]=OutputTable[[#This Row],[GroupByKey]])*OutputTable[RecordedValue])),0)</f>
        <v>9.6440083239141039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99" cm="1">
        <f t="array" ref="O99">MIN(IF((OutputTable[GroupByKey]=OutputTable[[#This Row],[GroupByKey]]),(OutputTable[GroupByKey]=OutputTable[[#This Row],[GroupByKey]])*OutputTable[RecordedValue]))</f>
        <v>66</v>
      </c>
      <c r="P99" cm="1">
        <f t="array" ref="P99">MAX(IF((OutputTable[GroupByKey]=OutputTable[[#This Row],[GroupByKey]]),(OutputTable[GroupByKey]=OutputTable[[#This Row],[GroupByKey]])*OutputTable[RecordedValue]))</f>
        <v>113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0.59284387506629699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0.66114135173630362</v>
      </c>
      <c r="L100" cm="1">
        <f t="array" ref="L100">IFERROR(_xlfn.STDEV.S(IF((OutputTable[GroupByKey]=OutputTable[[#This Row],[GroupByKey]]),(OutputTable[GroupByKey]=OutputTable[[#This Row],[GroupByKey]])*OutputTable[RecordedValue])),0)</f>
        <v>0.10307627324848868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00" cm="1">
        <f t="array" ref="O100">MIN(IF((OutputTable[GroupByKey]=OutputTable[[#This Row],[GroupByKey]]),(OutputTable[GroupByKey]=OutputTable[[#This Row],[GroupByKey]])*OutputTable[RecordedValue]))</f>
        <v>0.44460892146328002</v>
      </c>
      <c r="P100" cm="1">
        <f t="array" ref="P100">MAX(IF((OutputTable[GroupByKey]=OutputTable[[#This Row],[GroupByKey]]),(OutputTable[GroupByKey]=OutputTable[[#This Row],[GroupByKey]])*OutputTable[RecordedValue]))</f>
        <v>0.96696734486103797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87.1</v>
      </c>
      <c r="L101" cm="1">
        <f t="array" ref="L101">IFERROR(_xlfn.STDEV.S(IF((OutputTable[GroupByKey]=OutputTable[[#This Row],[GroupByKey]]),(OutputTable[GroupByKey]=OutputTable[[#This Row],[GroupByKey]])*OutputTable[RecordedValue])),0)</f>
        <v>9.5749313493532675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01" cm="1">
        <f t="array" ref="O101">MIN(IF((OutputTable[GroupByKey]=OutputTable[[#This Row],[GroupByKey]]),(OutputTable[GroupByKey]=OutputTable[[#This Row],[GroupByKey]])*OutputTable[RecordedValue]))</f>
        <v>64</v>
      </c>
      <c r="P101" cm="1">
        <f t="array" ref="P101">MAX(IF((OutputTable[GroupByKey]=OutputTable[[#This Row],[GroupByKey]]),(OutputTable[GroupByKey]=OutputTable[[#This Row],[GroupByKey]])*OutputTable[RecordedValue]))</f>
        <v>111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99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89.233333333333334</v>
      </c>
      <c r="L102" cm="1">
        <f t="array" ref="L102">IFERROR(_xlfn.STDEV.S(IF((OutputTable[GroupByKey]=OutputTable[[#This Row],[GroupByKey]]),(OutputTable[GroupByKey]=OutputTable[[#This Row],[GroupByKey]])*OutputTable[RecordedValue])),0)</f>
        <v>9.8949075489515774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02" cm="1">
        <f t="array" ref="O102">MIN(IF((OutputTable[GroupByKey]=OutputTable[[#This Row],[GroupByKey]]),(OutputTable[GroupByKey]=OutputTable[[#This Row],[GroupByKey]])*OutputTable[RecordedValue]))</f>
        <v>68</v>
      </c>
      <c r="P102" cm="1">
        <f t="array" ref="P102">MAX(IF((OutputTable[GroupByKey]=OutputTable[[#This Row],[GroupByKey]]),(OutputTable[GroupByKey]=OutputTable[[#This Row],[GroupByKey]])*OutputTable[RecordedValue]))</f>
        <v>113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97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87.1</v>
      </c>
      <c r="L103" cm="1">
        <f t="array" ref="L103">IFERROR(_xlfn.STDEV.S(IF((OutputTable[GroupByKey]=OutputTable[[#This Row],[GroupByKey]]),(OutputTable[GroupByKey]=OutputTable[[#This Row],[GroupByKey]])*OutputTable[RecordedValue])),0)</f>
        <v>9.5749313493532675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03" cm="1">
        <f t="array" ref="O103">MIN(IF((OutputTable[GroupByKey]=OutputTable[[#This Row],[GroupByKey]]),(OutputTable[GroupByKey]=OutputTable[[#This Row],[GroupByKey]])*OutputTable[RecordedValue]))</f>
        <v>64</v>
      </c>
      <c r="P103" cm="1">
        <f t="array" ref="P103">MAX(IF((OutputTable[GroupByKey]=OutputTable[[#This Row],[GroupByKey]]),(OutputTable[GroupByKey]=OutputTable[[#This Row],[GroupByKey]])*OutputTable[RecordedValue]))</f>
        <v>111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99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88.4</v>
      </c>
      <c r="L104" cm="1">
        <f t="array" ref="L104">IFERROR(_xlfn.STDEV.S(IF((OutputTable[GroupByKey]=OutputTable[[#This Row],[GroupByKey]]),(OutputTable[GroupByKey]=OutputTable[[#This Row],[GroupByKey]])*OutputTable[RecordedValue])),0)</f>
        <v>9.6440083239141039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04" cm="1">
        <f t="array" ref="O104">MIN(IF((OutputTable[GroupByKey]=OutputTable[[#This Row],[GroupByKey]]),(OutputTable[GroupByKey]=OutputTable[[#This Row],[GroupByKey]])*OutputTable[RecordedValue]))</f>
        <v>66</v>
      </c>
      <c r="P104" cm="1">
        <f t="array" ref="P104">MAX(IF((OutputTable[GroupByKey]=OutputTable[[#This Row],[GroupByKey]]),(OutputTable[GroupByKey]=OutputTable[[#This Row],[GroupByKey]])*OutputTable[RecordedValue]))</f>
        <v>113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0.66721410752092303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0.66114135173630362</v>
      </c>
      <c r="L105" cm="1">
        <f t="array" ref="L105">IFERROR(_xlfn.STDEV.S(IF((OutputTable[GroupByKey]=OutputTable[[#This Row],[GroupByKey]]),(OutputTable[GroupByKey]=OutputTable[[#This Row],[GroupByKey]])*OutputTable[RecordedValue])),0)</f>
        <v>0.10307627324848868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05" cm="1">
        <f t="array" ref="O105">MIN(IF((OutputTable[GroupByKey]=OutputTable[[#This Row],[GroupByKey]]),(OutputTable[GroupByKey]=OutputTable[[#This Row],[GroupByKey]])*OutputTable[RecordedValue]))</f>
        <v>0.44460892146328002</v>
      </c>
      <c r="P105" cm="1">
        <f t="array" ref="P105">MAX(IF((OutputTable[GroupByKey]=OutputTable[[#This Row],[GroupByKey]]),(OutputTable[GroupByKey]=OutputTable[[#This Row],[GroupByKey]])*OutputTable[RecordedValue]))</f>
        <v>0.96696734486103797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97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87.1</v>
      </c>
      <c r="L106" cm="1">
        <f t="array" ref="L106">IFERROR(_xlfn.STDEV.S(IF((OutputTable[GroupByKey]=OutputTable[[#This Row],[GroupByKey]]),(OutputTable[GroupByKey]=OutputTable[[#This Row],[GroupByKey]])*OutputTable[RecordedValue])),0)</f>
        <v>9.5749313493532675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06" cm="1">
        <f t="array" ref="O106">MIN(IF((OutputTable[GroupByKey]=OutputTable[[#This Row],[GroupByKey]]),(OutputTable[GroupByKey]=OutputTable[[#This Row],[GroupByKey]])*OutputTable[RecordedValue]))</f>
        <v>64</v>
      </c>
      <c r="P106" cm="1">
        <f t="array" ref="P106">MAX(IF((OutputTable[GroupByKey]=OutputTable[[#This Row],[GroupByKey]]),(OutputTable[GroupByKey]=OutputTable[[#This Row],[GroupByKey]])*OutputTable[RecordedValue]))</f>
        <v>111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89.233333333333334</v>
      </c>
      <c r="L107" cm="1">
        <f t="array" ref="L107">IFERROR(_xlfn.STDEV.S(IF((OutputTable[GroupByKey]=OutputTable[[#This Row],[GroupByKey]]),(OutputTable[GroupByKey]=OutputTable[[#This Row],[GroupByKey]])*OutputTable[RecordedValue])),0)</f>
        <v>9.8949075489515774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07" cm="1">
        <f t="array" ref="O107">MIN(IF((OutputTable[GroupByKey]=OutputTable[[#This Row],[GroupByKey]]),(OutputTable[GroupByKey]=OutputTable[[#This Row],[GroupByKey]])*OutputTable[RecordedValue]))</f>
        <v>68</v>
      </c>
      <c r="P107" cm="1">
        <f t="array" ref="P107">MAX(IF((OutputTable[GroupByKey]=OutputTable[[#This Row],[GroupByKey]]),(OutputTable[GroupByKey]=OutputTable[[#This Row],[GroupByKey]])*OutputTable[RecordedValue]))</f>
        <v>113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79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87.1</v>
      </c>
      <c r="L108" cm="1">
        <f t="array" ref="L108">IFERROR(_xlfn.STDEV.S(IF((OutputTable[GroupByKey]=OutputTable[[#This Row],[GroupByKey]]),(OutputTable[GroupByKey]=OutputTable[[#This Row],[GroupByKey]])*OutputTable[RecordedValue])),0)</f>
        <v>9.5749313493532675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08" cm="1">
        <f t="array" ref="O108">MIN(IF((OutputTable[GroupByKey]=OutputTable[[#This Row],[GroupByKey]]),(OutputTable[GroupByKey]=OutputTable[[#This Row],[GroupByKey]])*OutputTable[RecordedValue]))</f>
        <v>64</v>
      </c>
      <c r="P108" cm="1">
        <f t="array" ref="P108">MAX(IF((OutputTable[GroupByKey]=OutputTable[[#This Row],[GroupByKey]]),(OutputTable[GroupByKey]=OutputTable[[#This Row],[GroupByKey]])*OutputTable[RecordedValue]))</f>
        <v>111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81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88.4</v>
      </c>
      <c r="L109" cm="1">
        <f t="array" ref="L109">IFERROR(_xlfn.STDEV.S(IF((OutputTable[GroupByKey]=OutputTable[[#This Row],[GroupByKey]]),(OutputTable[GroupByKey]=OutputTable[[#This Row],[GroupByKey]])*OutputTable[RecordedValue])),0)</f>
        <v>9.6440083239141039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09" cm="1">
        <f t="array" ref="O109">MIN(IF((OutputTable[GroupByKey]=OutputTable[[#This Row],[GroupByKey]]),(OutputTable[GroupByKey]=OutputTable[[#This Row],[GroupByKey]])*OutputTable[RecordedValue]))</f>
        <v>66</v>
      </c>
      <c r="P109" cm="1">
        <f t="array" ref="P109">MAX(IF((OutputTable[GroupByKey]=OutputTable[[#This Row],[GroupByKey]]),(OutputTable[GroupByKey]=OutputTable[[#This Row],[GroupByKey]])*OutputTable[RecordedValue]))</f>
        <v>113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0.67395162778034301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0.66114135173630362</v>
      </c>
      <c r="L110" cm="1">
        <f t="array" ref="L110">IFERROR(_xlfn.STDEV.S(IF((OutputTable[GroupByKey]=OutputTable[[#This Row],[GroupByKey]]),(OutputTable[GroupByKey]=OutputTable[[#This Row],[GroupByKey]])*OutputTable[RecordedValue])),0)</f>
        <v>0.10307627324848868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10" cm="1">
        <f t="array" ref="O110">MIN(IF((OutputTable[GroupByKey]=OutputTable[[#This Row],[GroupByKey]]),(OutputTable[GroupByKey]=OutputTable[[#This Row],[GroupByKey]])*OutputTable[RecordedValue]))</f>
        <v>0.44460892146328002</v>
      </c>
      <c r="P110" cm="1">
        <f t="array" ref="P110">MAX(IF((OutputTable[GroupByKey]=OutputTable[[#This Row],[GroupByKey]]),(OutputTable[GroupByKey]=OutputTable[[#This Row],[GroupByKey]])*OutputTable[RecordedValue]))</f>
        <v>0.96696734486103797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79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87.1</v>
      </c>
      <c r="L111" cm="1">
        <f t="array" ref="L111">IFERROR(_xlfn.STDEV.S(IF((OutputTable[GroupByKey]=OutputTable[[#This Row],[GroupByKey]]),(OutputTable[GroupByKey]=OutputTable[[#This Row],[GroupByKey]])*OutputTable[RecordedValue])),0)</f>
        <v>9.5749313493532675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11" cm="1">
        <f t="array" ref="O111">MIN(IF((OutputTable[GroupByKey]=OutputTable[[#This Row],[GroupByKey]]),(OutputTable[GroupByKey]=OutputTable[[#This Row],[GroupByKey]])*OutputTable[RecordedValue]))</f>
        <v>64</v>
      </c>
      <c r="P111" cm="1">
        <f t="array" ref="P111">MAX(IF((OutputTable[GroupByKey]=OutputTable[[#This Row],[GroupByKey]]),(OutputTable[GroupByKey]=OutputTable[[#This Row],[GroupByKey]])*OutputTable[RecordedValue]))</f>
        <v>111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89.233333333333334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9.8949075489515774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12" s="5" cm="1">
        <f t="array" ref="O112">MIN(IF((OutputTable[GroupByKey]=OutputTable[[#This Row],[GroupByKey]]),(OutputTable[GroupByKey]=OutputTable[[#This Row],[GroupByKey]])*OutputTable[RecordedValue]))</f>
        <v>68</v>
      </c>
      <c r="P112" s="5" cm="1">
        <f t="array" ref="P112">MAX(IF((OutputTable[GroupByKey]=OutputTable[[#This Row],[GroupByKey]]),(OutputTable[GroupByKey]=OutputTable[[#This Row],[GroupByKey]])*OutputTable[RecordedValue]))</f>
        <v>113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90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87.1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9.5749313493532675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13" s="5" cm="1">
        <f t="array" ref="O113">MIN(IF((OutputTable[GroupByKey]=OutputTable[[#This Row],[GroupByKey]]),(OutputTable[GroupByKey]=OutputTable[[#This Row],[GroupByKey]])*OutputTable[RecordedValue]))</f>
        <v>64</v>
      </c>
      <c r="P113" s="5" cm="1">
        <f t="array" ref="P113">MAX(IF((OutputTable[GroupByKey]=OutputTable[[#This Row],[GroupByKey]]),(OutputTable[GroupByKey]=OutputTable[[#This Row],[GroupByKey]])*OutputTable[RecordedValue]))</f>
        <v>111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88.4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9.6440083239141039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14" s="5" cm="1">
        <f t="array" ref="O114">MIN(IF((OutputTable[GroupByKey]=OutputTable[[#This Row],[GroupByKey]]),(OutputTable[GroupByKey]=OutputTable[[#This Row],[GroupByKey]])*OutputTable[RecordedValue]))</f>
        <v>66</v>
      </c>
      <c r="P114" s="5" cm="1">
        <f t="array" ref="P114">MAX(IF((OutputTable[GroupByKey]=OutputTable[[#This Row],[GroupByKey]]),(OutputTable[GroupByKey]=OutputTable[[#This Row],[GroupByKey]])*OutputTable[RecordedValue]))</f>
        <v>113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0.62370261214042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0.66114135173630362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0.10307627324848868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15" s="5" cm="1">
        <f t="array" ref="O115">MIN(IF((OutputTable[GroupByKey]=OutputTable[[#This Row],[GroupByKey]]),(OutputTable[GroupByKey]=OutputTable[[#This Row],[GroupByKey]])*OutputTable[RecordedValue]))</f>
        <v>0.44460892146328002</v>
      </c>
      <c r="P115" s="5" cm="1">
        <f t="array" ref="P115">MAX(IF((OutputTable[GroupByKey]=OutputTable[[#This Row],[GroupByKey]]),(OutputTable[GroupByKey]=OutputTable[[#This Row],[GroupByKey]])*OutputTable[RecordedValue]))</f>
        <v>0.96696734486103797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90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87.1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9.5749313493532675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16" s="5" cm="1">
        <f t="array" ref="O116">MIN(IF((OutputTable[GroupByKey]=OutputTable[[#This Row],[GroupByKey]]),(OutputTable[GroupByKey]=OutputTable[[#This Row],[GroupByKey]])*OutputTable[RecordedValue]))</f>
        <v>64</v>
      </c>
      <c r="P116" s="5" cm="1">
        <f t="array" ref="P116">MAX(IF((OutputTable[GroupByKey]=OutputTable[[#This Row],[GroupByKey]]),(OutputTable[GroupByKey]=OutputTable[[#This Row],[GroupByKey]])*OutputTable[RecordedValue]))</f>
        <v>111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68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89.233333333333334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9.8949075489515774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17" s="5" cm="1">
        <f t="array" ref="O117">MIN(IF((OutputTable[GroupByKey]=OutputTable[[#This Row],[GroupByKey]]),(OutputTable[GroupByKey]=OutputTable[[#This Row],[GroupByKey]])*OutputTable[RecordedValue]))</f>
        <v>68</v>
      </c>
      <c r="P117" s="5" cm="1">
        <f t="array" ref="P117">MAX(IF((OutputTable[GroupByKey]=OutputTable[[#This Row],[GroupByKey]]),(OutputTable[GroupByKey]=OutputTable[[#This Row],[GroupByKey]])*OutputTable[RecordedValue]))</f>
        <v>113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64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87.1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9.5749313493532675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18" s="5" cm="1">
        <f t="array" ref="O118">MIN(IF((OutputTable[GroupByKey]=OutputTable[[#This Row],[GroupByKey]]),(OutputTable[GroupByKey]=OutputTable[[#This Row],[GroupByKey]])*OutputTable[RecordedValue]))</f>
        <v>64</v>
      </c>
      <c r="P118" s="5" cm="1">
        <f t="array" ref="P118">MAX(IF((OutputTable[GroupByKey]=OutputTable[[#This Row],[GroupByKey]]),(OutputTable[GroupByKey]=OutputTable[[#This Row],[GroupByKey]])*OutputTable[RecordedValue]))</f>
        <v>111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66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88.4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9.6440083239141039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19" s="5" cm="1">
        <f t="array" ref="O119">MIN(IF((OutputTable[GroupByKey]=OutputTable[[#This Row],[GroupByKey]]),(OutputTable[GroupByKey]=OutputTable[[#This Row],[GroupByKey]])*OutputTable[RecordedValue]))</f>
        <v>66</v>
      </c>
      <c r="P119" s="5" cm="1">
        <f t="array" ref="P119">MAX(IF((OutputTable[GroupByKey]=OutputTable[[#This Row],[GroupByKey]]),(OutputTable[GroupByKey]=OutputTable[[#This Row],[GroupByKey]])*OutputTable[RecordedValue]))</f>
        <v>113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0.47564865649039001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0.66114135173630362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0.10307627324848868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20" s="5" cm="1">
        <f t="array" ref="O120">MIN(IF((OutputTable[GroupByKey]=OutputTable[[#This Row],[GroupByKey]]),(OutputTable[GroupByKey]=OutputTable[[#This Row],[GroupByKey]])*OutputTable[RecordedValue]))</f>
        <v>0.44460892146328002</v>
      </c>
      <c r="P120" s="5" cm="1">
        <f t="array" ref="P120">MAX(IF((OutputTable[GroupByKey]=OutputTable[[#This Row],[GroupByKey]]),(OutputTable[GroupByKey]=OutputTable[[#This Row],[GroupByKey]])*OutputTable[RecordedValue]))</f>
        <v>0.96696734486103797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64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87.1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9.5749313493532675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21" s="5" cm="1">
        <f t="array" ref="O121">MIN(IF((OutputTable[GroupByKey]=OutputTable[[#This Row],[GroupByKey]]),(OutputTable[GroupByKey]=OutputTable[[#This Row],[GroupByKey]])*OutputTable[RecordedValue]))</f>
        <v>64</v>
      </c>
      <c r="P121" s="5" cm="1">
        <f t="array" ref="P121">MAX(IF((OutputTable[GroupByKey]=OutputTable[[#This Row],[GroupByKey]]),(OutputTable[GroupByKey]=OutputTable[[#This Row],[GroupByKey]])*OutputTable[RecordedValue]))</f>
        <v>111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89.233333333333334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9.8949075489515774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22" s="5" cm="1">
        <f t="array" ref="O122">MIN(IF((OutputTable[GroupByKey]=OutputTable[[#This Row],[GroupByKey]]),(OutputTable[GroupByKey]=OutputTable[[#This Row],[GroupByKey]])*OutputTable[RecordedValue]))</f>
        <v>68</v>
      </c>
      <c r="P122" s="5" cm="1">
        <f t="array" ref="P122">MAX(IF((OutputTable[GroupByKey]=OutputTable[[#This Row],[GroupByKey]]),(OutputTable[GroupByKey]=OutputTable[[#This Row],[GroupByKey]])*OutputTable[RecordedValue]))</f>
        <v>113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87.1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9.5749313493532675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23" s="5" cm="1">
        <f t="array" ref="O123">MIN(IF((OutputTable[GroupByKey]=OutputTable[[#This Row],[GroupByKey]]),(OutputTable[GroupByKey]=OutputTable[[#This Row],[GroupByKey]])*OutputTable[RecordedValue]))</f>
        <v>64</v>
      </c>
      <c r="P123" s="5" cm="1">
        <f t="array" ref="P123">MAX(IF((OutputTable[GroupByKey]=OutputTable[[#This Row],[GroupByKey]]),(OutputTable[GroupByKey]=OutputTable[[#This Row],[GroupByKey]])*OutputTable[RecordedValue]))</f>
        <v>111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88.4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9.6440083239141039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24" s="5" cm="1">
        <f t="array" ref="O124">MIN(IF((OutputTable[GroupByKey]=OutputTable[[#This Row],[GroupByKey]]),(OutputTable[GroupByKey]=OutputTable[[#This Row],[GroupByKey]])*OutputTable[RecordedValue]))</f>
        <v>66</v>
      </c>
      <c r="P124" s="5" cm="1">
        <f t="array" ref="P124">MAX(IF((OutputTable[GroupByKey]=OutputTable[[#This Row],[GroupByKey]]),(OutputTable[GroupByKey]=OutputTable[[#This Row],[GroupByKey]])*OutputTable[RecordedValue]))</f>
        <v>113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0.62243989799820298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0.66114135173630362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0.10307627324848868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25" s="5" cm="1">
        <f t="array" ref="O125">MIN(IF((OutputTable[GroupByKey]=OutputTable[[#This Row],[GroupByKey]]),(OutputTable[GroupByKey]=OutputTable[[#This Row],[GroupByKey]])*OutputTable[RecordedValue]))</f>
        <v>0.44460892146328002</v>
      </c>
      <c r="P125" s="5" cm="1">
        <f t="array" ref="P125">MAX(IF((OutputTable[GroupByKey]=OutputTable[[#This Row],[GroupByKey]]),(OutputTable[GroupByKey]=OutputTable[[#This Row],[GroupByKey]])*OutputTable[RecordedValue]))</f>
        <v>0.96696734486103797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87.1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9.5749313493532675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26" s="5" cm="1">
        <f t="array" ref="O126">MIN(IF((OutputTable[GroupByKey]=OutputTable[[#This Row],[GroupByKey]]),(OutputTable[GroupByKey]=OutputTable[[#This Row],[GroupByKey]])*OutputTable[RecordedValue]))</f>
        <v>64</v>
      </c>
      <c r="P126" s="5" cm="1">
        <f t="array" ref="P126">MAX(IF((OutputTable[GroupByKey]=OutputTable[[#This Row],[GroupByKey]]),(OutputTable[GroupByKey]=OutputTable[[#This Row],[GroupByKey]])*OutputTable[RecordedValue]))</f>
        <v>111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85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89.233333333333334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9.8949075489515774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27" s="5" cm="1">
        <f t="array" ref="O127">MIN(IF((OutputTable[GroupByKey]=OutputTable[[#This Row],[GroupByKey]]),(OutputTable[GroupByKey]=OutputTable[[#This Row],[GroupByKey]])*OutputTable[RecordedValue]))</f>
        <v>68</v>
      </c>
      <c r="P127" s="5" cm="1">
        <f t="array" ref="P127">MAX(IF((OutputTable[GroupByKey]=OutputTable[[#This Row],[GroupByKey]]),(OutputTable[GroupByKey]=OutputTable[[#This Row],[GroupByKey]])*OutputTable[RecordedValue]))</f>
        <v>113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87.1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9.5749313493532675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28" s="5" cm="1">
        <f t="array" ref="O128">MIN(IF((OutputTable[GroupByKey]=OutputTable[[#This Row],[GroupByKey]]),(OutputTable[GroupByKey]=OutputTable[[#This Row],[GroupByKey]])*OutputTable[RecordedValue]))</f>
        <v>64</v>
      </c>
      <c r="P128" s="5" cm="1">
        <f t="array" ref="P128">MAX(IF((OutputTable[GroupByKey]=OutputTable[[#This Row],[GroupByKey]]),(OutputTable[GroupByKey]=OutputTable[[#This Row],[GroupByKey]])*OutputTable[RecordedValue]))</f>
        <v>111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88.4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9.6440083239141039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29" s="5" cm="1">
        <f t="array" ref="O129">MIN(IF((OutputTable[GroupByKey]=OutputTable[[#This Row],[GroupByKey]]),(OutputTable[GroupByKey]=OutputTable[[#This Row],[GroupByKey]])*OutputTable[RecordedValue]))</f>
        <v>66</v>
      </c>
      <c r="P129" s="5" cm="1">
        <f t="array" ref="P129">MAX(IF((OutputTable[GroupByKey]=OutputTable[[#This Row],[GroupByKey]]),(OutputTable[GroupByKey]=OutputTable[[#This Row],[GroupByKey]])*OutputTable[RecordedValue]))</f>
        <v>113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0.641963918427782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0.66114135173630362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0.10307627324848868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30" s="5" cm="1">
        <f t="array" ref="O130">MIN(IF((OutputTable[GroupByKey]=OutputTable[[#This Row],[GroupByKey]]),(OutputTable[GroupByKey]=OutputTable[[#This Row],[GroupByKey]])*OutputTable[RecordedValue]))</f>
        <v>0.44460892146328002</v>
      </c>
      <c r="P130" s="5" cm="1">
        <f t="array" ref="P130">MAX(IF((OutputTable[GroupByKey]=OutputTable[[#This Row],[GroupByKey]]),(OutputTable[GroupByKey]=OutputTable[[#This Row],[GroupByKey]])*OutputTable[RecordedValue]))</f>
        <v>0.96696734486103797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82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87.1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9.5749313493532675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31" s="5" cm="1">
        <f t="array" ref="O131">MIN(IF((OutputTable[GroupByKey]=OutputTable[[#This Row],[GroupByKey]]),(OutputTable[GroupByKey]=OutputTable[[#This Row],[GroupByKey]])*OutputTable[RecordedValue]))</f>
        <v>64</v>
      </c>
      <c r="P131" s="5" cm="1">
        <f t="array" ref="P131">MAX(IF((OutputTable[GroupByKey]=OutputTable[[#This Row],[GroupByKey]]),(OutputTable[GroupByKey]=OutputTable[[#This Row],[GroupByKey]])*OutputTable[RecordedValue]))</f>
        <v>111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92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89.233333333333334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9.8949075489515774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32" s="5" cm="1">
        <f t="array" ref="O132">MIN(IF((OutputTable[GroupByKey]=OutputTable[[#This Row],[GroupByKey]]),(OutputTable[GroupByKey]=OutputTable[[#This Row],[GroupByKey]])*OutputTable[RecordedValue]))</f>
        <v>68</v>
      </c>
      <c r="P132" s="5" cm="1">
        <f t="array" ref="P132">MAX(IF((OutputTable[GroupByKey]=OutputTable[[#This Row],[GroupByKey]]),(OutputTable[GroupByKey]=OutputTable[[#This Row],[GroupByKey]])*OutputTable[RecordedValue]))</f>
        <v>113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89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87.1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9.5749313493532675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33" s="5" cm="1">
        <f t="array" ref="O133">MIN(IF((OutputTable[GroupByKey]=OutputTable[[#This Row],[GroupByKey]]),(OutputTable[GroupByKey]=OutputTable[[#This Row],[GroupByKey]])*OutputTable[RecordedValue]))</f>
        <v>64</v>
      </c>
      <c r="P133" s="5" cm="1">
        <f t="array" ref="P133">MAX(IF((OutputTable[GroupByKey]=OutputTable[[#This Row],[GroupByKey]]),(OutputTable[GroupByKey]=OutputTable[[#This Row],[GroupByKey]])*OutputTable[RecordedValue]))</f>
        <v>111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88.4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9.6440083239141039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34" s="5" cm="1">
        <f t="array" ref="O134">MIN(IF((OutputTable[GroupByKey]=OutputTable[[#This Row],[GroupByKey]]),(OutputTable[GroupByKey]=OutputTable[[#This Row],[GroupByKey]])*OutputTable[RecordedValue]))</f>
        <v>66</v>
      </c>
      <c r="P134" s="5" cm="1">
        <f t="array" ref="P134">MAX(IF((OutputTable[GroupByKey]=OutputTable[[#This Row],[GroupByKey]]),(OutputTable[GroupByKey]=OutputTable[[#This Row],[GroupByKey]])*OutputTable[RecordedValue]))</f>
        <v>113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0.75356308524229298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0.66114135173630362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0.10307627324848868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35" s="5" cm="1">
        <f t="array" ref="O135">MIN(IF((OutputTable[GroupByKey]=OutputTable[[#This Row],[GroupByKey]]),(OutputTable[GroupByKey]=OutputTable[[#This Row],[GroupByKey]])*OutputTable[RecordedValue]))</f>
        <v>0.44460892146328002</v>
      </c>
      <c r="P135" s="5" cm="1">
        <f t="array" ref="P135">MAX(IF((OutputTable[GroupByKey]=OutputTable[[#This Row],[GroupByKey]]),(OutputTable[GroupByKey]=OutputTable[[#This Row],[GroupByKey]])*OutputTable[RecordedValue]))</f>
        <v>0.96696734486103797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87.1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9.5749313493532675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36" s="5" cm="1">
        <f t="array" ref="O136">MIN(IF((OutputTable[GroupByKey]=OutputTable[[#This Row],[GroupByKey]]),(OutputTable[GroupByKey]=OutputTable[[#This Row],[GroupByKey]])*OutputTable[RecordedValue]))</f>
        <v>64</v>
      </c>
      <c r="P136" s="5" cm="1">
        <f t="array" ref="P136">MAX(IF((OutputTable[GroupByKey]=OutputTable[[#This Row],[GroupByKey]]),(OutputTable[GroupByKey]=OutputTable[[#This Row],[GroupByKey]])*OutputTable[RecordedValue]))</f>
        <v>111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113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89.233333333333334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9.8949075489515774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37" s="5" cm="1">
        <f t="array" ref="O137">MIN(IF((OutputTable[GroupByKey]=OutputTable[[#This Row],[GroupByKey]]),(OutputTable[GroupByKey]=OutputTable[[#This Row],[GroupByKey]])*OutputTable[RecordedValue]))</f>
        <v>68</v>
      </c>
      <c r="P137" s="5" cm="1">
        <f t="array" ref="P137">MAX(IF((OutputTable[GroupByKey]=OutputTable[[#This Row],[GroupByKey]]),(OutputTable[GroupByKey]=OutputTable[[#This Row],[GroupByKey]])*OutputTable[RecordedValue]))</f>
        <v>113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111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87.1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9.5749313493532675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38" s="5" cm="1">
        <f t="array" ref="O138">MIN(IF((OutputTable[GroupByKey]=OutputTable[[#This Row],[GroupByKey]]),(OutputTable[GroupByKey]=OutputTable[[#This Row],[GroupByKey]])*OutputTable[RecordedValue]))</f>
        <v>64</v>
      </c>
      <c r="P138" s="5" cm="1">
        <f t="array" ref="P138">MAX(IF((OutputTable[GroupByKey]=OutputTable[[#This Row],[GroupByKey]]),(OutputTable[GroupByKey]=OutputTable[[#This Row],[GroupByKey]])*OutputTable[RecordedValue]))</f>
        <v>111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113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88.4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9.6440083239141039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39" s="5" cm="1">
        <f t="array" ref="O139">MIN(IF((OutputTable[GroupByKey]=OutputTable[[#This Row],[GroupByKey]]),(OutputTable[GroupByKey]=OutputTable[[#This Row],[GroupByKey]])*OutputTable[RecordedValue]))</f>
        <v>66</v>
      </c>
      <c r="P139" s="5" cm="1">
        <f t="array" ref="P139">MAX(IF((OutputTable[GroupByKey]=OutputTable[[#This Row],[GroupByKey]]),(OutputTable[GroupByKey]=OutputTable[[#This Row],[GroupByKey]])*OutputTable[RecordedValue]))</f>
        <v>113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0.96696734486103797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0.66114135173630362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0.10307627324848868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40" s="5" cm="1">
        <f t="array" ref="O140">MIN(IF((OutputTable[GroupByKey]=OutputTable[[#This Row],[GroupByKey]]),(OutputTable[GroupByKey]=OutputTable[[#This Row],[GroupByKey]])*OutputTable[RecordedValue]))</f>
        <v>0.44460892146328002</v>
      </c>
      <c r="P140" s="5" cm="1">
        <f t="array" ref="P140">MAX(IF((OutputTable[GroupByKey]=OutputTable[[#This Row],[GroupByKey]]),(OutputTable[GroupByKey]=OutputTable[[#This Row],[GroupByKey]])*OutputTable[RecordedValue]))</f>
        <v>0.96696734486103797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111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87.1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9.5749313493532675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41" s="5" cm="1">
        <f t="array" ref="O141">MIN(IF((OutputTable[GroupByKey]=OutputTable[[#This Row],[GroupByKey]]),(OutputTable[GroupByKey]=OutputTable[[#This Row],[GroupByKey]])*OutputTable[RecordedValue]))</f>
        <v>64</v>
      </c>
      <c r="P141" s="5" cm="1">
        <f t="array" ref="P141">MAX(IF((OutputTable[GroupByKey]=OutputTable[[#This Row],[GroupByKey]]),(OutputTable[GroupByKey]=OutputTable[[#This Row],[GroupByKey]])*OutputTable[RecordedValue]))</f>
        <v>111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89.233333333333334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9.8949075489515774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42" s="5" cm="1">
        <f t="array" ref="O142">MIN(IF((OutputTable[GroupByKey]=OutputTable[[#This Row],[GroupByKey]]),(OutputTable[GroupByKey]=OutputTable[[#This Row],[GroupByKey]])*OutputTable[RecordedValue]))</f>
        <v>68</v>
      </c>
      <c r="P142" s="5" cm="1">
        <f t="array" ref="P142">MAX(IF((OutputTable[GroupByKey]=OutputTable[[#This Row],[GroupByKey]]),(OutputTable[GroupByKey]=OutputTable[[#This Row],[GroupByKey]])*OutputTable[RecordedValue]))</f>
        <v>113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93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87.1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9.5749313493532675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43" s="5" cm="1">
        <f t="array" ref="O143">MIN(IF((OutputTable[GroupByKey]=OutputTable[[#This Row],[GroupByKey]]),(OutputTable[GroupByKey]=OutputTable[[#This Row],[GroupByKey]])*OutputTable[RecordedValue]))</f>
        <v>64</v>
      </c>
      <c r="P143" s="5" cm="1">
        <f t="array" ref="P143">MAX(IF((OutputTable[GroupByKey]=OutputTable[[#This Row],[GroupByKey]]),(OutputTable[GroupByKey]=OutputTable[[#This Row],[GroupByKey]])*OutputTable[RecordedValue]))</f>
        <v>111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95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88.4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9.6440083239141039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44" s="5" cm="1">
        <f t="array" ref="O144">MIN(IF((OutputTable[GroupByKey]=OutputTable[[#This Row],[GroupByKey]]),(OutputTable[GroupByKey]=OutputTable[[#This Row],[GroupByKey]])*OutputTable[RecordedValue]))</f>
        <v>66</v>
      </c>
      <c r="P144" s="5" cm="1">
        <f t="array" ref="P144">MAX(IF((OutputTable[GroupByKey]=OutputTable[[#This Row],[GroupByKey]]),(OutputTable[GroupByKey]=OutputTable[[#This Row],[GroupByKey]])*OutputTable[RecordedValue]))</f>
        <v>113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0.77899813185011402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0.66114135173630362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0.10307627324848868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45" s="5" cm="1">
        <f t="array" ref="O145">MIN(IF((OutputTable[GroupByKey]=OutputTable[[#This Row],[GroupByKey]]),(OutputTable[GroupByKey]=OutputTable[[#This Row],[GroupByKey]])*OutputTable[RecordedValue]))</f>
        <v>0.44460892146328002</v>
      </c>
      <c r="P145" s="5" cm="1">
        <f t="array" ref="P145">MAX(IF((OutputTable[GroupByKey]=OutputTable[[#This Row],[GroupByKey]]),(OutputTable[GroupByKey]=OutputTable[[#This Row],[GroupByKey]])*OutputTable[RecordedValue]))</f>
        <v>0.96696734486103797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93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87.1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9.5749313493532675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46" s="5" cm="1">
        <f t="array" ref="O146">MIN(IF((OutputTable[GroupByKey]=OutputTable[[#This Row],[GroupByKey]]),(OutputTable[GroupByKey]=OutputTable[[#This Row],[GroupByKey]])*OutputTable[RecordedValue]))</f>
        <v>64</v>
      </c>
      <c r="P146" s="5" cm="1">
        <f t="array" ref="P146">MAX(IF((OutputTable[GroupByKey]=OutputTable[[#This Row],[GroupByKey]]),(OutputTable[GroupByKey]=OutputTable[[#This Row],[GroupByKey]])*OutputTable[RecordedValue]))</f>
        <v>111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101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89.233333333333334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9.8949075489515774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3.6948192014325687</v>
      </c>
      <c r="O147" s="5" cm="1">
        <f t="array" ref="O147">MIN(IF((OutputTable[GroupByKey]=OutputTable[[#This Row],[GroupByKey]]),(OutputTable[GroupByKey]=OutputTable[[#This Row],[GroupByKey]])*OutputTable[RecordedValue]))</f>
        <v>68</v>
      </c>
      <c r="P147" s="5" cm="1">
        <f t="array" ref="P147">MAX(IF((OutputTable[GroupByKey]=OutputTable[[#This Row],[GroupByKey]]),(OutputTable[GroupByKey]=OutputTable[[#This Row],[GroupByKey]])*OutputTable[RecordedValue]))</f>
        <v>113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100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87.1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9.5749313493532675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48" s="5" cm="1">
        <f t="array" ref="O148">MIN(IF((OutputTable[GroupByKey]=OutputTable[[#This Row],[GroupByKey]]),(OutputTable[GroupByKey]=OutputTable[[#This Row],[GroupByKey]])*OutputTable[RecordedValue]))</f>
        <v>64</v>
      </c>
      <c r="P148" s="5" cm="1">
        <f t="array" ref="P148">MAX(IF((OutputTable[GroupByKey]=OutputTable[[#This Row],[GroupByKey]]),(OutputTable[GroupByKey]=OutputTable[[#This Row],[GroupByKey]])*OutputTable[RecordedValue]))</f>
        <v>111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101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88.4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9.6440083239141039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3.6011318910957248</v>
      </c>
      <c r="O149" s="5" cm="1">
        <f t="array" ref="O149">MIN(IF((OutputTable[GroupByKey]=OutputTable[[#This Row],[GroupByKey]]),(OutputTable[GroupByKey]=OutputTable[[#This Row],[GroupByKey]])*OutputTable[RecordedValue]))</f>
        <v>66</v>
      </c>
      <c r="P149" s="5" cm="1">
        <f t="array" ref="P149">MAX(IF((OutputTable[GroupByKey]=OutputTable[[#This Row],[GroupByKey]]),(OutputTable[GroupByKey]=OutputTable[[#This Row],[GroupByKey]])*OutputTable[RecordedValue]))</f>
        <v>113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0.74437796260025502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0.66114135173630362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0.10307627324848868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3.8489312985140453E-2</v>
      </c>
      <c r="O150" s="5" cm="1">
        <f t="array" ref="O150">MIN(IF((OutputTable[GroupByKey]=OutputTable[[#This Row],[GroupByKey]]),(OutputTable[GroupByKey]=OutputTable[[#This Row],[GroupByKey]])*OutputTable[RecordedValue]))</f>
        <v>0.44460892146328002</v>
      </c>
      <c r="P150" s="5" cm="1">
        <f t="array" ref="P150">MAX(IF((OutputTable[GroupByKey]=OutputTable[[#This Row],[GroupByKey]]),(OutputTable[GroupByKey]=OutputTable[[#This Row],[GroupByKey]])*OutputTable[RecordedValue]))</f>
        <v>0.96696734486103797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87.1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9.5749313493532675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3.575338124886025</v>
      </c>
      <c r="O151" s="5" cm="1">
        <f t="array" ref="O151">MIN(IF((OutputTable[GroupByKey]=OutputTable[[#This Row],[GroupByKey]]),(OutputTable[GroupByKey]=OutputTable[[#This Row],[GroupByKey]])*OutputTable[RecordedValue]))</f>
        <v>64</v>
      </c>
      <c r="P151" s="5" cm="1">
        <f t="array" ref="P151">MAX(IF((OutputTable[GroupByKey]=OutputTable[[#This Row],[GroupByKey]]),(OutputTable[GroupByKey]=OutputTable[[#This Row],[GroupByKey]])*OutputTable[RecordedValue]))</f>
        <v>111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2025-02-11T12:31:17Z</dcterms:modified>
</cp:coreProperties>
</file>