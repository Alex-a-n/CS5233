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40E497FB-51D9-47F5-A6FE-72638A4F0395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P142" i="20" s="1" a="1"/>
  <c r="P142" i="20" s="1"/>
  <c r="I19" i="20"/>
  <c r="O35" i="20" s="1" a="1"/>
  <c r="O35" i="20" s="1"/>
  <c r="I20" i="20"/>
  <c r="O113" i="20" s="1" a="1"/>
  <c r="O113" i="20" s="1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O129" i="20" s="1" a="1"/>
  <c r="O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O147" i="20" s="1" a="1"/>
  <c r="O147" i="20" s="1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/>
  <c r="J20" i="20" a="1"/>
  <c r="J20" i="20"/>
  <c r="J21" i="20" a="1"/>
  <c r="J21" i="20"/>
  <c r="J22" i="20" a="1"/>
  <c r="J22" i="20"/>
  <c r="J23" i="20" a="1"/>
  <c r="J23" i="20" s="1"/>
  <c r="J24" i="20" a="1"/>
  <c r="J24" i="20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J40" i="20" a="1"/>
  <c r="J40" i="20"/>
  <c r="J41" i="20" a="1"/>
  <c r="J41" i="20" s="1"/>
  <c r="J42" i="20" a="1"/>
  <c r="J42" i="20"/>
  <c r="J43" i="20" a="1"/>
  <c r="J43" i="20" s="1"/>
  <c r="J44" i="20" a="1"/>
  <c r="J44" i="20"/>
  <c r="J45" i="20" a="1"/>
  <c r="J45" i="20" s="1"/>
  <c r="J46" i="20" a="1"/>
  <c r="J46" i="20" s="1"/>
  <c r="J47" i="20" a="1"/>
  <c r="J47" i="20" s="1"/>
  <c r="J48" i="20" a="1"/>
  <c r="J48" i="20"/>
  <c r="J49" i="20" a="1"/>
  <c r="J49" i="20" s="1"/>
  <c r="J50" i="20" a="1"/>
  <c r="J50" i="20"/>
  <c r="J51" i="20" a="1"/>
  <c r="J51" i="20" s="1"/>
  <c r="J52" i="20" a="1"/>
  <c r="J52" i="20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 s="1"/>
  <c r="J62" i="20" a="1"/>
  <c r="J62" i="20" s="1"/>
  <c r="J63" i="20" a="1"/>
  <c r="J63" i="20" s="1"/>
  <c r="J64" i="20" a="1"/>
  <c r="J64" i="20"/>
  <c r="J65" i="20" a="1"/>
  <c r="J65" i="20"/>
  <c r="J66" i="20" a="1"/>
  <c r="J66" i="20"/>
  <c r="J67" i="20" a="1"/>
  <c r="J67" i="20" s="1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/>
  <c r="J77" i="20" a="1"/>
  <c r="J77" i="20" s="1"/>
  <c r="J78" i="20" a="1"/>
  <c r="J78" i="20" s="1"/>
  <c r="J79" i="20" a="1"/>
  <c r="J79" i="20" s="1"/>
  <c r="J80" i="20" a="1"/>
  <c r="J80" i="20" s="1"/>
  <c r="J81" i="20" a="1"/>
  <c r="J81" i="20"/>
  <c r="J82" i="20" a="1"/>
  <c r="J82" i="20"/>
  <c r="J83" i="20" a="1"/>
  <c r="J83" i="20"/>
  <c r="J84" i="20" a="1"/>
  <c r="J84" i="20"/>
  <c r="J85" i="20" a="1"/>
  <c r="J85" i="20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/>
  <c r="J93" i="20" a="1"/>
  <c r="J93" i="20" s="1"/>
  <c r="J94" i="20" a="1"/>
  <c r="J94" i="20" s="1"/>
  <c r="J95" i="20" a="1"/>
  <c r="J95" i="20" s="1"/>
  <c r="J96" i="20" a="1"/>
  <c r="J96" i="20"/>
  <c r="J97" i="20" a="1"/>
  <c r="J97" i="20"/>
  <c r="J98" i="20" a="1"/>
  <c r="J98" i="20"/>
  <c r="J99" i="20" a="1"/>
  <c r="J99" i="20" s="1"/>
  <c r="J100" i="20" a="1"/>
  <c r="J100" i="20" s="1"/>
  <c r="J101" i="20" a="1"/>
  <c r="J101" i="20"/>
  <c r="J102" i="20" a="1"/>
  <c r="J102" i="20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/>
  <c r="J125" i="20" a="1"/>
  <c r="J125" i="20" s="1"/>
  <c r="J126" i="20" a="1"/>
  <c r="J126" i="20" s="1"/>
  <c r="J127" i="20" a="1"/>
  <c r="J127" i="20" s="1"/>
  <c r="J128" i="20" a="1"/>
  <c r="J128" i="20"/>
  <c r="J129" i="20" a="1"/>
  <c r="J129" i="20"/>
  <c r="J130" i="20" a="1"/>
  <c r="J130" i="20" s="1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/>
  <c r="J146" i="20" a="1"/>
  <c r="J146" i="20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M2" i="20" a="1"/>
  <c r="M2" i="20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M31" i="20" a="1"/>
  <c r="M31" i="20"/>
  <c r="M32" i="20" a="1"/>
  <c r="M32" i="20" s="1"/>
  <c r="M33" i="20" a="1"/>
  <c r="M33" i="20"/>
  <c r="M34" i="20" a="1"/>
  <c r="M34" i="20" s="1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/>
  <c r="M47" i="20" a="1"/>
  <c r="M47" i="20" s="1"/>
  <c r="M48" i="20" a="1"/>
  <c r="M48" i="20" s="1"/>
  <c r="M49" i="20" a="1"/>
  <c r="M49" i="20"/>
  <c r="M50" i="20" a="1"/>
  <c r="M50" i="20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/>
  <c r="M64" i="20" a="1"/>
  <c r="M64" i="20" s="1"/>
  <c r="M65" i="20" a="1"/>
  <c r="M65" i="20" s="1"/>
  <c r="M66" i="20" a="1"/>
  <c r="M66" i="20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/>
  <c r="M79" i="20" a="1"/>
  <c r="M79" i="20" s="1"/>
  <c r="M80" i="20" a="1"/>
  <c r="M80" i="20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/>
  <c r="M95" i="20" a="1"/>
  <c r="M95" i="20"/>
  <c r="M96" i="20" a="1"/>
  <c r="M96" i="20"/>
  <c r="M97" i="20" a="1"/>
  <c r="M97" i="20"/>
  <c r="M98" i="20" a="1"/>
  <c r="M98" i="20"/>
  <c r="M99" i="20" a="1"/>
  <c r="M99" i="20"/>
  <c r="M100" i="20" a="1"/>
  <c r="M100" i="20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/>
  <c r="M127" i="20" a="1"/>
  <c r="M127" i="20"/>
  <c r="M128" i="20" a="1"/>
  <c r="M128" i="20" s="1"/>
  <c r="M129" i="20" a="1"/>
  <c r="M129" i="20"/>
  <c r="M130" i="20" a="1"/>
  <c r="M130" i="20" s="1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/>
  <c r="M143" i="20" a="1"/>
  <c r="M143" i="20"/>
  <c r="M144" i="20" a="1"/>
  <c r="M144" i="20"/>
  <c r="M145" i="20" a="1"/>
  <c r="M145" i="20"/>
  <c r="M146" i="20" a="1"/>
  <c r="M146" i="20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O41" i="19" s="1" a="1"/>
  <c r="O41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 s="1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/>
  <c r="I28" i="19" a="1"/>
  <c r="I28" i="19" s="1"/>
  <c r="I29" i="19" a="1"/>
  <c r="I29" i="19" s="1"/>
  <c r="I30" i="19" a="1"/>
  <c r="I30" i="19" s="1"/>
  <c r="I31" i="19" a="1"/>
  <c r="I31" i="19"/>
  <c r="I32" i="19" a="1"/>
  <c r="I32" i="19" s="1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/>
  <c r="I44" i="19" a="1"/>
  <c r="I44" i="19"/>
  <c r="I45" i="19" a="1"/>
  <c r="I45" i="19"/>
  <c r="I46" i="19" a="1"/>
  <c r="I46" i="19" s="1"/>
  <c r="I47" i="19" a="1"/>
  <c r="I47" i="19"/>
  <c r="I48" i="19" a="1"/>
  <c r="I48" i="19"/>
  <c r="I49" i="19" a="1"/>
  <c r="I49" i="19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/>
  <c r="L9" i="19" a="1"/>
  <c r="L9" i="19" s="1"/>
  <c r="L10" i="19" a="1"/>
  <c r="L10" i="19"/>
  <c r="L11" i="19" a="1"/>
  <c r="L11" i="19"/>
  <c r="L12" i="19" a="1"/>
  <c r="L12" i="19"/>
  <c r="L13" i="19" a="1"/>
  <c r="L13" i="19" s="1"/>
  <c r="L14" i="19" a="1"/>
  <c r="L14" i="19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/>
  <c r="L25" i="19" a="1"/>
  <c r="L25" i="19"/>
  <c r="L26" i="19" a="1"/>
  <c r="L26" i="19"/>
  <c r="L27" i="19" a="1"/>
  <c r="L27" i="19"/>
  <c r="L28" i="19" a="1"/>
  <c r="L28" i="19"/>
  <c r="L29" i="19" a="1"/>
  <c r="L29" i="19" s="1"/>
  <c r="L30" i="19" a="1"/>
  <c r="L30" i="19"/>
  <c r="L31" i="19" a="1"/>
  <c r="L31" i="19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 s="1"/>
  <c r="L58" i="19" a="1"/>
  <c r="L58" i="19"/>
  <c r="L59" i="19" a="1"/>
  <c r="L59" i="19" s="1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P35" i="18" s="1" a="1"/>
  <c r="P35" i="18" s="1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S150" i="18" s="1" a="1"/>
  <c r="S150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T59" i="18" s="1" a="1"/>
  <c r="T59" i="18" s="1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T97" i="18" s="1" a="1"/>
  <c r="T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T117" i="18" s="1" a="1"/>
  <c r="T117" i="18" s="1"/>
  <c r="M118" i="18"/>
  <c r="M119" i="18"/>
  <c r="M120" i="18"/>
  <c r="M121" i="18"/>
  <c r="M122" i="18"/>
  <c r="M123" i="18"/>
  <c r="M124" i="18"/>
  <c r="O124" i="18" s="1" a="1"/>
  <c r="O124" i="18" s="1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S151" i="18" s="1" a="1"/>
  <c r="S151" i="18" s="1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/>
  <c r="N49" i="18" a="1"/>
  <c r="N49" i="18" s="1"/>
  <c r="N50" i="18" a="1"/>
  <c r="N50" i="18" s="1"/>
  <c r="N51" i="18" a="1"/>
  <c r="N51" i="18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/>
  <c r="N64" i="18" a="1"/>
  <c r="N64" i="18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/>
  <c r="N78" i="18" a="1"/>
  <c r="N78" i="18" s="1"/>
  <c r="N79" i="18" a="1"/>
  <c r="N79" i="18" s="1"/>
  <c r="N80" i="18" a="1"/>
  <c r="N80" i="18" s="1"/>
  <c r="N81" i="18" a="1"/>
  <c r="N81" i="18"/>
  <c r="N82" i="18" a="1"/>
  <c r="N82" i="18"/>
  <c r="N83" i="18" a="1"/>
  <c r="N83" i="18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 s="1"/>
  <c r="N96" i="18" a="1"/>
  <c r="N96" i="18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/>
  <c r="N110" i="18" a="1"/>
  <c r="N110" i="18" s="1"/>
  <c r="N111" i="18" a="1"/>
  <c r="N111" i="18" s="1"/>
  <c r="N112" i="18" a="1"/>
  <c r="N112" i="18"/>
  <c r="N113" i="18" a="1"/>
  <c r="N113" i="18"/>
  <c r="N114" i="18" a="1"/>
  <c r="N114" i="18"/>
  <c r="N115" i="18" a="1"/>
  <c r="N115" i="18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/>
  <c r="N129" i="18" a="1"/>
  <c r="N129" i="18" s="1"/>
  <c r="N130" i="18" a="1"/>
  <c r="N130" i="18" s="1"/>
  <c r="N131" i="18" a="1"/>
  <c r="N131" i="18"/>
  <c r="N132" i="18" a="1"/>
  <c r="N132" i="18"/>
  <c r="N133" i="18" a="1"/>
  <c r="N133" i="18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/>
  <c r="N142" i="18" a="1"/>
  <c r="N142" i="18" s="1"/>
  <c r="N143" i="18" a="1"/>
  <c r="N143" i="18" s="1"/>
  <c r="N144" i="18" a="1"/>
  <c r="N144" i="18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Q2" i="18" a="1"/>
  <c r="Q2" i="18"/>
  <c r="Q3" i="18" a="1"/>
  <c r="Q3" i="18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 s="1"/>
  <c r="Q17" i="18" a="1"/>
  <c r="Q17" i="18" s="1"/>
  <c r="Q18" i="18" a="1"/>
  <c r="Q18" i="18" s="1"/>
  <c r="Q19" i="18" a="1"/>
  <c r="Q19" i="18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/>
  <c r="Q28" i="18" a="1"/>
  <c r="Q28" i="18"/>
  <c r="Q29" i="18" a="1"/>
  <c r="Q29" i="18"/>
  <c r="Q30" i="18" a="1"/>
  <c r="Q30" i="18"/>
  <c r="Q31" i="18" a="1"/>
  <c r="Q31" i="18"/>
  <c r="Q32" i="18" a="1"/>
  <c r="Q32" i="18" s="1"/>
  <c r="Q33" i="18" a="1"/>
  <c r="Q33" i="18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/>
  <c r="Q45" i="18" a="1"/>
  <c r="Q45" i="18"/>
  <c r="Q46" i="18" a="1"/>
  <c r="Q46" i="18"/>
  <c r="Q47" i="18" a="1"/>
  <c r="Q47" i="18"/>
  <c r="Q48" i="18" a="1"/>
  <c r="Q48" i="18"/>
  <c r="Q49" i="18" a="1"/>
  <c r="Q49" i="18"/>
  <c r="Q50" i="18" a="1"/>
  <c r="Q50" i="18"/>
  <c r="Q51" i="18" a="1"/>
  <c r="Q51" i="18" s="1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/>
  <c r="Q62" i="18" a="1"/>
  <c r="Q62" i="18"/>
  <c r="Q63" i="18" a="1"/>
  <c r="Q63" i="18"/>
  <c r="Q64" i="18" a="1"/>
  <c r="Q64" i="18"/>
  <c r="Q65" i="18" a="1"/>
  <c r="Q65" i="18"/>
  <c r="Q66" i="18" a="1"/>
  <c r="Q66" i="18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/>
  <c r="Q80" i="18" a="1"/>
  <c r="Q80" i="18"/>
  <c r="Q81" i="18" a="1"/>
  <c r="Q81" i="18"/>
  <c r="Q82" i="18" a="1"/>
  <c r="Q82" i="18"/>
  <c r="Q83" i="18" a="1"/>
  <c r="Q83" i="18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/>
  <c r="Q92" i="18" a="1"/>
  <c r="Q92" i="18" s="1"/>
  <c r="Q93" i="18" a="1"/>
  <c r="Q93" i="18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/>
  <c r="Q109" i="18" a="1"/>
  <c r="Q109" i="18"/>
  <c r="Q110" i="18" a="1"/>
  <c r="Q110" i="18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/>
  <c r="Q124" i="18" a="1"/>
  <c r="Q124" i="18"/>
  <c r="Q125" i="18" a="1"/>
  <c r="Q125" i="18"/>
  <c r="Q126" i="18" a="1"/>
  <c r="Q126" i="18"/>
  <c r="Q127" i="18" a="1"/>
  <c r="Q127" i="18"/>
  <c r="Q128" i="18" a="1"/>
  <c r="Q128" i="18"/>
  <c r="Q129" i="18" a="1"/>
  <c r="Q129" i="18"/>
  <c r="Q130" i="18" a="1"/>
  <c r="Q130" i="18" s="1"/>
  <c r="Q131" i="18" a="1"/>
  <c r="Q131" i="18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/>
  <c r="Q142" i="18" a="1"/>
  <c r="Q142" i="18"/>
  <c r="Q143" i="18" a="1"/>
  <c r="Q143" i="18"/>
  <c r="Q144" i="18" a="1"/>
  <c r="Q144" i="18"/>
  <c r="Q145" i="18" a="1"/>
  <c r="Q145" i="18"/>
  <c r="Q146" i="18" a="1"/>
  <c r="Q146" i="18"/>
  <c r="Q147" i="18" a="1"/>
  <c r="Q147" i="18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/>
  <c r="M14" i="17" a="1"/>
  <c r="M14" i="17" s="1"/>
  <c r="M15" i="17" a="1"/>
  <c r="M15" i="17" s="1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 s="1"/>
  <c r="M38" i="17" a="1"/>
  <c r="M38" i="17"/>
  <c r="M39" i="17" a="1"/>
  <c r="M39" i="17" s="1"/>
  <c r="M40" i="17" a="1"/>
  <c r="M40" i="17"/>
  <c r="M41" i="17" a="1"/>
  <c r="M41" i="17"/>
  <c r="M42" i="17" a="1"/>
  <c r="M42" i="17" s="1"/>
  <c r="M43" i="17" a="1"/>
  <c r="M43" i="17" s="1"/>
  <c r="M188" i="17" a="1"/>
  <c r="M188" i="17" s="1"/>
  <c r="M44" i="17" a="1"/>
  <c r="M44" i="17"/>
  <c r="M45" i="17" a="1"/>
  <c r="M45" i="17"/>
  <c r="M46" i="17" a="1"/>
  <c r="M46" i="17" s="1"/>
  <c r="M47" i="17" a="1"/>
  <c r="M47" i="17" s="1"/>
  <c r="M48" i="17" a="1"/>
  <c r="M48" i="17"/>
  <c r="M49" i="17" a="1"/>
  <c r="M49" i="17" s="1"/>
  <c r="M189" i="17" a="1"/>
  <c r="M189" i="17" s="1"/>
  <c r="M50" i="17" a="1"/>
  <c r="M50" i="17" s="1"/>
  <c r="M51" i="17" a="1"/>
  <c r="M51" i="17" s="1"/>
  <c r="M52" i="17" a="1"/>
  <c r="M52" i="17"/>
  <c r="M53" i="17" a="1"/>
  <c r="M53" i="17"/>
  <c r="M54" i="17" a="1"/>
  <c r="M54" i="17"/>
  <c r="M55" i="17" a="1"/>
  <c r="M55" i="17"/>
  <c r="M190" i="17" a="1"/>
  <c r="M190" i="17"/>
  <c r="M56" i="17" a="1"/>
  <c r="M56" i="17"/>
  <c r="M57" i="17" a="1"/>
  <c r="M57" i="17" s="1"/>
  <c r="M58" i="17" a="1"/>
  <c r="M58" i="17" s="1"/>
  <c r="M59" i="17" a="1"/>
  <c r="M59" i="17" s="1"/>
  <c r="M60" i="17" a="1"/>
  <c r="M60" i="17"/>
  <c r="M61" i="17" a="1"/>
  <c r="M61" i="17"/>
  <c r="M191" i="17" a="1"/>
  <c r="M191" i="17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192" i="17" a="1"/>
  <c r="M192" i="17"/>
  <c r="M68" i="17" a="1"/>
  <c r="M68" i="17"/>
  <c r="M69" i="17" a="1"/>
  <c r="M69" i="17" s="1"/>
  <c r="M70" i="17" a="1"/>
  <c r="M70" i="17"/>
  <c r="M71" i="17" a="1"/>
  <c r="M71" i="17"/>
  <c r="M72" i="17" a="1"/>
  <c r="M72" i="17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/>
  <c r="M80" i="17" a="1"/>
  <c r="M80" i="17" s="1"/>
  <c r="M81" i="17" a="1"/>
  <c r="M81" i="17" s="1"/>
  <c r="M82" i="17" a="1"/>
  <c r="M82" i="17" s="1"/>
  <c r="M83" i="17" a="1"/>
  <c r="M83" i="17"/>
  <c r="M84" i="17" a="1"/>
  <c r="M84" i="17" s="1"/>
  <c r="M85" i="17" a="1"/>
  <c r="M85" i="17" s="1"/>
  <c r="M195" i="17" a="1"/>
  <c r="M195" i="17"/>
  <c r="M86" i="17" a="1"/>
  <c r="M86" i="17"/>
  <c r="M87" i="17" a="1"/>
  <c r="M87" i="17"/>
  <c r="M88" i="17" a="1"/>
  <c r="M88" i="17" s="1"/>
  <c r="M89" i="17" a="1"/>
  <c r="M89" i="17"/>
  <c r="M90" i="17" a="1"/>
  <c r="M90" i="17" s="1"/>
  <c r="M91" i="17" a="1"/>
  <c r="M91" i="17" s="1"/>
  <c r="M196" i="17" a="1"/>
  <c r="M196" i="17" s="1"/>
  <c r="M92" i="17" a="1"/>
  <c r="M92" i="17" s="1"/>
  <c r="M93" i="17" a="1"/>
  <c r="M93" i="17"/>
  <c r="M94" i="17" a="1"/>
  <c r="M94" i="17" s="1"/>
  <c r="M95" i="17" a="1"/>
  <c r="M95" i="17"/>
  <c r="M96" i="17" a="1"/>
  <c r="M96" i="17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/>
  <c r="M198" i="17" a="1"/>
  <c r="M198" i="17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/>
  <c r="M110" i="17" a="1"/>
  <c r="M110" i="17" s="1"/>
  <c r="M111" i="17" a="1"/>
  <c r="M111" i="17"/>
  <c r="M112" i="17" a="1"/>
  <c r="M112" i="17" s="1"/>
  <c r="M113" i="17" a="1"/>
  <c r="M113" i="17"/>
  <c r="M114" i="17" a="1"/>
  <c r="M114" i="17"/>
  <c r="M115" i="17" a="1"/>
  <c r="M115" i="17" s="1"/>
  <c r="M200" i="17" a="1"/>
  <c r="M200" i="17" s="1"/>
  <c r="M116" i="17" a="1"/>
  <c r="M116" i="17" s="1"/>
  <c r="M117" i="17" a="1"/>
  <c r="M117" i="17"/>
  <c r="M118" i="17" a="1"/>
  <c r="M118" i="17" s="1"/>
  <c r="M119" i="17" a="1"/>
  <c r="M119" i="17" s="1"/>
  <c r="M120" i="17" a="1"/>
  <c r="M120" i="17" s="1"/>
  <c r="M121" i="17" a="1"/>
  <c r="M121" i="17"/>
  <c r="M201" i="17" a="1"/>
  <c r="M201" i="17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/>
  <c r="M127" i="17" a="1"/>
  <c r="M127" i="17" s="1"/>
  <c r="M202" i="17" a="1"/>
  <c r="M202" i="17"/>
  <c r="M128" i="17" a="1"/>
  <c r="M128" i="17" s="1"/>
  <c r="M129" i="17" a="1"/>
  <c r="M129" i="17" s="1"/>
  <c r="M130" i="17" a="1"/>
  <c r="M130" i="17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/>
  <c r="M136" i="17" a="1"/>
  <c r="M136" i="17"/>
  <c r="M137" i="17" a="1"/>
  <c r="M137" i="17"/>
  <c r="M138" i="17" a="1"/>
  <c r="M138" i="17" s="1"/>
  <c r="M139" i="17" a="1"/>
  <c r="M139" i="17" s="1"/>
  <c r="M204" i="17" a="1"/>
  <c r="M204" i="17" s="1"/>
  <c r="M140" i="17" a="1"/>
  <c r="M140" i="17"/>
  <c r="M141" i="17" a="1"/>
  <c r="M141" i="17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/>
  <c r="M150" i="17" a="1"/>
  <c r="M150" i="17"/>
  <c r="M151" i="17" a="1"/>
  <c r="M151" i="17" s="1"/>
  <c r="M206" i="17" a="1"/>
  <c r="M206" i="17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/>
  <c r="M157" i="17" a="1"/>
  <c r="M157" i="17"/>
  <c r="M207" i="17" a="1"/>
  <c r="M207" i="17" s="1"/>
  <c r="M158" i="17" a="1"/>
  <c r="M158" i="17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/>
  <c r="M164" i="17" a="1"/>
  <c r="M164" i="17" s="1"/>
  <c r="M165" i="17" a="1"/>
  <c r="M165" i="17"/>
  <c r="M166" i="17" a="1"/>
  <c r="M166" i="17" s="1"/>
  <c r="M167" i="17" a="1"/>
  <c r="M167" i="17" s="1"/>
  <c r="M168" i="17" a="1"/>
  <c r="M168" i="17"/>
  <c r="M169" i="17" a="1"/>
  <c r="M169" i="17"/>
  <c r="M209" i="17" a="1"/>
  <c r="M209" i="17"/>
  <c r="M170" i="17" a="1"/>
  <c r="M170" i="17" s="1"/>
  <c r="M171" i="17" a="1"/>
  <c r="M171" i="17"/>
  <c r="M172" i="17" a="1"/>
  <c r="M172" i="17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/>
  <c r="M177" i="17" a="1"/>
  <c r="M177" i="17" s="1"/>
  <c r="M178" i="17" a="1"/>
  <c r="M178" i="17"/>
  <c r="M179" i="17" a="1"/>
  <c r="M179" i="17" s="1"/>
  <c r="M180" i="17" a="1"/>
  <c r="M180" i="17"/>
  <c r="M181" i="17" a="1"/>
  <c r="M181" i="17"/>
  <c r="M211" i="17" a="1"/>
  <c r="M21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/>
  <c r="P182" i="17" a="1"/>
  <c r="P182" i="17"/>
  <c r="P8" i="17" a="1"/>
  <c r="P8" i="17" s="1"/>
  <c r="P9" i="17" a="1"/>
  <c r="P9" i="17" s="1"/>
  <c r="P10" i="17" a="1"/>
  <c r="P10" i="17"/>
  <c r="P11" i="17" a="1"/>
  <c r="P11" i="17"/>
  <c r="P12" i="17" a="1"/>
  <c r="P12" i="17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/>
  <c r="P20" i="17" a="1"/>
  <c r="P20" i="17" s="1"/>
  <c r="P21" i="17" a="1"/>
  <c r="P21" i="17"/>
  <c r="P22" i="17" a="1"/>
  <c r="P22" i="17" s="1"/>
  <c r="P23" i="17" a="1"/>
  <c r="P23" i="17"/>
  <c r="P24" i="17" a="1"/>
  <c r="P24" i="17" s="1"/>
  <c r="P25" i="17" a="1"/>
  <c r="P25" i="17"/>
  <c r="P185" i="17" a="1"/>
  <c r="P185" i="17"/>
  <c r="P26" i="17" a="1"/>
  <c r="P26" i="17"/>
  <c r="P27" i="17" a="1"/>
  <c r="P27" i="17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/>
  <c r="P187" i="17" a="1"/>
  <c r="P187" i="17" s="1"/>
  <c r="P38" i="17" a="1"/>
  <c r="P38" i="17" s="1"/>
  <c r="P39" i="17" a="1"/>
  <c r="P39" i="17"/>
  <c r="P40" i="17" a="1"/>
  <c r="P40" i="17" s="1"/>
  <c r="P41" i="17" a="1"/>
  <c r="P41" i="17"/>
  <c r="P42" i="17" a="1"/>
  <c r="P42" i="17"/>
  <c r="P43" i="17" a="1"/>
  <c r="P43" i="17"/>
  <c r="P188" i="17" a="1"/>
  <c r="P188" i="17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/>
  <c r="P190" i="17" a="1"/>
  <c r="P190" i="17" s="1"/>
  <c r="P56" i="17" a="1"/>
  <c r="P56" i="17"/>
  <c r="P57" i="17" a="1"/>
  <c r="P57" i="17"/>
  <c r="P58" i="17" a="1"/>
  <c r="P58" i="17" s="1"/>
  <c r="P59" i="17" a="1"/>
  <c r="P59" i="17" s="1"/>
  <c r="P60" i="17" a="1"/>
  <c r="P60" i="17" s="1"/>
  <c r="P61" i="17" a="1"/>
  <c r="P61" i="17"/>
  <c r="P191" i="17" a="1"/>
  <c r="P191" i="17" s="1"/>
  <c r="P62" i="17" a="1"/>
  <c r="P62" i="17"/>
  <c r="P63" i="17" a="1"/>
  <c r="P63" i="17" s="1"/>
  <c r="P64" i="17" a="1"/>
  <c r="P64" i="17"/>
  <c r="P65" i="17" a="1"/>
  <c r="P65" i="17" s="1"/>
  <c r="P66" i="17" a="1"/>
  <c r="P66" i="17"/>
  <c r="P67" i="17" a="1"/>
  <c r="P67" i="17" s="1"/>
  <c r="P192" i="17" a="1"/>
  <c r="P192" i="17" s="1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/>
  <c r="P77" i="17" a="1"/>
  <c r="P77" i="17"/>
  <c r="P78" i="17" a="1"/>
  <c r="P78" i="17"/>
  <c r="P79" i="17" a="1"/>
  <c r="P79" i="17"/>
  <c r="P194" i="17" a="1"/>
  <c r="P194" i="17"/>
  <c r="P80" i="17" a="1"/>
  <c r="P80" i="17" s="1"/>
  <c r="P81" i="17" a="1"/>
  <c r="P81" i="17" s="1"/>
  <c r="P82" i="17" a="1"/>
  <c r="P82" i="17"/>
  <c r="P83" i="17" a="1"/>
  <c r="P83" i="17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/>
  <c r="P91" i="17" a="1"/>
  <c r="P91" i="17" s="1"/>
  <c r="P196" i="17" a="1"/>
  <c r="P196" i="17" s="1"/>
  <c r="P92" i="17" a="1"/>
  <c r="P92" i="17"/>
  <c r="P93" i="17" a="1"/>
  <c r="P93" i="17" s="1"/>
  <c r="P94" i="17" a="1"/>
  <c r="P94" i="17"/>
  <c r="P95" i="17" a="1"/>
  <c r="P95" i="17" s="1"/>
  <c r="P96" i="17" a="1"/>
  <c r="P96" i="17" s="1"/>
  <c r="P97" i="17" a="1"/>
  <c r="P97" i="17" s="1"/>
  <c r="P197" i="17" a="1"/>
  <c r="P197" i="17"/>
  <c r="P98" i="17" a="1"/>
  <c r="P98" i="17"/>
  <c r="P99" i="17" a="1"/>
  <c r="P99" i="17" s="1"/>
  <c r="P100" i="17" a="1"/>
  <c r="P100" i="17" s="1"/>
  <c r="P101" i="17" a="1"/>
  <c r="P101" i="17" s="1"/>
  <c r="P102" i="17" a="1"/>
  <c r="P102" i="17"/>
  <c r="P103" i="17" a="1"/>
  <c r="P103" i="17"/>
  <c r="P198" i="17" a="1"/>
  <c r="P198" i="17" s="1"/>
  <c r="P104" i="17" a="1"/>
  <c r="P104" i="17" s="1"/>
  <c r="P105" i="17" a="1"/>
  <c r="P105" i="17" s="1"/>
  <c r="P106" i="17" a="1"/>
  <c r="P106" i="17"/>
  <c r="P107" i="17" a="1"/>
  <c r="P107" i="17" s="1"/>
  <c r="P108" i="17" a="1"/>
  <c r="P108" i="17" s="1"/>
  <c r="P109" i="17" a="1"/>
  <c r="P109" i="17" s="1"/>
  <c r="P199" i="17" a="1"/>
  <c r="P199" i="17"/>
  <c r="P110" i="17" a="1"/>
  <c r="P110" i="17" s="1"/>
  <c r="P111" i="17" a="1"/>
  <c r="P111" i="17" s="1"/>
  <c r="P112" i="17" a="1"/>
  <c r="P112" i="17"/>
  <c r="P113" i="17" a="1"/>
  <c r="P113" i="17" s="1"/>
  <c r="P114" i="17" a="1"/>
  <c r="P114" i="17" s="1"/>
  <c r="P115" i="17" a="1"/>
  <c r="P115" i="17" s="1"/>
  <c r="P200" i="17" a="1"/>
  <c r="P200" i="17"/>
  <c r="P116" i="17" a="1"/>
  <c r="P116" i="17"/>
  <c r="P117" i="17" a="1"/>
  <c r="P117" i="17" s="1"/>
  <c r="P118" i="17" a="1"/>
  <c r="P118" i="17" s="1"/>
  <c r="P119" i="17" a="1"/>
  <c r="P119" i="17" s="1"/>
  <c r="P120" i="17" a="1"/>
  <c r="P120" i="17"/>
  <c r="P121" i="17" a="1"/>
  <c r="P121" i="17"/>
  <c r="P201" i="17" a="1"/>
  <c r="P201" i="17" s="1"/>
  <c r="P122" i="17" a="1"/>
  <c r="P122" i="17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/>
  <c r="P203" i="17" a="1"/>
  <c r="P203" i="17"/>
  <c r="P134" i="17" a="1"/>
  <c r="P134" i="17" s="1"/>
  <c r="P135" i="17" a="1"/>
  <c r="P135" i="17" s="1"/>
  <c r="P136" i="17" a="1"/>
  <c r="P136" i="17"/>
  <c r="P137" i="17" a="1"/>
  <c r="P137" i="17"/>
  <c r="P138" i="17" a="1"/>
  <c r="P138" i="17"/>
  <c r="P139" i="17" a="1"/>
  <c r="P139" i="17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/>
  <c r="P148" i="17" a="1"/>
  <c r="P148" i="17"/>
  <c r="P149" i="17" a="1"/>
  <c r="P149" i="17" s="1"/>
  <c r="P150" i="17" a="1"/>
  <c r="P150" i="17"/>
  <c r="P151" i="17" a="1"/>
  <c r="P151" i="17"/>
  <c r="P206" i="17" a="1"/>
  <c r="P206" i="17" s="1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/>
  <c r="P158" i="17" a="1"/>
  <c r="P158" i="17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/>
  <c r="P208" i="17" a="1"/>
  <c r="P208" i="17" s="1"/>
  <c r="P164" i="17" a="1"/>
  <c r="P164" i="17" s="1"/>
  <c r="P165" i="17" a="1"/>
  <c r="P165" i="17" s="1"/>
  <c r="P166" i="17" a="1"/>
  <c r="P166" i="17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/>
  <c r="P171" i="17" a="1"/>
  <c r="P171" i="17"/>
  <c r="P172" i="17" a="1"/>
  <c r="P172" i="17"/>
  <c r="P173" i="17" a="1"/>
  <c r="P173" i="17"/>
  <c r="P174" i="17" a="1"/>
  <c r="P174" i="17" s="1"/>
  <c r="P175" i="17" a="1"/>
  <c r="P175" i="17" s="1"/>
  <c r="P210" i="17" a="1"/>
  <c r="P210" i="17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G2" i="16"/>
  <c r="P125" i="20" l="1" a="1"/>
  <c r="P125" i="20" s="1"/>
  <c r="O142" i="20" a="1"/>
  <c r="O142" i="20" s="1"/>
  <c r="K29" i="20" a="1"/>
  <c r="K29" i="20" s="1"/>
  <c r="K109" i="20" a="1"/>
  <c r="K109" i="20" s="1"/>
  <c r="P126" i="20" a="1"/>
  <c r="P126" i="20" s="1"/>
  <c r="P58" i="20" a="1"/>
  <c r="P58" i="20" s="1"/>
  <c r="O94" i="20" a="1"/>
  <c r="O94" i="20" s="1"/>
  <c r="L120" i="20" a="1"/>
  <c r="L120" i="20" s="1"/>
  <c r="N120" i="20" s="1"/>
  <c r="P61" i="20" a="1"/>
  <c r="P61" i="20" s="1"/>
  <c r="L150" i="20" a="1"/>
  <c r="L150" i="20" s="1"/>
  <c r="N150" i="20" s="1"/>
  <c r="O65" i="20" a="1"/>
  <c r="O65" i="20" s="1"/>
  <c r="P92" i="20" a="1"/>
  <c r="P92" i="20" s="1"/>
  <c r="K11" i="20" a="1"/>
  <c r="K11" i="20" s="1"/>
  <c r="K30" i="20" a="1"/>
  <c r="K30" i="20" s="1"/>
  <c r="P57" i="20" a="1"/>
  <c r="P57" i="20" s="1"/>
  <c r="O63" i="20" a="1"/>
  <c r="O63" i="20" s="1"/>
  <c r="O100" i="20" a="1"/>
  <c r="O100" i="20" s="1"/>
  <c r="K64" i="20" a="1"/>
  <c r="K64" i="20" s="1"/>
  <c r="L25" i="20" a="1"/>
  <c r="L25" i="20" s="1"/>
  <c r="N25" i="20" s="1"/>
  <c r="O62" i="20" a="1"/>
  <c r="O62" i="20" s="1"/>
  <c r="L121" i="20" a="1"/>
  <c r="L121" i="20" s="1"/>
  <c r="L55" i="20" a="1"/>
  <c r="L55" i="20" s="1"/>
  <c r="N55" i="20" s="1"/>
  <c r="K60" i="20" a="1"/>
  <c r="K60" i="20" s="1"/>
  <c r="P108" i="20" a="1"/>
  <c r="P108" i="20" s="1"/>
  <c r="K96" i="20" a="1"/>
  <c r="K96" i="20" s="1"/>
  <c r="O144" i="20" a="1"/>
  <c r="O144" i="20" s="1"/>
  <c r="P74" i="20" a="1"/>
  <c r="P74" i="20" s="1"/>
  <c r="O32" i="20" a="1"/>
  <c r="O32" i="20" s="1"/>
  <c r="K79" i="20" a="1"/>
  <c r="K79" i="20" s="1"/>
  <c r="P40" i="20" a="1"/>
  <c r="P40" i="20" s="1"/>
  <c r="O97" i="20" a="1"/>
  <c r="O97" i="20" s="1"/>
  <c r="P124" i="20" a="1"/>
  <c r="P124" i="20" s="1"/>
  <c r="L118" i="20" a="1"/>
  <c r="L118" i="20" s="1"/>
  <c r="N118" i="20" s="1"/>
  <c r="K95" i="20" a="1"/>
  <c r="K95" i="20" s="1"/>
  <c r="L7" i="20" a="1"/>
  <c r="L7" i="20" s="1"/>
  <c r="K31" i="20" a="1"/>
  <c r="K31" i="20" s="1"/>
  <c r="K43" i="20" a="1"/>
  <c r="K43" i="20" s="1"/>
  <c r="O79" i="20" a="1"/>
  <c r="O79" i="20" s="1"/>
  <c r="K127" i="20" a="1"/>
  <c r="K127" i="20" s="1"/>
  <c r="K59" i="20" a="1"/>
  <c r="K59" i="20" s="1"/>
  <c r="L135" i="20" a="1"/>
  <c r="L135" i="20" s="1"/>
  <c r="P56" i="20" a="1"/>
  <c r="P56" i="20" s="1"/>
  <c r="N113" i="20"/>
  <c r="N121" i="20"/>
  <c r="P73" i="20" a="1"/>
  <c r="P73" i="20" s="1"/>
  <c r="O145" i="20" a="1"/>
  <c r="O145" i="20" s="1"/>
  <c r="O33" i="20" a="1"/>
  <c r="O33" i="20" s="1"/>
  <c r="N64" i="20"/>
  <c r="L93" i="20" a="1"/>
  <c r="L93" i="20" s="1"/>
  <c r="N93" i="20" s="1"/>
  <c r="O93" i="20" a="1"/>
  <c r="O93" i="20" s="1"/>
  <c r="O31" i="20" a="1"/>
  <c r="O31" i="20" s="1"/>
  <c r="L40" i="20" a="1"/>
  <c r="L40" i="20" s="1"/>
  <c r="N40" i="20" s="1"/>
  <c r="K18" i="20" a="1"/>
  <c r="K18" i="20" s="1"/>
  <c r="P24" i="20" a="1"/>
  <c r="P24" i="20" s="1"/>
  <c r="L39" i="20" a="1"/>
  <c r="L39" i="20" s="1"/>
  <c r="N39" i="20" s="1"/>
  <c r="K62" i="20" a="1"/>
  <c r="K62" i="20" s="1"/>
  <c r="K16" i="20" a="1"/>
  <c r="K16" i="20" s="1"/>
  <c r="K4" i="20" a="1"/>
  <c r="K4" i="20" s="1"/>
  <c r="O78" i="20" a="1"/>
  <c r="O78" i="20" s="1"/>
  <c r="K32" i="20" a="1"/>
  <c r="K32" i="20" s="1"/>
  <c r="K77" i="20" a="1"/>
  <c r="K77" i="20" s="1"/>
  <c r="O89" i="20" a="1"/>
  <c r="O89" i="20" s="1"/>
  <c r="K89" i="20" a="1"/>
  <c r="K89" i="20" s="1"/>
  <c r="O119" i="20" a="1"/>
  <c r="O119" i="20" s="1"/>
  <c r="P119" i="20" a="1"/>
  <c r="P119" i="20" s="1"/>
  <c r="K119" i="20" a="1"/>
  <c r="K119" i="20" s="1"/>
  <c r="O19" i="20" a="1"/>
  <c r="O19" i="20" s="1"/>
  <c r="L74" i="20" a="1"/>
  <c r="L74" i="20" s="1"/>
  <c r="O18" i="20" a="1"/>
  <c r="O18" i="20" s="1"/>
  <c r="K143" i="20" a="1"/>
  <c r="K143" i="20" s="1"/>
  <c r="K107" i="20" a="1"/>
  <c r="K107" i="20" s="1"/>
  <c r="L90" i="20" a="1"/>
  <c r="L90" i="20" s="1"/>
  <c r="N90" i="20" s="1"/>
  <c r="N127" i="20"/>
  <c r="L126" i="20" a="1"/>
  <c r="L126" i="20" s="1"/>
  <c r="N126" i="20" s="1"/>
  <c r="P139" i="20" a="1"/>
  <c r="P139" i="20" s="1"/>
  <c r="P62" i="20" a="1"/>
  <c r="P62" i="20" s="1"/>
  <c r="P28" i="20" a="1"/>
  <c r="P28" i="20" s="1"/>
  <c r="N10" i="20"/>
  <c r="L91" i="20" a="1"/>
  <c r="L91" i="20" s="1"/>
  <c r="N91" i="20" s="1"/>
  <c r="O91" i="20" a="1"/>
  <c r="O91" i="20" s="1"/>
  <c r="L86" i="20" a="1"/>
  <c r="L86" i="20" s="1"/>
  <c r="N86" i="20" s="1"/>
  <c r="O88" i="20" a="1"/>
  <c r="O88" i="20" s="1"/>
  <c r="K88" i="20" a="1"/>
  <c r="K88" i="20" s="1"/>
  <c r="O87" i="20" a="1"/>
  <c r="O87" i="20" s="1"/>
  <c r="P87" i="20" a="1"/>
  <c r="P87" i="20" s="1"/>
  <c r="K87" i="20" a="1"/>
  <c r="K87" i="20" s="1"/>
  <c r="O53" i="20" a="1"/>
  <c r="O53" i="20" s="1"/>
  <c r="O131" i="20" a="1"/>
  <c r="O131" i="20" s="1"/>
  <c r="P91" i="20" a="1"/>
  <c r="P91" i="20" s="1"/>
  <c r="L73" i="20" a="1"/>
  <c r="L73" i="20" s="1"/>
  <c r="L38" i="20" a="1"/>
  <c r="L38" i="20" s="1"/>
  <c r="N38" i="20" s="1"/>
  <c r="K61" i="20" a="1"/>
  <c r="K61" i="20" s="1"/>
  <c r="K15" i="20" a="1"/>
  <c r="K15" i="20" s="1"/>
  <c r="K124" i="20" a="1"/>
  <c r="K124" i="20" s="1"/>
  <c r="L30" i="20" a="1"/>
  <c r="L30" i="20" s="1"/>
  <c r="O67" i="20" a="1"/>
  <c r="O67" i="20" s="1"/>
  <c r="O122" i="20" a="1"/>
  <c r="O122" i="20" s="1"/>
  <c r="K122" i="20" a="1"/>
  <c r="K122" i="20" s="1"/>
  <c r="O90" i="20" a="1"/>
  <c r="O90" i="20" s="1"/>
  <c r="K90" i="20" a="1"/>
  <c r="K90" i="20" s="1"/>
  <c r="O26" i="20" a="1"/>
  <c r="O26" i="20" s="1"/>
  <c r="K26" i="20" a="1"/>
  <c r="K26" i="20" s="1"/>
  <c r="O57" i="20" a="1"/>
  <c r="O57" i="20" s="1"/>
  <c r="K57" i="20" a="1"/>
  <c r="K57" i="20" s="1"/>
  <c r="O120" i="20" a="1"/>
  <c r="O120" i="20" s="1"/>
  <c r="K120" i="20" a="1"/>
  <c r="K120" i="20" s="1"/>
  <c r="N74" i="20"/>
  <c r="O151" i="20" a="1"/>
  <c r="O151" i="20" s="1"/>
  <c r="P151" i="20" a="1"/>
  <c r="P151" i="20" s="1"/>
  <c r="K151" i="20" a="1"/>
  <c r="K151" i="20" s="1"/>
  <c r="O117" i="20" a="1"/>
  <c r="O117" i="20" s="1"/>
  <c r="O130" i="20" a="1"/>
  <c r="O130" i="20" s="1"/>
  <c r="O17" i="20" a="1"/>
  <c r="O17" i="20" s="1"/>
  <c r="L117" i="20" a="1"/>
  <c r="L117" i="20" s="1"/>
  <c r="N117" i="20" s="1"/>
  <c r="K142" i="20" a="1"/>
  <c r="K142" i="20" s="1"/>
  <c r="L10" i="20" a="1"/>
  <c r="L10" i="20" s="1"/>
  <c r="P128" i="20" a="1"/>
  <c r="P128" i="20" s="1"/>
  <c r="L128" i="20" a="1"/>
  <c r="L128" i="20" s="1"/>
  <c r="P96" i="20" a="1"/>
  <c r="P96" i="20" s="1"/>
  <c r="L96" i="20" a="1"/>
  <c r="L96" i="20" s="1"/>
  <c r="N96" i="20" s="1"/>
  <c r="P64" i="20" a="1"/>
  <c r="P64" i="20" s="1"/>
  <c r="L64" i="20" a="1"/>
  <c r="L64" i="20" s="1"/>
  <c r="P32" i="20" a="1"/>
  <c r="P32" i="20" s="1"/>
  <c r="L32" i="20" a="1"/>
  <c r="L32" i="20" s="1"/>
  <c r="L62" i="20" a="1"/>
  <c r="L62" i="20" s="1"/>
  <c r="N62" i="20" s="1"/>
  <c r="L123" i="20" a="1"/>
  <c r="L123" i="20" s="1"/>
  <c r="N123" i="20" s="1"/>
  <c r="O123" i="20" a="1"/>
  <c r="O123" i="20" s="1"/>
  <c r="L27" i="20" a="1"/>
  <c r="L27" i="20" s="1"/>
  <c r="N27" i="20" s="1"/>
  <c r="O27" i="20" a="1"/>
  <c r="O27" i="20" s="1"/>
  <c r="P137" i="20" a="1"/>
  <c r="P137" i="20" s="1"/>
  <c r="P60" i="20" a="1"/>
  <c r="P60" i="20" s="1"/>
  <c r="P26" i="20" a="1"/>
  <c r="P26" i="20" s="1"/>
  <c r="O149" i="20" a="1"/>
  <c r="O149" i="20" s="1"/>
  <c r="O85" i="20" a="1"/>
  <c r="O85" i="20" s="1"/>
  <c r="K85" i="20" a="1"/>
  <c r="K85" i="20" s="1"/>
  <c r="P85" i="20" a="1"/>
  <c r="P85" i="20" s="1"/>
  <c r="N28" i="20"/>
  <c r="L119" i="20" a="1"/>
  <c r="L119" i="20" s="1"/>
  <c r="N119" i="20" s="1"/>
  <c r="P14" i="20" a="1"/>
  <c r="P14" i="20" s="1"/>
  <c r="O96" i="20" a="1"/>
  <c r="O96" i="20" s="1"/>
  <c r="P90" i="20" a="1"/>
  <c r="P90" i="20" s="1"/>
  <c r="L72" i="20" a="1"/>
  <c r="L72" i="20" s="1"/>
  <c r="N72" i="20" s="1"/>
  <c r="L37" i="20" a="1"/>
  <c r="L37" i="20" s="1"/>
  <c r="N37" i="20" s="1"/>
  <c r="K14" i="20" a="1"/>
  <c r="K14" i="20" s="1"/>
  <c r="N135" i="20"/>
  <c r="K123" i="20" a="1"/>
  <c r="K123" i="20" s="1"/>
  <c r="K112" i="20" a="1"/>
  <c r="K112" i="20" s="1"/>
  <c r="L124" i="20" a="1"/>
  <c r="L124" i="20" s="1"/>
  <c r="O124" i="20" a="1"/>
  <c r="O124" i="20" s="1"/>
  <c r="L92" i="20" a="1"/>
  <c r="L92" i="20" s="1"/>
  <c r="N92" i="20" s="1"/>
  <c r="O92" i="20" a="1"/>
  <c r="O92" i="20" s="1"/>
  <c r="L28" i="20" a="1"/>
  <c r="L28" i="20" s="1"/>
  <c r="O28" i="20" a="1"/>
  <c r="O28" i="20" s="1"/>
  <c r="L42" i="20" a="1"/>
  <c r="L42" i="20" s="1"/>
  <c r="O121" i="20" a="1"/>
  <c r="O121" i="20" s="1"/>
  <c r="K121" i="20" a="1"/>
  <c r="K121" i="20" s="1"/>
  <c r="O98" i="20" a="1"/>
  <c r="O98" i="20" s="1"/>
  <c r="O64" i="20" a="1"/>
  <c r="O64" i="20" s="1"/>
  <c r="K108" i="20" a="1"/>
  <c r="K108" i="20" s="1"/>
  <c r="P13" i="20" a="1"/>
  <c r="P13" i="20" s="1"/>
  <c r="O95" i="20" a="1"/>
  <c r="O95" i="20" s="1"/>
  <c r="O51" i="20" a="1"/>
  <c r="O51" i="20" s="1"/>
  <c r="O16" i="20" a="1"/>
  <c r="O16" i="20" s="1"/>
  <c r="L151" i="20" a="1"/>
  <c r="L151" i="20" s="1"/>
  <c r="N151" i="20" s="1"/>
  <c r="K141" i="20" a="1"/>
  <c r="K141" i="20" s="1"/>
  <c r="L134" i="20" a="1"/>
  <c r="L134" i="20" s="1"/>
  <c r="N134" i="20" s="1"/>
  <c r="P72" i="20" a="1"/>
  <c r="P72" i="20" s="1"/>
  <c r="L122" i="20" a="1"/>
  <c r="L122" i="20" s="1"/>
  <c r="N122" i="20" s="1"/>
  <c r="L85" i="20" a="1"/>
  <c r="L85" i="20" s="1"/>
  <c r="N85" i="20" s="1"/>
  <c r="K144" i="20" a="1"/>
  <c r="K144" i="20" s="1"/>
  <c r="P123" i="20" a="1"/>
  <c r="P123" i="20" s="1"/>
  <c r="P89" i="20" a="1"/>
  <c r="P89" i="20" s="1"/>
  <c r="P12" i="20" a="1"/>
  <c r="P12" i="20" s="1"/>
  <c r="O128" i="20" a="1"/>
  <c r="O128" i="20" s="1"/>
  <c r="L106" i="20" a="1"/>
  <c r="L106" i="20" s="1"/>
  <c r="L71" i="20" a="1"/>
  <c r="L71" i="20" s="1"/>
  <c r="K13" i="20" a="1"/>
  <c r="K13" i="20" s="1"/>
  <c r="N73" i="20"/>
  <c r="K129" i="20" a="1"/>
  <c r="K129" i="20" s="1"/>
  <c r="P129" i="20" a="1"/>
  <c r="P129" i="20" s="1"/>
  <c r="L129" i="20" a="1"/>
  <c r="L129" i="20" s="1"/>
  <c r="N129" i="20" s="1"/>
  <c r="L94" i="20" a="1"/>
  <c r="L94" i="20" s="1"/>
  <c r="N94" i="20" s="1"/>
  <c r="O110" i="20" a="1"/>
  <c r="O110" i="20" s="1"/>
  <c r="L59" i="20" a="1"/>
  <c r="L59" i="20" s="1"/>
  <c r="N59" i="20" s="1"/>
  <c r="O59" i="20" a="1"/>
  <c r="O59" i="20" s="1"/>
  <c r="K49" i="20" a="1"/>
  <c r="K49" i="20" s="1"/>
  <c r="P46" i="20" a="1"/>
  <c r="P46" i="20" s="1"/>
  <c r="O50" i="20" a="1"/>
  <c r="O50" i="20" s="1"/>
  <c r="O15" i="20" a="1"/>
  <c r="O15" i="20" s="1"/>
  <c r="L26" i="20" a="1"/>
  <c r="L26" i="20" s="1"/>
  <c r="N26" i="20" s="1"/>
  <c r="K140" i="20" a="1"/>
  <c r="K140" i="20" s="1"/>
  <c r="K94" i="20" a="1"/>
  <c r="K94" i="20" s="1"/>
  <c r="P141" i="20" a="1"/>
  <c r="P141" i="20" s="1"/>
  <c r="P63" i="20" a="1"/>
  <c r="P63" i="20" s="1"/>
  <c r="L63" i="20" a="1"/>
  <c r="L63" i="20" s="1"/>
  <c r="N63" i="20" s="1"/>
  <c r="O111" i="20" a="1"/>
  <c r="O111" i="20" s="1"/>
  <c r="L29" i="20" a="1"/>
  <c r="L29" i="20" s="1"/>
  <c r="N29" i="20" s="1"/>
  <c r="O29" i="20" a="1"/>
  <c r="O29" i="20" s="1"/>
  <c r="K110" i="20" a="1"/>
  <c r="K110" i="20" s="1"/>
  <c r="O24" i="20" a="1"/>
  <c r="O24" i="20" s="1"/>
  <c r="K24" i="20" a="1"/>
  <c r="K24" i="20" s="1"/>
  <c r="P94" i="20" a="1"/>
  <c r="P94" i="20" s="1"/>
  <c r="O84" i="20" a="1"/>
  <c r="O84" i="20" s="1"/>
  <c r="L105" i="20" a="1"/>
  <c r="L105" i="20" s="1"/>
  <c r="N105" i="20" s="1"/>
  <c r="L70" i="20" a="1"/>
  <c r="L70" i="20" s="1"/>
  <c r="N70" i="20" s="1"/>
  <c r="K48" i="20" a="1"/>
  <c r="K48" i="20" s="1"/>
  <c r="K12" i="20" a="1"/>
  <c r="K12" i="20" s="1"/>
  <c r="K33" i="20" a="1"/>
  <c r="K33" i="20" s="1"/>
  <c r="P33" i="20" a="1"/>
  <c r="P33" i="20" s="1"/>
  <c r="L33" i="20" a="1"/>
  <c r="L33" i="20" s="1"/>
  <c r="N33" i="20" s="1"/>
  <c r="L9" i="20" a="1"/>
  <c r="L9" i="20" s="1"/>
  <c r="N9" i="20" s="1"/>
  <c r="P105" i="20" a="1"/>
  <c r="P105" i="20" s="1"/>
  <c r="O99" i="20" a="1"/>
  <c r="O99" i="20" s="1"/>
  <c r="O30" i="20" a="1"/>
  <c r="O30" i="20" s="1"/>
  <c r="K28" i="20" a="1"/>
  <c r="K28" i="20" s="1"/>
  <c r="O55" i="20" a="1"/>
  <c r="O55" i="20" s="1"/>
  <c r="P55" i="20" a="1"/>
  <c r="P55" i="20" s="1"/>
  <c r="K55" i="20" a="1"/>
  <c r="K55" i="20" s="1"/>
  <c r="P11" i="20" a="1"/>
  <c r="P11" i="20" s="1"/>
  <c r="O127" i="20" a="1"/>
  <c r="O127" i="20" s="1"/>
  <c r="O49" i="20" a="1"/>
  <c r="O49" i="20" s="1"/>
  <c r="O14" i="20" a="1"/>
  <c r="O14" i="20" s="1"/>
  <c r="L149" i="20" a="1"/>
  <c r="L149" i="20" s="1"/>
  <c r="N149" i="20" s="1"/>
  <c r="K139" i="20" a="1"/>
  <c r="K139" i="20" s="1"/>
  <c r="K93" i="20" a="1"/>
  <c r="K93" i="20" s="1"/>
  <c r="N71" i="20"/>
  <c r="P107" i="20" a="1"/>
  <c r="P107" i="20" s="1"/>
  <c r="P140" i="20" a="1"/>
  <c r="P140" i="20" s="1"/>
  <c r="K75" i="20" a="1"/>
  <c r="K75" i="20" s="1"/>
  <c r="O132" i="20" a="1"/>
  <c r="O132" i="20" s="1"/>
  <c r="P44" i="20" a="1"/>
  <c r="P44" i="20" s="1"/>
  <c r="O83" i="20" a="1"/>
  <c r="O83" i="20" s="1"/>
  <c r="N42" i="20"/>
  <c r="L69" i="20" a="1"/>
  <c r="L69" i="20" s="1"/>
  <c r="N69" i="20" s="1"/>
  <c r="N32" i="20"/>
  <c r="K17" i="20" a="1"/>
  <c r="K17" i="20" s="1"/>
  <c r="K78" i="20" a="1"/>
  <c r="K78" i="20" s="1"/>
  <c r="L133" i="20" a="1"/>
  <c r="L133" i="20" s="1"/>
  <c r="N133" i="20" s="1"/>
  <c r="L125" i="20" a="1"/>
  <c r="L125" i="20" s="1"/>
  <c r="N125" i="20" s="1"/>
  <c r="O125" i="20" a="1"/>
  <c r="O125" i="20" s="1"/>
  <c r="K111" i="20" a="1"/>
  <c r="K111" i="20" s="1"/>
  <c r="O58" i="20" a="1"/>
  <c r="O58" i="20" s="1"/>
  <c r="K58" i="20" a="1"/>
  <c r="K58" i="20" s="1"/>
  <c r="L5" i="20" a="1"/>
  <c r="L5" i="20" s="1"/>
  <c r="N5" i="20" s="1"/>
  <c r="O150" i="20" a="1"/>
  <c r="O150" i="20" s="1"/>
  <c r="P150" i="20" a="1"/>
  <c r="P150" i="20" s="1"/>
  <c r="K150" i="20" a="1"/>
  <c r="K150" i="20" s="1"/>
  <c r="O22" i="20" a="1"/>
  <c r="O22" i="20" s="1"/>
  <c r="K22" i="20" a="1"/>
  <c r="K22" i="20" s="1"/>
  <c r="P22" i="20" a="1"/>
  <c r="P22" i="20" s="1"/>
  <c r="P59" i="20" a="1"/>
  <c r="P59" i="20" s="1"/>
  <c r="P78" i="20" a="1"/>
  <c r="P78" i="20" s="1"/>
  <c r="P10" i="20" a="1"/>
  <c r="P10" i="20" s="1"/>
  <c r="O126" i="20" a="1"/>
  <c r="O126" i="20" s="1"/>
  <c r="L104" i="20" a="1"/>
  <c r="L104" i="20" s="1"/>
  <c r="N104" i="20" s="1"/>
  <c r="K47" i="20" a="1"/>
  <c r="K47" i="20" s="1"/>
  <c r="O48" i="20" a="1"/>
  <c r="O48" i="20" s="1"/>
  <c r="L24" i="20" a="1"/>
  <c r="L24" i="20" s="1"/>
  <c r="N24" i="20" s="1"/>
  <c r="K128" i="20" a="1"/>
  <c r="K128" i="20" s="1"/>
  <c r="K92" i="20" a="1"/>
  <c r="K92" i="20" s="1"/>
  <c r="O34" i="20" a="1"/>
  <c r="O34" i="20" s="1"/>
  <c r="P31" i="20" a="1"/>
  <c r="P31" i="20" s="1"/>
  <c r="L31" i="20" a="1"/>
  <c r="L31" i="20" s="1"/>
  <c r="N31" i="20" s="1"/>
  <c r="N124" i="20"/>
  <c r="L8" i="20" a="1"/>
  <c r="L8" i="20" s="1"/>
  <c r="N8" i="20" s="1"/>
  <c r="O143" i="20" a="1"/>
  <c r="O143" i="20" s="1"/>
  <c r="P136" i="20" a="1"/>
  <c r="P136" i="20" s="1"/>
  <c r="K63" i="20" a="1"/>
  <c r="K63" i="20" s="1"/>
  <c r="P77" i="20" a="1"/>
  <c r="P77" i="20" s="1"/>
  <c r="P9" i="20" a="1"/>
  <c r="P9" i="20" s="1"/>
  <c r="O82" i="20" a="1"/>
  <c r="O82" i="20" s="1"/>
  <c r="L103" i="20" a="1"/>
  <c r="L103" i="20" s="1"/>
  <c r="K46" i="20" a="1"/>
  <c r="K46" i="20" s="1"/>
  <c r="K65" i="20" a="1"/>
  <c r="K65" i="20" s="1"/>
  <c r="P65" i="20" a="1"/>
  <c r="P65" i="20" s="1"/>
  <c r="L65" i="20" a="1"/>
  <c r="L65" i="20" s="1"/>
  <c r="N65" i="20" s="1"/>
  <c r="L89" i="20" a="1"/>
  <c r="L89" i="20" s="1"/>
  <c r="N89" i="20" s="1"/>
  <c r="L53" i="20" a="1"/>
  <c r="L53" i="20" s="1"/>
  <c r="N53" i="20" s="1"/>
  <c r="P138" i="20" a="1"/>
  <c r="P138" i="20" s="1"/>
  <c r="P45" i="20" a="1"/>
  <c r="P45" i="20" s="1"/>
  <c r="P121" i="20" a="1"/>
  <c r="P121" i="20" s="1"/>
  <c r="P120" i="20" a="1"/>
  <c r="P120" i="20" s="1"/>
  <c r="P43" i="20" a="1"/>
  <c r="P43" i="20" s="1"/>
  <c r="O116" i="20" a="1"/>
  <c r="O116" i="20" s="1"/>
  <c r="O3" i="20" a="1"/>
  <c r="O3" i="20" s="1"/>
  <c r="L138" i="20" a="1"/>
  <c r="L138" i="20" s="1"/>
  <c r="N138" i="20" s="1"/>
  <c r="O47" i="20" a="1"/>
  <c r="O47" i="20" s="1"/>
  <c r="L58" i="20" a="1"/>
  <c r="L58" i="20" s="1"/>
  <c r="N58" i="20" s="1"/>
  <c r="L23" i="20" a="1"/>
  <c r="L23" i="20" s="1"/>
  <c r="N23" i="20" s="1"/>
  <c r="K91" i="20" a="1"/>
  <c r="K91" i="20" s="1"/>
  <c r="N110" i="20"/>
  <c r="N30" i="20"/>
  <c r="N66" i="20"/>
  <c r="K97" i="20" a="1"/>
  <c r="K97" i="20" s="1"/>
  <c r="P97" i="20" a="1"/>
  <c r="P97" i="20" s="1"/>
  <c r="L97" i="20" a="1"/>
  <c r="L97" i="20" s="1"/>
  <c r="N97" i="20" s="1"/>
  <c r="L54" i="20" a="1"/>
  <c r="L54" i="20" s="1"/>
  <c r="N54" i="20" s="1"/>
  <c r="L88" i="20" a="1"/>
  <c r="L88" i="20" s="1"/>
  <c r="N88" i="20" s="1"/>
  <c r="L60" i="20" a="1"/>
  <c r="L60" i="20" s="1"/>
  <c r="O60" i="20" a="1"/>
  <c r="O60" i="20" s="1"/>
  <c r="O66" i="20" a="1"/>
  <c r="O66" i="20" s="1"/>
  <c r="O25" i="20" a="1"/>
  <c r="O25" i="20" s="1"/>
  <c r="K25" i="20" a="1"/>
  <c r="K25" i="20" s="1"/>
  <c r="P110" i="20" a="1"/>
  <c r="P110" i="20" s="1"/>
  <c r="P42" i="20" a="1"/>
  <c r="P42" i="20" s="1"/>
  <c r="P8" i="20" a="1"/>
  <c r="P8" i="20" s="1"/>
  <c r="O2" i="20" a="1"/>
  <c r="O2" i="20" s="1"/>
  <c r="L137" i="20" a="1"/>
  <c r="L137" i="20" s="1"/>
  <c r="N137" i="20" s="1"/>
  <c r="K45" i="20" a="1"/>
  <c r="K45" i="20" s="1"/>
  <c r="O112" i="20" a="1"/>
  <c r="O112" i="20" s="1"/>
  <c r="P95" i="20" a="1"/>
  <c r="P95" i="20" s="1"/>
  <c r="L95" i="20" a="1"/>
  <c r="L95" i="20" s="1"/>
  <c r="N95" i="20" s="1"/>
  <c r="O68" i="20" a="1"/>
  <c r="O68" i="20" s="1"/>
  <c r="N103" i="20"/>
  <c r="O61" i="20" a="1"/>
  <c r="O61" i="20" s="1"/>
  <c r="L61" i="20" a="1"/>
  <c r="L61" i="20" s="1"/>
  <c r="N61" i="20" s="1"/>
  <c r="P104" i="20" a="1"/>
  <c r="P104" i="20" s="1"/>
  <c r="P27" i="20" a="1"/>
  <c r="P27" i="20" s="1"/>
  <c r="O118" i="20" a="1"/>
  <c r="O118" i="20" s="1"/>
  <c r="K118" i="20" a="1"/>
  <c r="K118" i="20" s="1"/>
  <c r="P118" i="20" a="1"/>
  <c r="P118" i="20" s="1"/>
  <c r="O86" i="20" a="1"/>
  <c r="O86" i="20" s="1"/>
  <c r="K86" i="20" a="1"/>
  <c r="K86" i="20" s="1"/>
  <c r="P86" i="20" a="1"/>
  <c r="P86" i="20" s="1"/>
  <c r="K27" i="20" a="1"/>
  <c r="K27" i="20" s="1"/>
  <c r="P122" i="20" a="1"/>
  <c r="P122" i="20" s="1"/>
  <c r="P88" i="20" a="1"/>
  <c r="P88" i="20" s="1"/>
  <c r="P76" i="20" a="1"/>
  <c r="P76" i="20" s="1"/>
  <c r="O115" i="20" a="1"/>
  <c r="O115" i="20" s="1"/>
  <c r="O81" i="20" a="1"/>
  <c r="O81" i="20" s="1"/>
  <c r="N106" i="20"/>
  <c r="L102" i="20" a="1"/>
  <c r="L102" i="20" s="1"/>
  <c r="N102" i="20" s="1"/>
  <c r="O46" i="20" a="1"/>
  <c r="O46" i="20" s="1"/>
  <c r="L57" i="20" a="1"/>
  <c r="L57" i="20" s="1"/>
  <c r="N57" i="20" s="1"/>
  <c r="L22" i="20" a="1"/>
  <c r="L22" i="20" s="1"/>
  <c r="N22" i="20" s="1"/>
  <c r="K126" i="20" a="1"/>
  <c r="K126" i="20" s="1"/>
  <c r="O146" i="20" a="1"/>
  <c r="O146" i="20" s="1"/>
  <c r="P127" i="20" a="1"/>
  <c r="P127" i="20" s="1"/>
  <c r="L127" i="20" a="1"/>
  <c r="L127" i="20" s="1"/>
  <c r="P106" i="20" a="1"/>
  <c r="P106" i="20" s="1"/>
  <c r="K76" i="20" a="1"/>
  <c r="K76" i="20" s="1"/>
  <c r="L6" i="20" a="1"/>
  <c r="L6" i="20" s="1"/>
  <c r="N6" i="20" s="1"/>
  <c r="O56" i="20" a="1"/>
  <c r="O56" i="20" s="1"/>
  <c r="K56" i="20" a="1"/>
  <c r="K56" i="20" s="1"/>
  <c r="P109" i="20" a="1"/>
  <c r="P109" i="20" s="1"/>
  <c r="P41" i="20" a="1"/>
  <c r="P41" i="20" s="1"/>
  <c r="O114" i="20" a="1"/>
  <c r="O114" i="20" s="1"/>
  <c r="L136" i="20" a="1"/>
  <c r="L136" i="20" s="1"/>
  <c r="N136" i="20" s="1"/>
  <c r="K80" i="20" a="1"/>
  <c r="K80" i="20" s="1"/>
  <c r="K44" i="20" a="1"/>
  <c r="K44" i="20" s="1"/>
  <c r="P30" i="20" a="1"/>
  <c r="P30" i="20" s="1"/>
  <c r="P29" i="20" a="1"/>
  <c r="P29" i="20" s="1"/>
  <c r="L87" i="20" a="1"/>
  <c r="L87" i="20" s="1"/>
  <c r="N87" i="20" s="1"/>
  <c r="L41" i="20" a="1"/>
  <c r="L41" i="20" s="1"/>
  <c r="N41" i="20" s="1"/>
  <c r="O23" i="20" a="1"/>
  <c r="O23" i="20" s="1"/>
  <c r="K23" i="20" a="1"/>
  <c r="K23" i="20" s="1"/>
  <c r="P23" i="20" a="1"/>
  <c r="P23" i="20" s="1"/>
  <c r="O54" i="20" a="1"/>
  <c r="O54" i="20" s="1"/>
  <c r="K54" i="20" a="1"/>
  <c r="K54" i="20" s="1"/>
  <c r="P54" i="20" a="1"/>
  <c r="P54" i="20" s="1"/>
  <c r="P93" i="20" a="1"/>
  <c r="P93" i="20" s="1"/>
  <c r="P25" i="20" a="1"/>
  <c r="P25" i="20" s="1"/>
  <c r="P75" i="20" a="1"/>
  <c r="P75" i="20" s="1"/>
  <c r="O148" i="20" a="1"/>
  <c r="O148" i="20" s="1"/>
  <c r="O80" i="20" a="1"/>
  <c r="O80" i="20" s="1"/>
  <c r="L101" i="20" a="1"/>
  <c r="L101" i="20" s="1"/>
  <c r="N101" i="20" s="1"/>
  <c r="N60" i="20"/>
  <c r="L56" i="20" a="1"/>
  <c r="L56" i="20" s="1"/>
  <c r="N56" i="20" s="1"/>
  <c r="L21" i="20" a="1"/>
  <c r="L21" i="20" s="1"/>
  <c r="N21" i="20" s="1"/>
  <c r="K125" i="20" a="1"/>
  <c r="K125" i="20" s="1"/>
  <c r="N128" i="20"/>
  <c r="N107" i="20"/>
  <c r="N7" i="20"/>
  <c r="L100" i="20" a="1"/>
  <c r="L100" i="20" s="1"/>
  <c r="N100" i="20" s="1"/>
  <c r="L84" i="20" a="1"/>
  <c r="L84" i="20" s="1"/>
  <c r="N84" i="20" s="1"/>
  <c r="L68" i="20" a="1"/>
  <c r="L68" i="20" s="1"/>
  <c r="N68" i="20" s="1"/>
  <c r="L52" i="20" a="1"/>
  <c r="L52" i="20" s="1"/>
  <c r="N52" i="20" s="1"/>
  <c r="L36" i="20" a="1"/>
  <c r="L36" i="20" s="1"/>
  <c r="N36" i="20" s="1"/>
  <c r="L20" i="20" a="1"/>
  <c r="L20" i="20" s="1"/>
  <c r="N20" i="20" s="1"/>
  <c r="L4" i="20" a="1"/>
  <c r="L4" i="20" s="1"/>
  <c r="N4" i="20" s="1"/>
  <c r="K138" i="20" a="1"/>
  <c r="K138" i="20" s="1"/>
  <c r="K106" i="20" a="1"/>
  <c r="K106" i="20" s="1"/>
  <c r="K74" i="20" a="1"/>
  <c r="K74" i="20" s="1"/>
  <c r="K42" i="20" a="1"/>
  <c r="K42" i="20" s="1"/>
  <c r="K10" i="20" a="1"/>
  <c r="K10" i="20" s="1"/>
  <c r="O13" i="20" a="1"/>
  <c r="O13" i="20" s="1"/>
  <c r="P102" i="20" a="1"/>
  <c r="P102" i="20" s="1"/>
  <c r="P38" i="20" a="1"/>
  <c r="P38" i="20" s="1"/>
  <c r="O140" i="20" a="1"/>
  <c r="O140" i="20" s="1"/>
  <c r="O76" i="20" a="1"/>
  <c r="O76" i="20" s="1"/>
  <c r="O12" i="20" a="1"/>
  <c r="O12" i="20" s="1"/>
  <c r="L131" i="20" a="1"/>
  <c r="L131" i="20" s="1"/>
  <c r="N131" i="20" s="1"/>
  <c r="L99" i="20" a="1"/>
  <c r="L99" i="20" s="1"/>
  <c r="N99" i="20" s="1"/>
  <c r="L67" i="20" a="1"/>
  <c r="L67" i="20" s="1"/>
  <c r="N67" i="20" s="1"/>
  <c r="L35" i="20" a="1"/>
  <c r="L35" i="20" s="1"/>
  <c r="N35" i="20" s="1"/>
  <c r="L3" i="20" a="1"/>
  <c r="L3" i="20" s="1"/>
  <c r="N3" i="20" s="1"/>
  <c r="K105" i="20" a="1"/>
  <c r="K105" i="20" s="1"/>
  <c r="K9" i="20" a="1"/>
  <c r="K9" i="20" s="1"/>
  <c r="P103" i="20" a="1"/>
  <c r="P103" i="20" s="1"/>
  <c r="P134" i="20" a="1"/>
  <c r="P134" i="20" s="1"/>
  <c r="P70" i="20" a="1"/>
  <c r="P70" i="20" s="1"/>
  <c r="P6" i="20" a="1"/>
  <c r="P6" i="20" s="1"/>
  <c r="O108" i="20" a="1"/>
  <c r="O108" i="20" s="1"/>
  <c r="O44" i="20" a="1"/>
  <c r="O44" i="20" s="1"/>
  <c r="L147" i="20" a="1"/>
  <c r="L147" i="20" s="1"/>
  <c r="N147" i="20" s="1"/>
  <c r="L115" i="20" a="1"/>
  <c r="L115" i="20" s="1"/>
  <c r="N115" i="20" s="1"/>
  <c r="L83" i="20" a="1"/>
  <c r="L83" i="20" s="1"/>
  <c r="N83" i="20" s="1"/>
  <c r="L51" i="20" a="1"/>
  <c r="L51" i="20" s="1"/>
  <c r="N51" i="20" s="1"/>
  <c r="L19" i="20" a="1"/>
  <c r="L19" i="20" s="1"/>
  <c r="N19" i="20" s="1"/>
  <c r="K137" i="20" a="1"/>
  <c r="K137" i="20" s="1"/>
  <c r="K73" i="20" a="1"/>
  <c r="K73" i="20" s="1"/>
  <c r="K41" i="20" a="1"/>
  <c r="K41" i="20" s="1"/>
  <c r="P39" i="20" a="1"/>
  <c r="P39" i="20" s="1"/>
  <c r="P133" i="20" a="1"/>
  <c r="P133" i="20" s="1"/>
  <c r="P117" i="20" a="1"/>
  <c r="P117" i="20" s="1"/>
  <c r="P69" i="20" a="1"/>
  <c r="P69" i="20" s="1"/>
  <c r="P53" i="20" a="1"/>
  <c r="P53" i="20" s="1"/>
  <c r="P5" i="20" a="1"/>
  <c r="P5" i="20" s="1"/>
  <c r="O107" i="20" a="1"/>
  <c r="O107" i="20" s="1"/>
  <c r="O43" i="20" a="1"/>
  <c r="O43" i="20" s="1"/>
  <c r="L146" i="20" a="1"/>
  <c r="L146" i="20" s="1"/>
  <c r="N146" i="20" s="1"/>
  <c r="L114" i="20" a="1"/>
  <c r="L114" i="20" s="1"/>
  <c r="N114" i="20" s="1"/>
  <c r="L82" i="20" a="1"/>
  <c r="L82" i="20" s="1"/>
  <c r="N82" i="20" s="1"/>
  <c r="L50" i="20" a="1"/>
  <c r="L50" i="20" s="1"/>
  <c r="N50" i="20" s="1"/>
  <c r="L18" i="20" a="1"/>
  <c r="L18" i="20" s="1"/>
  <c r="N18" i="20" s="1"/>
  <c r="K136" i="20" a="1"/>
  <c r="K136" i="20" s="1"/>
  <c r="K72" i="20" a="1"/>
  <c r="K72" i="20" s="1"/>
  <c r="K8" i="20" a="1"/>
  <c r="K8" i="20" s="1"/>
  <c r="L132" i="20" a="1"/>
  <c r="L132" i="20" s="1"/>
  <c r="N132" i="20" s="1"/>
  <c r="P101" i="20" a="1"/>
  <c r="P101" i="20" s="1"/>
  <c r="P37" i="20" a="1"/>
  <c r="P37" i="20" s="1"/>
  <c r="P21" i="20" a="1"/>
  <c r="P21" i="20" s="1"/>
  <c r="O139" i="20" a="1"/>
  <c r="O139" i="20" s="1"/>
  <c r="O75" i="20" a="1"/>
  <c r="O75" i="20" s="1"/>
  <c r="O11" i="20" a="1"/>
  <c r="O11" i="20" s="1"/>
  <c r="L130" i="20" a="1"/>
  <c r="L130" i="20" s="1"/>
  <c r="N130" i="20" s="1"/>
  <c r="L98" i="20" a="1"/>
  <c r="L98" i="20" s="1"/>
  <c r="N98" i="20" s="1"/>
  <c r="L66" i="20" a="1"/>
  <c r="L66" i="20" s="1"/>
  <c r="L34" i="20" a="1"/>
  <c r="L34" i="20" s="1"/>
  <c r="N34" i="20" s="1"/>
  <c r="L2" i="20" a="1"/>
  <c r="L2" i="20" s="1"/>
  <c r="N2" i="20" s="1"/>
  <c r="K104" i="20" a="1"/>
  <c r="K104" i="20" s="1"/>
  <c r="K40" i="20" a="1"/>
  <c r="K40" i="20" s="1"/>
  <c r="P71" i="20" a="1"/>
  <c r="P71" i="20" s="1"/>
  <c r="P132" i="20" a="1"/>
  <c r="P132" i="20" s="1"/>
  <c r="P100" i="20" a="1"/>
  <c r="P100" i="20" s="1"/>
  <c r="P68" i="20" a="1"/>
  <c r="P68" i="20" s="1"/>
  <c r="P36" i="20" a="1"/>
  <c r="P36" i="20" s="1"/>
  <c r="P4" i="20" a="1"/>
  <c r="P4" i="20" s="1"/>
  <c r="O74" i="20" a="1"/>
  <c r="O74" i="20" s="1"/>
  <c r="O42" i="20" a="1"/>
  <c r="O42" i="20" s="1"/>
  <c r="L145" i="20" a="1"/>
  <c r="L145" i="20" s="1"/>
  <c r="N145" i="20" s="1"/>
  <c r="L81" i="20" a="1"/>
  <c r="L81" i="20" s="1"/>
  <c r="N81" i="20" s="1"/>
  <c r="L17" i="20" a="1"/>
  <c r="L17" i="20" s="1"/>
  <c r="N17" i="20" s="1"/>
  <c r="K103" i="20" a="1"/>
  <c r="K103" i="20" s="1"/>
  <c r="K39" i="20" a="1"/>
  <c r="K39" i="20" s="1"/>
  <c r="K7" i="20" a="1"/>
  <c r="K7" i="20" s="1"/>
  <c r="O109" i="20" a="1"/>
  <c r="O109" i="20" s="1"/>
  <c r="P116" i="20" a="1"/>
  <c r="P116" i="20" s="1"/>
  <c r="P84" i="20" a="1"/>
  <c r="P84" i="20" s="1"/>
  <c r="P52" i="20" a="1"/>
  <c r="P52" i="20" s="1"/>
  <c r="P20" i="20" a="1"/>
  <c r="P20" i="20" s="1"/>
  <c r="O138" i="20" a="1"/>
  <c r="O138" i="20" s="1"/>
  <c r="O106" i="20" a="1"/>
  <c r="O106" i="20" s="1"/>
  <c r="O10" i="20" a="1"/>
  <c r="O10" i="20" s="1"/>
  <c r="L113" i="20" a="1"/>
  <c r="L113" i="20" s="1"/>
  <c r="L49" i="20" a="1"/>
  <c r="L49" i="20" s="1"/>
  <c r="N49" i="20" s="1"/>
  <c r="K135" i="20" a="1"/>
  <c r="K135" i="20" s="1"/>
  <c r="K71" i="20" a="1"/>
  <c r="K71" i="20" s="1"/>
  <c r="L116" i="20" a="1"/>
  <c r="L116" i="20" s="1"/>
  <c r="N116" i="20" s="1"/>
  <c r="P131" i="20" a="1"/>
  <c r="P131" i="20" s="1"/>
  <c r="P99" i="20" a="1"/>
  <c r="P99" i="20" s="1"/>
  <c r="P67" i="20" a="1"/>
  <c r="P67" i="20" s="1"/>
  <c r="P35" i="20" a="1"/>
  <c r="P35" i="20" s="1"/>
  <c r="P3" i="20" a="1"/>
  <c r="P3" i="20" s="1"/>
  <c r="O105" i="20" a="1"/>
  <c r="O105" i="20" s="1"/>
  <c r="O41" i="20" a="1"/>
  <c r="O41" i="20" s="1"/>
  <c r="L144" i="20" a="1"/>
  <c r="L144" i="20" s="1"/>
  <c r="N144" i="20" s="1"/>
  <c r="L80" i="20" a="1"/>
  <c r="L80" i="20" s="1"/>
  <c r="N80" i="20" s="1"/>
  <c r="L16" i="20" a="1"/>
  <c r="L16" i="20" s="1"/>
  <c r="N16" i="20" s="1"/>
  <c r="K70" i="20" a="1"/>
  <c r="K70" i="20" s="1"/>
  <c r="K38" i="20" a="1"/>
  <c r="K38" i="20" s="1"/>
  <c r="P135" i="20" a="1"/>
  <c r="P135" i="20" s="1"/>
  <c r="P147" i="20" a="1"/>
  <c r="P147" i="20" s="1"/>
  <c r="P115" i="20" a="1"/>
  <c r="P115" i="20" s="1"/>
  <c r="P83" i="20" a="1"/>
  <c r="P83" i="20" s="1"/>
  <c r="P51" i="20" a="1"/>
  <c r="P51" i="20" s="1"/>
  <c r="P19" i="20" a="1"/>
  <c r="P19" i="20" s="1"/>
  <c r="O137" i="20" a="1"/>
  <c r="O137" i="20" s="1"/>
  <c r="O73" i="20" a="1"/>
  <c r="O73" i="20" s="1"/>
  <c r="O9" i="20" a="1"/>
  <c r="O9" i="20" s="1"/>
  <c r="L112" i="20" a="1"/>
  <c r="L112" i="20" s="1"/>
  <c r="N112" i="20" s="1"/>
  <c r="L48" i="20" a="1"/>
  <c r="L48" i="20" s="1"/>
  <c r="N48" i="20" s="1"/>
  <c r="K134" i="20" a="1"/>
  <c r="K134" i="20" s="1"/>
  <c r="K102" i="20" a="1"/>
  <c r="K102" i="20" s="1"/>
  <c r="K6" i="20" a="1"/>
  <c r="K6" i="20" s="1"/>
  <c r="P146" i="20" a="1"/>
  <c r="P146" i="20" s="1"/>
  <c r="P98" i="20" a="1"/>
  <c r="P98" i="20" s="1"/>
  <c r="P66" i="20" a="1"/>
  <c r="P66" i="20" s="1"/>
  <c r="P34" i="20" a="1"/>
  <c r="P34" i="20" s="1"/>
  <c r="P2" i="20" a="1"/>
  <c r="P2" i="20" s="1"/>
  <c r="O104" i="20" a="1"/>
  <c r="O104" i="20" s="1"/>
  <c r="O40" i="20" a="1"/>
  <c r="O40" i="20" s="1"/>
  <c r="L143" i="20" a="1"/>
  <c r="L143" i="20" s="1"/>
  <c r="N143" i="20" s="1"/>
  <c r="L79" i="20" a="1"/>
  <c r="L79" i="20" s="1"/>
  <c r="N79" i="20" s="1"/>
  <c r="L15" i="20" a="1"/>
  <c r="L15" i="20" s="1"/>
  <c r="N15" i="20" s="1"/>
  <c r="K149" i="20" a="1"/>
  <c r="K149" i="20" s="1"/>
  <c r="K101" i="20" a="1"/>
  <c r="K101" i="20" s="1"/>
  <c r="K37" i="20" a="1"/>
  <c r="K37" i="20" s="1"/>
  <c r="K5" i="20" a="1"/>
  <c r="K5" i="20" s="1"/>
  <c r="P7" i="20" a="1"/>
  <c r="P7" i="20" s="1"/>
  <c r="P114" i="20" a="1"/>
  <c r="P114" i="20" s="1"/>
  <c r="P82" i="20" a="1"/>
  <c r="P82" i="20" s="1"/>
  <c r="P50" i="20" a="1"/>
  <c r="P50" i="20" s="1"/>
  <c r="P18" i="20" a="1"/>
  <c r="P18" i="20" s="1"/>
  <c r="O136" i="20" a="1"/>
  <c r="O136" i="20" s="1"/>
  <c r="O72" i="20" a="1"/>
  <c r="O72" i="20" s="1"/>
  <c r="O8" i="20" a="1"/>
  <c r="O8" i="20" s="1"/>
  <c r="L111" i="20" a="1"/>
  <c r="L111" i="20" s="1"/>
  <c r="N111" i="20" s="1"/>
  <c r="L47" i="20" a="1"/>
  <c r="L47" i="20" s="1"/>
  <c r="N47" i="20" s="1"/>
  <c r="K133" i="20" a="1"/>
  <c r="K133" i="20" s="1"/>
  <c r="K117" i="20" a="1"/>
  <c r="K117" i="20" s="1"/>
  <c r="K69" i="20" a="1"/>
  <c r="K69" i="20" s="1"/>
  <c r="K53" i="20" a="1"/>
  <c r="K53" i="20" s="1"/>
  <c r="K21" i="20" a="1"/>
  <c r="K21" i="20" s="1"/>
  <c r="P130" i="20" a="1"/>
  <c r="P130" i="20" s="1"/>
  <c r="P113" i="20" a="1"/>
  <c r="P113" i="20" s="1"/>
  <c r="P49" i="20" a="1"/>
  <c r="P49" i="20" s="1"/>
  <c r="O135" i="20" a="1"/>
  <c r="O135" i="20" s="1"/>
  <c r="O71" i="20" a="1"/>
  <c r="O71" i="20" s="1"/>
  <c r="O7" i="20" a="1"/>
  <c r="O7" i="20" s="1"/>
  <c r="L110" i="20" a="1"/>
  <c r="L110" i="20" s="1"/>
  <c r="L46" i="20" a="1"/>
  <c r="L46" i="20" s="1"/>
  <c r="N46" i="20" s="1"/>
  <c r="K148" i="20" a="1"/>
  <c r="K148" i="20" s="1"/>
  <c r="K116" i="20" a="1"/>
  <c r="K116" i="20" s="1"/>
  <c r="K84" i="20" a="1"/>
  <c r="K84" i="20" s="1"/>
  <c r="K52" i="20" a="1"/>
  <c r="K52" i="20" s="1"/>
  <c r="O45" i="20" a="1"/>
  <c r="O45" i="20" s="1"/>
  <c r="P145" i="20" a="1"/>
  <c r="P145" i="20" s="1"/>
  <c r="P81" i="20" a="1"/>
  <c r="P81" i="20" s="1"/>
  <c r="P17" i="20" a="1"/>
  <c r="P17" i="20" s="1"/>
  <c r="O103" i="20" a="1"/>
  <c r="O103" i="20" s="1"/>
  <c r="O39" i="20" a="1"/>
  <c r="O39" i="20" s="1"/>
  <c r="L142" i="20" a="1"/>
  <c r="L142" i="20" s="1"/>
  <c r="N142" i="20" s="1"/>
  <c r="L78" i="20" a="1"/>
  <c r="L78" i="20" s="1"/>
  <c r="N78" i="20" s="1"/>
  <c r="L14" i="20" a="1"/>
  <c r="L14" i="20" s="1"/>
  <c r="N14" i="20" s="1"/>
  <c r="K132" i="20" a="1"/>
  <c r="K132" i="20" s="1"/>
  <c r="K100" i="20" a="1"/>
  <c r="K100" i="20" s="1"/>
  <c r="K68" i="20" a="1"/>
  <c r="K68" i="20" s="1"/>
  <c r="K36" i="20" a="1"/>
  <c r="K36" i="20" s="1"/>
  <c r="K20" i="20" a="1"/>
  <c r="K20" i="20" s="1"/>
  <c r="P148" i="20" a="1"/>
  <c r="P148" i="20" s="1"/>
  <c r="P112" i="20" a="1"/>
  <c r="P112" i="20" s="1"/>
  <c r="P48" i="20" a="1"/>
  <c r="P48" i="20" s="1"/>
  <c r="P16" i="20" a="1"/>
  <c r="P16" i="20" s="1"/>
  <c r="O102" i="20" a="1"/>
  <c r="O102" i="20" s="1"/>
  <c r="O38" i="20" a="1"/>
  <c r="O38" i="20" s="1"/>
  <c r="L141" i="20" a="1"/>
  <c r="L141" i="20" s="1"/>
  <c r="N141" i="20" s="1"/>
  <c r="L77" i="20" a="1"/>
  <c r="L77" i="20" s="1"/>
  <c r="N77" i="20" s="1"/>
  <c r="L13" i="20" a="1"/>
  <c r="L13" i="20" s="1"/>
  <c r="N13" i="20" s="1"/>
  <c r="K131" i="20" a="1"/>
  <c r="K131" i="20" s="1"/>
  <c r="K99" i="20" a="1"/>
  <c r="K99" i="20" s="1"/>
  <c r="K67" i="20" a="1"/>
  <c r="K67" i="20" s="1"/>
  <c r="K35" i="20" a="1"/>
  <c r="K35" i="20" s="1"/>
  <c r="K3" i="20" a="1"/>
  <c r="K3" i="20" s="1"/>
  <c r="O77" i="20" a="1"/>
  <c r="O77" i="20" s="1"/>
  <c r="P144" i="20" a="1"/>
  <c r="P144" i="20" s="1"/>
  <c r="P80" i="20" a="1"/>
  <c r="P80" i="20" s="1"/>
  <c r="O134" i="20" a="1"/>
  <c r="O134" i="20" s="1"/>
  <c r="O70" i="20" a="1"/>
  <c r="O70" i="20" s="1"/>
  <c r="O6" i="20" a="1"/>
  <c r="O6" i="20" s="1"/>
  <c r="L109" i="20" a="1"/>
  <c r="L109" i="20" s="1"/>
  <c r="N109" i="20" s="1"/>
  <c r="L45" i="20" a="1"/>
  <c r="L45" i="20" s="1"/>
  <c r="N45" i="20" s="1"/>
  <c r="K147" i="20" a="1"/>
  <c r="K147" i="20" s="1"/>
  <c r="K115" i="20" a="1"/>
  <c r="K115" i="20" s="1"/>
  <c r="K83" i="20" a="1"/>
  <c r="K83" i="20" s="1"/>
  <c r="K51" i="20" a="1"/>
  <c r="K51" i="20" s="1"/>
  <c r="K19" i="20" a="1"/>
  <c r="K19" i="20" s="1"/>
  <c r="L148" i="20" a="1"/>
  <c r="L148" i="20" s="1"/>
  <c r="N148" i="20" s="1"/>
  <c r="P149" i="20" a="1"/>
  <c r="P149" i="20" s="1"/>
  <c r="P111" i="20" a="1"/>
  <c r="P111" i="20" s="1"/>
  <c r="P47" i="20" a="1"/>
  <c r="P47" i="20" s="1"/>
  <c r="O133" i="20" a="1"/>
  <c r="O133" i="20" s="1"/>
  <c r="O101" i="20" a="1"/>
  <c r="O101" i="20" s="1"/>
  <c r="O37" i="20" a="1"/>
  <c r="O37" i="20" s="1"/>
  <c r="O21" i="20" a="1"/>
  <c r="O21" i="20" s="1"/>
  <c r="L140" i="20" a="1"/>
  <c r="L140" i="20" s="1"/>
  <c r="N140" i="20" s="1"/>
  <c r="L76" i="20" a="1"/>
  <c r="L76" i="20" s="1"/>
  <c r="N76" i="20" s="1"/>
  <c r="L12" i="20" a="1"/>
  <c r="L12" i="20" s="1"/>
  <c r="N12" i="20" s="1"/>
  <c r="K130" i="20" a="1"/>
  <c r="K130" i="20" s="1"/>
  <c r="K98" i="20" a="1"/>
  <c r="K98" i="20" s="1"/>
  <c r="K66" i="20" a="1"/>
  <c r="K66" i="20" s="1"/>
  <c r="K34" i="20" a="1"/>
  <c r="K34" i="20" s="1"/>
  <c r="K2" i="20" a="1"/>
  <c r="K2" i="20" s="1"/>
  <c r="O141" i="20" a="1"/>
  <c r="O141" i="20" s="1"/>
  <c r="P143" i="20" a="1"/>
  <c r="P143" i="20" s="1"/>
  <c r="P79" i="20" a="1"/>
  <c r="P79" i="20" s="1"/>
  <c r="P15" i="20" a="1"/>
  <c r="P15" i="20" s="1"/>
  <c r="O69" i="20" a="1"/>
  <c r="O69" i="20" s="1"/>
  <c r="O5" i="20" a="1"/>
  <c r="O5" i="20" s="1"/>
  <c r="L108" i="20" a="1"/>
  <c r="L108" i="20" s="1"/>
  <c r="N108" i="20" s="1"/>
  <c r="L44" i="20" a="1"/>
  <c r="L44" i="20" s="1"/>
  <c r="N44" i="20" s="1"/>
  <c r="K146" i="20" a="1"/>
  <c r="K146" i="20" s="1"/>
  <c r="K114" i="20" a="1"/>
  <c r="K114" i="20" s="1"/>
  <c r="K82" i="20" a="1"/>
  <c r="K82" i="20" s="1"/>
  <c r="K50" i="20" a="1"/>
  <c r="K50" i="20" s="1"/>
  <c r="O52" i="20" a="1"/>
  <c r="O52" i="20" s="1"/>
  <c r="O36" i="20" a="1"/>
  <c r="O36" i="20" s="1"/>
  <c r="O20" i="20" a="1"/>
  <c r="O20" i="20" s="1"/>
  <c r="O4" i="20" a="1"/>
  <c r="O4" i="20" s="1"/>
  <c r="L139" i="20" a="1"/>
  <c r="L139" i="20" s="1"/>
  <c r="N139" i="20" s="1"/>
  <c r="L107" i="20" a="1"/>
  <c r="L107" i="20" s="1"/>
  <c r="L75" i="20" a="1"/>
  <c r="L75" i="20" s="1"/>
  <c r="N75" i="20" s="1"/>
  <c r="L43" i="20" a="1"/>
  <c r="L43" i="20" s="1"/>
  <c r="N43" i="20" s="1"/>
  <c r="L11" i="20" a="1"/>
  <c r="L11" i="20" s="1"/>
  <c r="N11" i="20" s="1"/>
  <c r="K145" i="20" a="1"/>
  <c r="K145" i="20" s="1"/>
  <c r="K113" i="20" a="1"/>
  <c r="K113" i="20" s="1"/>
  <c r="K81" i="20" a="1"/>
  <c r="K81" i="20" s="1"/>
  <c r="J25" i="19" a="1"/>
  <c r="J25" i="19" s="1"/>
  <c r="J41" i="19" a="1"/>
  <c r="J41" i="19" s="1"/>
  <c r="O26" i="19" a="1"/>
  <c r="O26" i="19" s="1"/>
  <c r="J12" i="19" a="1"/>
  <c r="J12" i="19" s="1"/>
  <c r="O40" i="19" a="1"/>
  <c r="O40" i="19" s="1"/>
  <c r="K20" i="19" a="1"/>
  <c r="K20" i="19" s="1"/>
  <c r="O58" i="19" a="1"/>
  <c r="O58" i="19" s="1"/>
  <c r="J42" i="19" a="1"/>
  <c r="J42" i="19" s="1"/>
  <c r="O59" i="19" a="1"/>
  <c r="O59" i="19" s="1"/>
  <c r="J40" i="19" a="1"/>
  <c r="J40" i="19" s="1"/>
  <c r="J58" i="19" a="1"/>
  <c r="J58" i="19" s="1"/>
  <c r="J8" i="19" a="1"/>
  <c r="J8" i="19" s="1"/>
  <c r="N55" i="19" a="1"/>
  <c r="N55" i="19" s="1"/>
  <c r="J57" i="19" a="1"/>
  <c r="J57" i="19" s="1"/>
  <c r="J24" i="19" a="1"/>
  <c r="J24" i="19" s="1"/>
  <c r="N54" i="19" a="1"/>
  <c r="N54" i="19" s="1"/>
  <c r="K28" i="19" a="1"/>
  <c r="K28" i="19" s="1"/>
  <c r="M28" i="19" s="1"/>
  <c r="K52" i="19" a="1"/>
  <c r="K52" i="19" s="1"/>
  <c r="M52" i="19" s="1"/>
  <c r="K32" i="19" a="1"/>
  <c r="K32" i="19" s="1"/>
  <c r="J56" i="19" a="1"/>
  <c r="J56" i="19" s="1"/>
  <c r="K60" i="19" a="1"/>
  <c r="K60" i="19" s="1"/>
  <c r="K51" i="19" a="1"/>
  <c r="K51" i="19" s="1"/>
  <c r="M51" i="19" s="1"/>
  <c r="O39" i="19" a="1"/>
  <c r="O39" i="19" s="1"/>
  <c r="N22" i="19" a="1"/>
  <c r="N22" i="19" s="1"/>
  <c r="K61" i="19" a="1"/>
  <c r="K61" i="19" s="1"/>
  <c r="N38" i="19" a="1"/>
  <c r="N38" i="19" s="1"/>
  <c r="K30" i="19" a="1"/>
  <c r="K30" i="19" s="1"/>
  <c r="M30" i="19" s="1"/>
  <c r="K53" i="19" a="1"/>
  <c r="K53" i="19" s="1"/>
  <c r="M53" i="19" s="1"/>
  <c r="M60" i="19"/>
  <c r="M14" i="19"/>
  <c r="M36" i="19"/>
  <c r="M20" i="19"/>
  <c r="M32" i="19"/>
  <c r="M61" i="19"/>
  <c r="M7" i="19"/>
  <c r="M29" i="19"/>
  <c r="K59" i="19" a="1"/>
  <c r="K59" i="19" s="1"/>
  <c r="M59" i="19" s="1"/>
  <c r="N52" i="19" a="1"/>
  <c r="N52" i="19" s="1"/>
  <c r="N19" i="19" a="1"/>
  <c r="N19" i="19" s="1"/>
  <c r="N2" i="19" a="1"/>
  <c r="N2" i="19" s="1"/>
  <c r="N17" i="19" a="1"/>
  <c r="N17" i="19" s="1"/>
  <c r="K54" i="19" a="1"/>
  <c r="K54" i="19" s="1"/>
  <c r="M54" i="19" s="1"/>
  <c r="J17" i="19" a="1"/>
  <c r="J17" i="19" s="1"/>
  <c r="K36" i="19" a="1"/>
  <c r="K36" i="19" s="1"/>
  <c r="K4" i="19" a="1"/>
  <c r="K4" i="19" s="1"/>
  <c r="M4" i="19" s="1"/>
  <c r="J48" i="19" a="1"/>
  <c r="J48" i="19" s="1"/>
  <c r="J32" i="19" a="1"/>
  <c r="J32" i="19" s="1"/>
  <c r="J16" i="19" a="1"/>
  <c r="J16" i="19" s="1"/>
  <c r="O25" i="19" a="1"/>
  <c r="O25" i="19" s="1"/>
  <c r="J54" i="19" a="1"/>
  <c r="J54" i="19" s="1"/>
  <c r="K41" i="19" a="1"/>
  <c r="K41" i="19" s="1"/>
  <c r="M41" i="19" s="1"/>
  <c r="J52" i="19" a="1"/>
  <c r="J52" i="19" s="1"/>
  <c r="J3" i="19" a="1"/>
  <c r="J3" i="19" s="1"/>
  <c r="J2" i="19" a="1"/>
  <c r="J2" i="19" s="1"/>
  <c r="N46" i="19" a="1"/>
  <c r="N46" i="19" s="1"/>
  <c r="O17" i="19" a="1"/>
  <c r="O17" i="19" s="1"/>
  <c r="N61" i="19" a="1"/>
  <c r="N61" i="19" s="1"/>
  <c r="N13" i="19" a="1"/>
  <c r="N13" i="19" s="1"/>
  <c r="K3" i="19" a="1"/>
  <c r="K3" i="19" s="1"/>
  <c r="M3" i="19" s="1"/>
  <c r="J15" i="19" a="1"/>
  <c r="J15" i="19" s="1"/>
  <c r="N5" i="19" a="1"/>
  <c r="N5" i="19" s="1"/>
  <c r="K42" i="19" a="1"/>
  <c r="K42" i="19" s="1"/>
  <c r="M42" i="19" s="1"/>
  <c r="N3" i="19" a="1"/>
  <c r="N3" i="19" s="1"/>
  <c r="K8" i="19" a="1"/>
  <c r="K8" i="19" s="1"/>
  <c r="M8" i="19" s="1"/>
  <c r="J51" i="19" a="1"/>
  <c r="J51" i="19" s="1"/>
  <c r="J18" i="19" a="1"/>
  <c r="J18" i="19" s="1"/>
  <c r="O50" i="19" a="1"/>
  <c r="O50" i="19" s="1"/>
  <c r="O49" i="19" a="1"/>
  <c r="O49" i="19" s="1"/>
  <c r="O33" i="19" a="1"/>
  <c r="O33" i="19" s="1"/>
  <c r="N45" i="19" a="1"/>
  <c r="N45" i="19" s="1"/>
  <c r="N29" i="19" a="1"/>
  <c r="N29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J23" i="19" a="1"/>
  <c r="J23" i="19" s="1"/>
  <c r="K10" i="19" a="1"/>
  <c r="K10" i="19" s="1"/>
  <c r="M10" i="19" s="1"/>
  <c r="O23" i="19" a="1"/>
  <c r="O23" i="19" s="1"/>
  <c r="O38" i="19" a="1"/>
  <c r="O38" i="19" s="1"/>
  <c r="O53" i="19" a="1"/>
  <c r="O53" i="19" s="1"/>
  <c r="O36" i="19" a="1"/>
  <c r="O36" i="19" s="1"/>
  <c r="O19" i="19" a="1"/>
  <c r="O19" i="19" s="1"/>
  <c r="O16" i="19" a="1"/>
  <c r="O16" i="19" s="1"/>
  <c r="N44" i="19" a="1"/>
  <c r="N44" i="19" s="1"/>
  <c r="N28" i="19" a="1"/>
  <c r="N28" i="19" s="1"/>
  <c r="K34" i="19" a="1"/>
  <c r="K34" i="19" s="1"/>
  <c r="M34" i="19" s="1"/>
  <c r="K2" i="19" a="1"/>
  <c r="K2" i="19" s="1"/>
  <c r="M2" i="19" s="1"/>
  <c r="J14" i="19" a="1"/>
  <c r="J14" i="19" s="1"/>
  <c r="N53" i="19" a="1"/>
  <c r="N53" i="19" s="1"/>
  <c r="J6" i="19" a="1"/>
  <c r="J6" i="19" s="1"/>
  <c r="O7" i="19" a="1"/>
  <c r="O7" i="19" s="1"/>
  <c r="N50" i="19" a="1"/>
  <c r="N50" i="19" s="1"/>
  <c r="N49" i="19" a="1"/>
  <c r="N49" i="19" s="1"/>
  <c r="O20" i="19" a="1"/>
  <c r="O20" i="19" s="1"/>
  <c r="N32" i="19" a="1"/>
  <c r="N32" i="19" s="1"/>
  <c r="N15" i="19" a="1"/>
  <c r="N15" i="19" s="1"/>
  <c r="J33" i="19" a="1"/>
  <c r="J33" i="19" s="1"/>
  <c r="O32" i="19" a="1"/>
  <c r="O32" i="19" s="1"/>
  <c r="N60" i="19" a="1"/>
  <c r="N60" i="19" s="1"/>
  <c r="N12" i="19" a="1"/>
  <c r="N12" i="19" s="1"/>
  <c r="K50" i="19" a="1"/>
  <c r="K50" i="19" s="1"/>
  <c r="M50" i="19" s="1"/>
  <c r="K18" i="19" a="1"/>
  <c r="K18" i="19" s="1"/>
  <c r="M18" i="19" s="1"/>
  <c r="J46" i="19" a="1"/>
  <c r="J46" i="19" s="1"/>
  <c r="J30" i="19" a="1"/>
  <c r="J30" i="19" s="1"/>
  <c r="J7" i="19" a="1"/>
  <c r="J7" i="19" s="1"/>
  <c r="N4" i="19" a="1"/>
  <c r="N4" i="19" s="1"/>
  <c r="N35" i="19" a="1"/>
  <c r="N35" i="19" s="1"/>
  <c r="N34" i="19" a="1"/>
  <c r="N34" i="19" s="1"/>
  <c r="O37" i="19" a="1"/>
  <c r="O37" i="19" s="1"/>
  <c r="N16" i="19" a="1"/>
  <c r="N16" i="19" s="1"/>
  <c r="K37" i="19" a="1"/>
  <c r="K37" i="19" s="1"/>
  <c r="M37" i="19" s="1"/>
  <c r="O47" i="19" a="1"/>
  <c r="O47" i="19" s="1"/>
  <c r="O31" i="19" a="1"/>
  <c r="O31" i="19" s="1"/>
  <c r="N43" i="19" a="1"/>
  <c r="N43" i="19" s="1"/>
  <c r="N27" i="19" a="1"/>
  <c r="N27" i="19" s="1"/>
  <c r="K17" i="19" a="1"/>
  <c r="K17" i="19" s="1"/>
  <c r="M17" i="19" s="1"/>
  <c r="J61" i="19" a="1"/>
  <c r="J61" i="19" s="1"/>
  <c r="J13" i="19" a="1"/>
  <c r="J13" i="19" s="1"/>
  <c r="K27" i="19" a="1"/>
  <c r="K27" i="19" s="1"/>
  <c r="M27" i="19" s="1"/>
  <c r="J38" i="19" a="1"/>
  <c r="J38" i="19" s="1"/>
  <c r="K9" i="19" a="1"/>
  <c r="K9" i="19" s="1"/>
  <c r="M9" i="19" s="1"/>
  <c r="K56" i="19" a="1"/>
  <c r="K56" i="19" s="1"/>
  <c r="M56" i="19" s="1"/>
  <c r="K7" i="19" a="1"/>
  <c r="K7" i="19" s="1"/>
  <c r="K22" i="19" a="1"/>
  <c r="K22" i="19" s="1"/>
  <c r="M22" i="19" s="1"/>
  <c r="J49" i="19" a="1"/>
  <c r="J49" i="19" s="1"/>
  <c r="N30" i="19" a="1"/>
  <c r="N30" i="19" s="1"/>
  <c r="O15" i="19" a="1"/>
  <c r="O15" i="19" s="1"/>
  <c r="N59" i="19" a="1"/>
  <c r="N59" i="19" s="1"/>
  <c r="N11" i="19" a="1"/>
  <c r="N11" i="19" s="1"/>
  <c r="K49" i="19" a="1"/>
  <c r="K49" i="19" s="1"/>
  <c r="M49" i="19" s="1"/>
  <c r="K33" i="19" a="1"/>
  <c r="K33" i="19" s="1"/>
  <c r="M33" i="19" s="1"/>
  <c r="J45" i="19" a="1"/>
  <c r="J45" i="19" s="1"/>
  <c r="J29" i="19" a="1"/>
  <c r="J29" i="19" s="1"/>
  <c r="O57" i="19" a="1"/>
  <c r="O57" i="19" s="1"/>
  <c r="O56" i="19" a="1"/>
  <c r="O56" i="19" s="1"/>
  <c r="O55" i="19" a="1"/>
  <c r="O55" i="19" s="1"/>
  <c r="O54" i="19" a="1"/>
  <c r="O54" i="19" s="1"/>
  <c r="J4" i="19" a="1"/>
  <c r="J4" i="19" s="1"/>
  <c r="O52" i="19" a="1"/>
  <c r="O52" i="19" s="1"/>
  <c r="O35" i="19" a="1"/>
  <c r="O35" i="19" s="1"/>
  <c r="O48" i="19" a="1"/>
  <c r="O48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N21" i="19" a="1"/>
  <c r="N21" i="19" s="1"/>
  <c r="O8" i="19" a="1"/>
  <c r="O8" i="19" s="1"/>
  <c r="K25" i="19" a="1"/>
  <c r="K25" i="19" s="1"/>
  <c r="M25" i="19" s="1"/>
  <c r="O6" i="19" a="1"/>
  <c r="O6" i="19" s="1"/>
  <c r="O21" i="19" a="1"/>
  <c r="O21" i="19" s="1"/>
  <c r="N33" i="19" a="1"/>
  <c r="N33" i="19" s="1"/>
  <c r="N48" i="19" a="1"/>
  <c r="N48" i="19" s="1"/>
  <c r="N47" i="19" a="1"/>
  <c r="N47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J44" i="19" a="1"/>
  <c r="J44" i="19" s="1"/>
  <c r="J28" i="19" a="1"/>
  <c r="J28" i="19" s="1"/>
  <c r="J39" i="19" a="1"/>
  <c r="J39" i="19" s="1"/>
  <c r="O24" i="19" a="1"/>
  <c r="O24" i="19" s="1"/>
  <c r="J53" i="19" a="1"/>
  <c r="J53" i="19" s="1"/>
  <c r="J20" i="19" a="1"/>
  <c r="J20" i="19" s="1"/>
  <c r="J35" i="19" a="1"/>
  <c r="J35" i="19" s="1"/>
  <c r="O51" i="19" a="1"/>
  <c r="O51" i="19" s="1"/>
  <c r="N14" i="19" a="1"/>
  <c r="N14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O9" i="19" a="1"/>
  <c r="O9" i="19" s="1"/>
  <c r="J22" i="19" a="1"/>
  <c r="J22" i="19" s="1"/>
  <c r="J37" i="19" a="1"/>
  <c r="J37" i="19" s="1"/>
  <c r="N18" i="19" a="1"/>
  <c r="N18" i="19" s="1"/>
  <c r="K55" i="19" a="1"/>
  <c r="K55" i="19" s="1"/>
  <c r="M55" i="19" s="1"/>
  <c r="K38" i="19" a="1"/>
  <c r="K38" i="19" s="1"/>
  <c r="M38" i="19" s="1"/>
  <c r="K5" i="19" a="1"/>
  <c r="K5" i="19" s="1"/>
  <c r="M5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K11" i="19" a="1"/>
  <c r="K11" i="19" s="1"/>
  <c r="M11" i="19" s="1"/>
  <c r="K58" i="19" a="1"/>
  <c r="K58" i="19" s="1"/>
  <c r="M58" i="19" s="1"/>
  <c r="N51" i="19" a="1"/>
  <c r="N51" i="19" s="1"/>
  <c r="O22" i="19" a="1"/>
  <c r="O22" i="19" s="1"/>
  <c r="O5" i="19" a="1"/>
  <c r="O5" i="19" s="1"/>
  <c r="O4" i="19" a="1"/>
  <c r="O4" i="19" s="1"/>
  <c r="O3" i="19" a="1"/>
  <c r="O3" i="19" s="1"/>
  <c r="N31" i="19" a="1"/>
  <c r="N31" i="19" s="1"/>
  <c r="K21" i="19" a="1"/>
  <c r="K21" i="19" s="1"/>
  <c r="M21" i="19" s="1"/>
  <c r="O60" i="19" a="1"/>
  <c r="O60" i="19" s="1"/>
  <c r="O12" i="19" a="1"/>
  <c r="O12" i="19" s="1"/>
  <c r="N56" i="19" a="1"/>
  <c r="N56" i="19" s="1"/>
  <c r="N8" i="19" a="1"/>
  <c r="N8" i="19" s="1"/>
  <c r="K14" i="19" a="1"/>
  <c r="K14" i="19" s="1"/>
  <c r="J10" i="19" a="1"/>
  <c r="J10" i="19" s="1"/>
  <c r="K43" i="19" a="1"/>
  <c r="K43" i="19" s="1"/>
  <c r="M43" i="19" s="1"/>
  <c r="N20" i="19" a="1"/>
  <c r="N20" i="19" s="1"/>
  <c r="J21" i="19" a="1"/>
  <c r="J21" i="19" s="1"/>
  <c r="J36" i="19" a="1"/>
  <c r="J36" i="19" s="1"/>
  <c r="J19" i="19" a="1"/>
  <c r="J19" i="19" s="1"/>
  <c r="K6" i="19" a="1"/>
  <c r="K6" i="19" s="1"/>
  <c r="M6" i="19" s="1"/>
  <c r="O2" i="19" a="1"/>
  <c r="O2" i="19" s="1"/>
  <c r="O61" i="19" a="1"/>
  <c r="O61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J26" i="19" a="1"/>
  <c r="J26" i="19" s="1"/>
  <c r="J55" i="19" a="1"/>
  <c r="J55" i="19" s="1"/>
  <c r="N36" i="19" a="1"/>
  <c r="N36" i="19" s="1"/>
  <c r="J5" i="19" a="1"/>
  <c r="J5" i="19" s="1"/>
  <c r="K24" i="19" a="1"/>
  <c r="K24" i="19" s="1"/>
  <c r="M24" i="19" s="1"/>
  <c r="K39" i="19" a="1"/>
  <c r="K39" i="19" s="1"/>
  <c r="M39" i="19" s="1"/>
  <c r="J50" i="19" a="1"/>
  <c r="J50" i="19" s="1"/>
  <c r="O34" i="19" a="1"/>
  <c r="O34" i="19" s="1"/>
  <c r="O11" i="19" a="1"/>
  <c r="O11" i="19" s="1"/>
  <c r="N7" i="19" a="1"/>
  <c r="N7" i="19" s="1"/>
  <c r="K13" i="19" a="1"/>
  <c r="K13" i="19" s="1"/>
  <c r="M13" i="19" s="1"/>
  <c r="J9" i="19" a="1"/>
  <c r="J9" i="19" s="1"/>
  <c r="N37" i="19" a="1"/>
  <c r="N37" i="19" s="1"/>
  <c r="K26" i="19" a="1"/>
  <c r="K26" i="19" s="1"/>
  <c r="M26" i="19" s="1"/>
  <c r="K57" i="19" a="1"/>
  <c r="K57" i="19" s="1"/>
  <c r="M57" i="19" s="1"/>
  <c r="K40" i="19" a="1"/>
  <c r="K40" i="19" s="1"/>
  <c r="M40" i="19" s="1"/>
  <c r="K23" i="19" a="1"/>
  <c r="K23" i="19" s="1"/>
  <c r="M23" i="19" s="1"/>
  <c r="J34" i="19" a="1"/>
  <c r="J34" i="19" s="1"/>
  <c r="O18" i="19" a="1"/>
  <c r="O18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K29" i="19" a="1"/>
  <c r="K29" i="19" s="1"/>
  <c r="O42" i="19" a="1"/>
  <c r="O42" i="19" s="1"/>
  <c r="O10" i="19" a="1"/>
  <c r="O10" i="19" s="1"/>
  <c r="N6" i="19" a="1"/>
  <c r="N6" i="19" s="1"/>
  <c r="K44" i="19" a="1"/>
  <c r="K44" i="19" s="1"/>
  <c r="M44" i="19" s="1"/>
  <c r="K12" i="19" a="1"/>
  <c r="K12" i="19" s="1"/>
  <c r="M12" i="19" s="1"/>
  <c r="T93" i="18" a="1"/>
  <c r="T93" i="18" s="1"/>
  <c r="P106" i="18" a="1"/>
  <c r="P106" i="18" s="1"/>
  <c r="R106" i="18" s="1"/>
  <c r="U106" i="18" s="1"/>
  <c r="T60" i="18" a="1"/>
  <c r="T60" i="18" s="1"/>
  <c r="S126" i="18" a="1"/>
  <c r="S126" i="18" s="1"/>
  <c r="T95" i="18" a="1"/>
  <c r="T95" i="18" s="1"/>
  <c r="T57" i="18" a="1"/>
  <c r="T57" i="18" s="1"/>
  <c r="O104" i="18" a="1"/>
  <c r="O104" i="18" s="1"/>
  <c r="T116" i="18" a="1"/>
  <c r="T116" i="18" s="1"/>
  <c r="S87" i="18" a="1"/>
  <c r="S87" i="18" s="1"/>
  <c r="P55" i="18" a="1"/>
  <c r="P55" i="18" s="1"/>
  <c r="R55" i="18" s="1"/>
  <c r="S19" i="18" a="1"/>
  <c r="S19" i="18" s="1"/>
  <c r="P124" i="18" a="1"/>
  <c r="P124" i="18" s="1"/>
  <c r="R124" i="18" s="1"/>
  <c r="U124" i="18" s="1"/>
  <c r="T99" i="18" a="1"/>
  <c r="T99" i="18" s="1"/>
  <c r="O128" i="18" a="1"/>
  <c r="O128" i="18" s="1"/>
  <c r="P3" i="18" a="1"/>
  <c r="P3" i="18" s="1"/>
  <c r="S93" i="18" a="1"/>
  <c r="S93" i="18" s="1"/>
  <c r="S64" i="18" a="1"/>
  <c r="S64" i="18" s="1"/>
  <c r="P56" i="18" a="1"/>
  <c r="P56" i="18" s="1"/>
  <c r="R56" i="18" s="1"/>
  <c r="U56" i="18" s="1"/>
  <c r="O105" i="18" a="1"/>
  <c r="O105" i="18" s="1"/>
  <c r="P103" i="18" a="1"/>
  <c r="P103" i="18" s="1"/>
  <c r="R118" i="18"/>
  <c r="U118" i="18"/>
  <c r="R142" i="18"/>
  <c r="U142" i="18" s="1"/>
  <c r="R117" i="18"/>
  <c r="U117" i="18" s="1"/>
  <c r="T101" i="18" a="1"/>
  <c r="T101" i="18" s="1"/>
  <c r="R3" i="18"/>
  <c r="U3" i="18" s="1"/>
  <c r="P91" i="18" a="1"/>
  <c r="P91" i="18" s="1"/>
  <c r="R91" i="18" s="1"/>
  <c r="U91" i="18" s="1"/>
  <c r="O91" i="18" a="1"/>
  <c r="O91" i="18" s="1"/>
  <c r="T91" i="18" a="1"/>
  <c r="T91" i="18" s="1"/>
  <c r="P27" i="18" a="1"/>
  <c r="P27" i="18" s="1"/>
  <c r="R27" i="18" s="1"/>
  <c r="U27" i="18" s="1"/>
  <c r="O27" i="18" a="1"/>
  <c r="O27" i="18" s="1"/>
  <c r="T27" i="18" a="1"/>
  <c r="T27" i="18" s="1"/>
  <c r="P102" i="18" a="1"/>
  <c r="P102" i="18" s="1"/>
  <c r="R102" i="18" s="1"/>
  <c r="U102" i="18" s="1"/>
  <c r="S70" i="18" a="1"/>
  <c r="S70" i="18" s="1"/>
  <c r="S68" i="18" a="1"/>
  <c r="S68" i="18" s="1"/>
  <c r="T146" i="18" a="1"/>
  <c r="T146" i="18" s="1"/>
  <c r="T48" i="18" a="1"/>
  <c r="T48" i="18" s="1"/>
  <c r="P148" i="18" a="1"/>
  <c r="P148" i="18" s="1"/>
  <c r="R148" i="18" s="1"/>
  <c r="U148" i="18" s="1"/>
  <c r="P78" i="18" a="1"/>
  <c r="P78" i="18" s="1"/>
  <c r="O73" i="18" a="1"/>
  <c r="O73" i="18" s="1"/>
  <c r="O65" i="18" a="1"/>
  <c r="O65" i="18" s="1"/>
  <c r="P65" i="18" a="1"/>
  <c r="P65" i="18" s="1"/>
  <c r="T65" i="18" a="1"/>
  <c r="T65" i="18" s="1"/>
  <c r="T114" i="18" a="1"/>
  <c r="T114" i="18" s="1"/>
  <c r="S88" i="18" a="1"/>
  <c r="S88" i="18" s="1"/>
  <c r="T98" i="18" a="1"/>
  <c r="T98" i="18" s="1"/>
  <c r="O12" i="18" a="1"/>
  <c r="O12" i="18" s="1"/>
  <c r="T132" i="18" a="1"/>
  <c r="T132" i="18" s="1"/>
  <c r="O75" i="18" a="1"/>
  <c r="O75" i="18" s="1"/>
  <c r="R103" i="18"/>
  <c r="U103" i="18" s="1"/>
  <c r="S80" i="18" a="1"/>
  <c r="S80" i="18" s="1"/>
  <c r="T79" i="18" a="1"/>
  <c r="T79" i="18" s="1"/>
  <c r="T36" i="18" a="1"/>
  <c r="T36" i="18" s="1"/>
  <c r="S65" i="18" a="1"/>
  <c r="S65" i="18" s="1"/>
  <c r="R123" i="18"/>
  <c r="U123" i="18" s="1"/>
  <c r="S92" i="18" a="1"/>
  <c r="S92" i="18" s="1"/>
  <c r="S23" i="18" a="1"/>
  <c r="S23" i="18" s="1"/>
  <c r="T100" i="18" a="1"/>
  <c r="T100" i="18" s="1"/>
  <c r="O151" i="18" a="1"/>
  <c r="O151" i="18" s="1"/>
  <c r="T151" i="18" a="1"/>
  <c r="T151" i="18" s="1"/>
  <c r="O119" i="18" a="1"/>
  <c r="O119" i="18" s="1"/>
  <c r="S119" i="18" a="1"/>
  <c r="S119" i="18" s="1"/>
  <c r="P119" i="18" a="1"/>
  <c r="P119" i="18" s="1"/>
  <c r="O87" i="18" a="1"/>
  <c r="O87" i="18" s="1"/>
  <c r="P87" i="18" a="1"/>
  <c r="P87" i="18" s="1"/>
  <c r="R87" i="18" s="1"/>
  <c r="T87" i="18" a="1"/>
  <c r="T87" i="18" s="1"/>
  <c r="O23" i="18" a="1"/>
  <c r="O23" i="18" s="1"/>
  <c r="T23" i="18" a="1"/>
  <c r="T23" i="18" s="1"/>
  <c r="P147" i="18" a="1"/>
  <c r="P147" i="18" s="1"/>
  <c r="R147" i="18" s="1"/>
  <c r="U147" i="18" s="1"/>
  <c r="T35" i="18" a="1"/>
  <c r="T35" i="18" s="1"/>
  <c r="P101" i="18" a="1"/>
  <c r="P101" i="18" s="1"/>
  <c r="R101" i="18" s="1"/>
  <c r="U101" i="18" s="1"/>
  <c r="S84" i="18" a="1"/>
  <c r="S84" i="18" s="1"/>
  <c r="O11" i="18" a="1"/>
  <c r="O11" i="18" s="1"/>
  <c r="S43" i="18" a="1"/>
  <c r="S43" i="18" s="1"/>
  <c r="P23" i="18" a="1"/>
  <c r="P23" i="18" s="1"/>
  <c r="R23" i="18" s="1"/>
  <c r="U23" i="18" s="1"/>
  <c r="S18" i="18" a="1"/>
  <c r="S18" i="18" s="1"/>
  <c r="S117" i="18" a="1"/>
  <c r="S117" i="18" s="1"/>
  <c r="T38" i="18" a="1"/>
  <c r="T38" i="18" s="1"/>
  <c r="T37" i="18" a="1"/>
  <c r="T37" i="18" s="1"/>
  <c r="T136" i="18" a="1"/>
  <c r="T136" i="18" s="1"/>
  <c r="T22" i="18" a="1"/>
  <c r="T22" i="18" s="1"/>
  <c r="P74" i="18" a="1"/>
  <c r="P74" i="18" s="1"/>
  <c r="R74" i="18" s="1"/>
  <c r="U74" i="18" s="1"/>
  <c r="O72" i="18" a="1"/>
  <c r="O72" i="18" s="1"/>
  <c r="P34" i="18" a="1"/>
  <c r="P34" i="18" s="1"/>
  <c r="R34" i="18" s="1"/>
  <c r="U34" i="18" s="1"/>
  <c r="P127" i="18" a="1"/>
  <c r="P127" i="18" s="1"/>
  <c r="R127" i="18" s="1"/>
  <c r="U127" i="18" s="1"/>
  <c r="T127" i="18" a="1"/>
  <c r="T127" i="18" s="1"/>
  <c r="P95" i="18" a="1"/>
  <c r="P95" i="18" s="1"/>
  <c r="R95" i="18" s="1"/>
  <c r="U95" i="18" s="1"/>
  <c r="S95" i="18" a="1"/>
  <c r="S95" i="18" s="1"/>
  <c r="P31" i="18" a="1"/>
  <c r="P31" i="18" s="1"/>
  <c r="R31" i="18" s="1"/>
  <c r="U31" i="18" s="1"/>
  <c r="S31" i="18" a="1"/>
  <c r="S31" i="18" s="1"/>
  <c r="O31" i="18" a="1"/>
  <c r="O31" i="18" s="1"/>
  <c r="T31" i="18" a="1"/>
  <c r="T31" i="18" s="1"/>
  <c r="S20" i="18" a="1"/>
  <c r="S20" i="18" s="1"/>
  <c r="P89" i="18" a="1"/>
  <c r="P89" i="18" s="1"/>
  <c r="R89" i="18" s="1"/>
  <c r="U89" i="18" s="1"/>
  <c r="T89" i="18" a="1"/>
  <c r="T89" i="18" s="1"/>
  <c r="O89" i="18" a="1"/>
  <c r="O89" i="18" s="1"/>
  <c r="S57" i="18" a="1"/>
  <c r="S57" i="18" s="1"/>
  <c r="O57" i="18" a="1"/>
  <c r="O57" i="18" s="1"/>
  <c r="S118" i="18" a="1"/>
  <c r="S118" i="18" s="1"/>
  <c r="T139" i="18" a="1"/>
  <c r="T139" i="18" s="1"/>
  <c r="T138" i="18" a="1"/>
  <c r="T138" i="18" s="1"/>
  <c r="S128" i="18" a="1"/>
  <c r="S128" i="18" s="1"/>
  <c r="O112" i="18" a="1"/>
  <c r="O112" i="18" s="1"/>
  <c r="T78" i="18" a="1"/>
  <c r="T78" i="18" s="1"/>
  <c r="P132" i="18" a="1"/>
  <c r="P132" i="18" s="1"/>
  <c r="R132" i="18" s="1"/>
  <c r="U132" i="18" s="1"/>
  <c r="S112" i="18" a="1"/>
  <c r="S112" i="18" s="1"/>
  <c r="P57" i="18" a="1"/>
  <c r="P57" i="18" s="1"/>
  <c r="R57" i="18" s="1"/>
  <c r="U57" i="18" s="1"/>
  <c r="P2" i="18" a="1"/>
  <c r="P2" i="18" s="1"/>
  <c r="R2" i="18" s="1"/>
  <c r="U2" i="18" s="1"/>
  <c r="S149" i="18" a="1"/>
  <c r="S149" i="18" s="1"/>
  <c r="T125" i="18" a="1"/>
  <c r="T125" i="18" s="1"/>
  <c r="S125" i="18" a="1"/>
  <c r="S125" i="18" s="1"/>
  <c r="P61" i="18" a="1"/>
  <c r="P61" i="18" s="1"/>
  <c r="R61" i="18" s="1"/>
  <c r="U61" i="18" s="1"/>
  <c r="S61" i="18" a="1"/>
  <c r="S61" i="18" s="1"/>
  <c r="T61" i="18" a="1"/>
  <c r="T61" i="18" s="1"/>
  <c r="O61" i="18" a="1"/>
  <c r="O61" i="18" s="1"/>
  <c r="S22" i="18" a="1"/>
  <c r="S22" i="18" s="1"/>
  <c r="S145" i="18" a="1"/>
  <c r="S145" i="18" s="1"/>
  <c r="R41" i="18"/>
  <c r="U41" i="18" s="1"/>
  <c r="P120" i="18" a="1"/>
  <c r="P120" i="18" s="1"/>
  <c r="R120" i="18" s="1"/>
  <c r="U120" i="18" s="1"/>
  <c r="S120" i="18" a="1"/>
  <c r="S120" i="18" s="1"/>
  <c r="O120" i="18" a="1"/>
  <c r="O120" i="18" s="1"/>
  <c r="S24" i="18" a="1"/>
  <c r="S24" i="18" s="1"/>
  <c r="O24" i="18" a="1"/>
  <c r="O24" i="18" s="1"/>
  <c r="T24" i="18" a="1"/>
  <c r="T24" i="18" s="1"/>
  <c r="P7" i="18" a="1"/>
  <c r="P7" i="18" s="1"/>
  <c r="S103" i="18" a="1"/>
  <c r="S103" i="18" s="1"/>
  <c r="S81" i="18" a="1"/>
  <c r="S81" i="18" s="1"/>
  <c r="T135" i="18" a="1"/>
  <c r="T135" i="18" s="1"/>
  <c r="T21" i="18" a="1"/>
  <c r="T21" i="18" s="1"/>
  <c r="P131" i="18" a="1"/>
  <c r="P131" i="18" s="1"/>
  <c r="O132" i="18" a="1"/>
  <c r="O132" i="18" s="1"/>
  <c r="S28" i="18" a="1"/>
  <c r="S28" i="18" s="1"/>
  <c r="T126" i="18" a="1"/>
  <c r="T126" i="18" s="1"/>
  <c r="T30" i="18" a="1"/>
  <c r="T30" i="18" s="1"/>
  <c r="S30" i="18" a="1"/>
  <c r="S30" i="18" s="1"/>
  <c r="O30" i="18" a="1"/>
  <c r="O30" i="18" s="1"/>
  <c r="P26" i="18" a="1"/>
  <c r="P26" i="18" s="1"/>
  <c r="R26" i="18" s="1"/>
  <c r="U26" i="18" s="1"/>
  <c r="T123" i="18" a="1"/>
  <c r="T123" i="18" s="1"/>
  <c r="O123" i="18" a="1"/>
  <c r="O123" i="18" s="1"/>
  <c r="S123" i="18" a="1"/>
  <c r="S123" i="18" s="1"/>
  <c r="P59" i="18" a="1"/>
  <c r="P59" i="18" s="1"/>
  <c r="R59" i="18" s="1"/>
  <c r="U59" i="18" s="1"/>
  <c r="O59" i="18" a="1"/>
  <c r="O59" i="18" s="1"/>
  <c r="S59" i="18" a="1"/>
  <c r="S59" i="18" s="1"/>
  <c r="S86" i="18" a="1"/>
  <c r="S86" i="18" s="1"/>
  <c r="S130" i="18" a="1"/>
  <c r="S130" i="18" s="1"/>
  <c r="P151" i="18" a="1"/>
  <c r="P151" i="18" s="1"/>
  <c r="R151" i="18" s="1"/>
  <c r="U151" i="18" s="1"/>
  <c r="S2" i="18" a="1"/>
  <c r="S2" i="18" s="1"/>
  <c r="T71" i="18" a="1"/>
  <c r="T71" i="18" s="1"/>
  <c r="T80" i="18" a="1"/>
  <c r="T80" i="18" s="1"/>
  <c r="S127" i="18" a="1"/>
  <c r="S127" i="18" s="1"/>
  <c r="T77" i="18" a="1"/>
  <c r="T77" i="18" s="1"/>
  <c r="S111" i="18" a="1"/>
  <c r="S111" i="18" s="1"/>
  <c r="S48" i="18" a="1"/>
  <c r="S48" i="18" s="1"/>
  <c r="U119" i="18"/>
  <c r="R119" i="18"/>
  <c r="R78" i="18"/>
  <c r="T115" i="18" a="1"/>
  <c r="T115" i="18" s="1"/>
  <c r="O62" i="18" a="1"/>
  <c r="O62" i="18" s="1"/>
  <c r="P62" i="18" a="1"/>
  <c r="P62" i="18" s="1"/>
  <c r="R62" i="18" s="1"/>
  <c r="T62" i="18" a="1"/>
  <c r="T62" i="18" s="1"/>
  <c r="S62" i="18" a="1"/>
  <c r="S62" i="18" s="1"/>
  <c r="T56" i="18" a="1"/>
  <c r="T56" i="18" s="1"/>
  <c r="T41" i="18" a="1"/>
  <c r="T41" i="18" s="1"/>
  <c r="S3" i="18" a="1"/>
  <c r="S3" i="18" s="1"/>
  <c r="P83" i="18" a="1"/>
  <c r="P83" i="18" s="1"/>
  <c r="R83" i="18" s="1"/>
  <c r="U83" i="18" s="1"/>
  <c r="T145" i="18" a="1"/>
  <c r="T145" i="18" s="1"/>
  <c r="T137" i="18" a="1"/>
  <c r="T137" i="18" s="1"/>
  <c r="T20" i="18" a="1"/>
  <c r="T20" i="18" s="1"/>
  <c r="P130" i="18" a="1"/>
  <c r="P130" i="18" s="1"/>
  <c r="R130" i="18" s="1"/>
  <c r="U130" i="18" s="1"/>
  <c r="O46" i="18" a="1"/>
  <c r="O46" i="18" s="1"/>
  <c r="S91" i="18" a="1"/>
  <c r="S91" i="18" s="1"/>
  <c r="R4" i="18"/>
  <c r="U4" i="18" s="1"/>
  <c r="O93" i="18" a="1"/>
  <c r="O93" i="18" s="1"/>
  <c r="P93" i="18" a="1"/>
  <c r="P93" i="18" s="1"/>
  <c r="R93" i="18" s="1"/>
  <c r="U93" i="18" s="1"/>
  <c r="P29" i="18" a="1"/>
  <c r="P29" i="18" s="1"/>
  <c r="R29" i="18" s="1"/>
  <c r="U29" i="18" s="1"/>
  <c r="S29" i="18" a="1"/>
  <c r="S29" i="18" s="1"/>
  <c r="O29" i="18" a="1"/>
  <c r="O29" i="18" s="1"/>
  <c r="T29" i="18" a="1"/>
  <c r="T29" i="18" s="1"/>
  <c r="O14" i="18" a="1"/>
  <c r="O14" i="18" s="1"/>
  <c r="R65" i="18"/>
  <c r="U65" i="18" s="1"/>
  <c r="S85" i="18" a="1"/>
  <c r="S85" i="18" s="1"/>
  <c r="P84" i="18" a="1"/>
  <c r="P84" i="18" s="1"/>
  <c r="R84" i="18" s="1"/>
  <c r="U84" i="18" s="1"/>
  <c r="S115" i="18" a="1"/>
  <c r="S115" i="18" s="1"/>
  <c r="T49" i="18" a="1"/>
  <c r="T49" i="18" s="1"/>
  <c r="T76" i="18" a="1"/>
  <c r="T76" i="18" s="1"/>
  <c r="T19" i="18" a="1"/>
  <c r="T19" i="18" s="1"/>
  <c r="S110" i="18" a="1"/>
  <c r="S110" i="18" s="1"/>
  <c r="S47" i="18" a="1"/>
  <c r="S47" i="18" s="1"/>
  <c r="O41" i="18" a="1"/>
  <c r="O41" i="18" s="1"/>
  <c r="P128" i="18" a="1"/>
  <c r="P128" i="18" s="1"/>
  <c r="T128" i="18" a="1"/>
  <c r="T128" i="18" s="1"/>
  <c r="P96" i="18" a="1"/>
  <c r="P96" i="18" s="1"/>
  <c r="R96" i="18" s="1"/>
  <c r="U96" i="18" s="1"/>
  <c r="S96" i="18" a="1"/>
  <c r="S96" i="18" s="1"/>
  <c r="P64" i="18" a="1"/>
  <c r="P64" i="18" s="1"/>
  <c r="R64" i="18" s="1"/>
  <c r="U64" i="18" s="1"/>
  <c r="T64" i="18" a="1"/>
  <c r="T64" i="18" s="1"/>
  <c r="O64" i="18" a="1"/>
  <c r="O64" i="18" s="1"/>
  <c r="P32" i="18" a="1"/>
  <c r="P32" i="18" s="1"/>
  <c r="R32" i="18" s="1"/>
  <c r="U32" i="18" s="1"/>
  <c r="O32" i="18" a="1"/>
  <c r="O32" i="18" s="1"/>
  <c r="S32" i="18" a="1"/>
  <c r="S32" i="18" s="1"/>
  <c r="T32" i="18" a="1"/>
  <c r="T32" i="18" s="1"/>
  <c r="P104" i="18" a="1"/>
  <c r="P104" i="18" s="1"/>
  <c r="P30" i="18" a="1"/>
  <c r="P30" i="18" s="1"/>
  <c r="S146" i="18" a="1"/>
  <c r="S146" i="18" s="1"/>
  <c r="O13" i="18" a="1"/>
  <c r="O13" i="18" s="1"/>
  <c r="P88" i="18" a="1"/>
  <c r="P88" i="18" s="1"/>
  <c r="R88" i="18" s="1"/>
  <c r="U88" i="18" s="1"/>
  <c r="O88" i="18" a="1"/>
  <c r="O88" i="18" s="1"/>
  <c r="T88" i="18" a="1"/>
  <c r="T88" i="18" s="1"/>
  <c r="S56" i="18" a="1"/>
  <c r="S56" i="18" s="1"/>
  <c r="O56" i="18" a="1"/>
  <c r="O56" i="18" s="1"/>
  <c r="S69" i="18" a="1"/>
  <c r="S69" i="18" s="1"/>
  <c r="U62" i="18"/>
  <c r="T51" i="18" a="1"/>
  <c r="T51" i="18" s="1"/>
  <c r="P82" i="18" a="1"/>
  <c r="P82" i="18" s="1"/>
  <c r="R82" i="18" s="1"/>
  <c r="U82" i="18" s="1"/>
  <c r="T134" i="18" a="1"/>
  <c r="T134" i="18" s="1"/>
  <c r="T120" i="18" a="1"/>
  <c r="T120" i="18" s="1"/>
  <c r="T75" i="18" a="1"/>
  <c r="T75" i="18" s="1"/>
  <c r="T18" i="18" a="1"/>
  <c r="T18" i="18" s="1"/>
  <c r="P126" i="18" a="1"/>
  <c r="P126" i="18" s="1"/>
  <c r="R126" i="18" s="1"/>
  <c r="U126" i="18" s="1"/>
  <c r="O127" i="18" a="1"/>
  <c r="O127" i="18" s="1"/>
  <c r="O45" i="18" a="1"/>
  <c r="O45" i="18" s="1"/>
  <c r="O16" i="18" a="1"/>
  <c r="O16" i="18" s="1"/>
  <c r="S94" i="18" a="1"/>
  <c r="S94" i="18" s="1"/>
  <c r="O94" i="18" a="1"/>
  <c r="O94" i="18" s="1"/>
  <c r="P94" i="18" a="1"/>
  <c r="P94" i="18" s="1"/>
  <c r="R94" i="18" s="1"/>
  <c r="U94" i="18" s="1"/>
  <c r="S89" i="18" a="1"/>
  <c r="S89" i="18" s="1"/>
  <c r="T54" i="18" a="1"/>
  <c r="T54" i="18" s="1"/>
  <c r="T96" i="18" a="1"/>
  <c r="T96" i="18" s="1"/>
  <c r="P150" i="18" a="1"/>
  <c r="P150" i="18" s="1"/>
  <c r="R150" i="18" s="1"/>
  <c r="U150" i="18" s="1"/>
  <c r="P98" i="18" a="1"/>
  <c r="P98" i="18" s="1"/>
  <c r="R98" i="18" s="1"/>
  <c r="U98" i="18" s="1"/>
  <c r="T17" i="18" a="1"/>
  <c r="T17" i="18" s="1"/>
  <c r="S109" i="18" a="1"/>
  <c r="S109" i="18" s="1"/>
  <c r="S46" i="18" a="1"/>
  <c r="S46" i="18" s="1"/>
  <c r="P125" i="18" a="1"/>
  <c r="P125" i="18" s="1"/>
  <c r="R125" i="18" s="1"/>
  <c r="U125" i="18" s="1"/>
  <c r="P54" i="18" a="1"/>
  <c r="P54" i="18" s="1"/>
  <c r="R54" i="18" s="1"/>
  <c r="U54" i="18" s="1"/>
  <c r="R76" i="18"/>
  <c r="U76" i="18" s="1"/>
  <c r="R30" i="18"/>
  <c r="U30" i="18"/>
  <c r="O129" i="18" a="1"/>
  <c r="O129" i="18" s="1"/>
  <c r="P129" i="18" a="1"/>
  <c r="P129" i="18" s="1"/>
  <c r="R129" i="18" s="1"/>
  <c r="U129" i="18" s="1"/>
  <c r="T129" i="18" a="1"/>
  <c r="T129" i="18" s="1"/>
  <c r="O97" i="18" a="1"/>
  <c r="O97" i="18" s="1"/>
  <c r="P97" i="18" a="1"/>
  <c r="P97" i="18" s="1"/>
  <c r="R97" i="18" s="1"/>
  <c r="U97" i="18" s="1"/>
  <c r="S97" i="18" a="1"/>
  <c r="S97" i="18" s="1"/>
  <c r="O33" i="18" a="1"/>
  <c r="O33" i="18" s="1"/>
  <c r="P33" i="18" a="1"/>
  <c r="P33" i="18" s="1"/>
  <c r="T33" i="18" a="1"/>
  <c r="T33" i="18" s="1"/>
  <c r="S33" i="18" a="1"/>
  <c r="S33" i="18" s="1"/>
  <c r="S27" i="18" a="1"/>
  <c r="S27" i="18" s="1"/>
  <c r="T40" i="18" a="1"/>
  <c r="T40" i="18" s="1"/>
  <c r="P6" i="18" a="1"/>
  <c r="P6" i="18" s="1"/>
  <c r="R6" i="18" s="1"/>
  <c r="U6" i="18" s="1"/>
  <c r="S50" i="18" a="1"/>
  <c r="S50" i="18" s="1"/>
  <c r="P40" i="18" a="1"/>
  <c r="P40" i="18" s="1"/>
  <c r="R40" i="18" s="1"/>
  <c r="U40" i="18" s="1"/>
  <c r="T119" i="18" a="1"/>
  <c r="T119" i="18" s="1"/>
  <c r="T74" i="18" a="1"/>
  <c r="T74" i="18" s="1"/>
  <c r="T16" i="18" a="1"/>
  <c r="T16" i="18" s="1"/>
  <c r="O126" i="18" a="1"/>
  <c r="O126" i="18" s="1"/>
  <c r="O44" i="18" a="1"/>
  <c r="O44" i="18" s="1"/>
  <c r="R116" i="18"/>
  <c r="U116" i="18" s="1"/>
  <c r="T58" i="18" a="1"/>
  <c r="T58" i="18" s="1"/>
  <c r="T113" i="18" a="1"/>
  <c r="T113" i="18" s="1"/>
  <c r="S21" i="18" a="1"/>
  <c r="S21" i="18" s="1"/>
  <c r="P122" i="18" a="1"/>
  <c r="P122" i="18" s="1"/>
  <c r="R122" i="18" s="1"/>
  <c r="U122" i="18" s="1"/>
  <c r="T122" i="18" a="1"/>
  <c r="T122" i="18" s="1"/>
  <c r="O122" i="18" a="1"/>
  <c r="O122" i="18" s="1"/>
  <c r="S122" i="18" a="1"/>
  <c r="S122" i="18" s="1"/>
  <c r="S90" i="18" a="1"/>
  <c r="S90" i="18" s="1"/>
  <c r="O90" i="18" a="1"/>
  <c r="O90" i="18" s="1"/>
  <c r="T90" i="18" a="1"/>
  <c r="T90" i="18" s="1"/>
  <c r="P90" i="18" a="1"/>
  <c r="P90" i="18" s="1"/>
  <c r="R90" i="18" s="1"/>
  <c r="U90" i="18" s="1"/>
  <c r="S58" i="18" a="1"/>
  <c r="S58" i="18" s="1"/>
  <c r="O58" i="18" a="1"/>
  <c r="O58" i="18" s="1"/>
  <c r="P58" i="18" a="1"/>
  <c r="P58" i="18" s="1"/>
  <c r="R58" i="18" s="1"/>
  <c r="U58" i="18" s="1"/>
  <c r="S26" i="18" a="1"/>
  <c r="S26" i="18" s="1"/>
  <c r="O26" i="18" a="1"/>
  <c r="O26" i="18" s="1"/>
  <c r="T26" i="18" a="1"/>
  <c r="T26" i="18" s="1"/>
  <c r="S131" i="18" a="1"/>
  <c r="S131" i="18" s="1"/>
  <c r="O55" i="18" a="1"/>
  <c r="O55" i="18" s="1"/>
  <c r="S55" i="18" a="1"/>
  <c r="S55" i="18" s="1"/>
  <c r="T39" i="18" a="1"/>
  <c r="T39" i="18" s="1"/>
  <c r="S67" i="18" a="1"/>
  <c r="S67" i="18" s="1"/>
  <c r="S66" i="18" a="1"/>
  <c r="S66" i="18" s="1"/>
  <c r="S108" i="18" a="1"/>
  <c r="S108" i="18" s="1"/>
  <c r="S45" i="18" a="1"/>
  <c r="S45" i="18" s="1"/>
  <c r="R128" i="18"/>
  <c r="U128" i="18" s="1"/>
  <c r="P123" i="18" a="1"/>
  <c r="P123" i="18" s="1"/>
  <c r="P53" i="18" a="1"/>
  <c r="P53" i="18" s="1"/>
  <c r="R53" i="18" s="1"/>
  <c r="U53" i="18" s="1"/>
  <c r="P105" i="18" a="1"/>
  <c r="P105" i="18" s="1"/>
  <c r="R105" i="18" s="1"/>
  <c r="U105" i="18" s="1"/>
  <c r="P63" i="18" a="1"/>
  <c r="P63" i="18" s="1"/>
  <c r="R63" i="18" s="1"/>
  <c r="U63" i="18" s="1"/>
  <c r="T63" i="18" a="1"/>
  <c r="T63" i="18" s="1"/>
  <c r="O63" i="18" a="1"/>
  <c r="O63" i="18" s="1"/>
  <c r="S63" i="18" a="1"/>
  <c r="S63" i="18" s="1"/>
  <c r="S147" i="18" a="1"/>
  <c r="S147" i="18" s="1"/>
  <c r="T55" i="18" a="1"/>
  <c r="T55" i="18" s="1"/>
  <c r="P85" i="18" a="1"/>
  <c r="P85" i="18" s="1"/>
  <c r="R85" i="18" s="1"/>
  <c r="U85" i="18" s="1"/>
  <c r="P24" i="18" a="1"/>
  <c r="P24" i="18" s="1"/>
  <c r="R24" i="18" s="1"/>
  <c r="U24" i="18" s="1"/>
  <c r="O95" i="18" a="1"/>
  <c r="O95" i="18" s="1"/>
  <c r="S53" i="18" a="1"/>
  <c r="S53" i="18" s="1"/>
  <c r="P5" i="18" a="1"/>
  <c r="P5" i="18" s="1"/>
  <c r="R5" i="18" s="1"/>
  <c r="U5" i="18" s="1"/>
  <c r="P4" i="18" a="1"/>
  <c r="P4" i="18" s="1"/>
  <c r="T118" i="18" a="1"/>
  <c r="T118" i="18" s="1"/>
  <c r="T14" i="18" a="1"/>
  <c r="T14" i="18" s="1"/>
  <c r="O125" i="18" a="1"/>
  <c r="O125" i="18" s="1"/>
  <c r="O43" i="18" a="1"/>
  <c r="O43" i="18" s="1"/>
  <c r="S148" i="18" a="1"/>
  <c r="S148" i="18" s="1"/>
  <c r="O15" i="18" a="1"/>
  <c r="O15" i="18" s="1"/>
  <c r="T124" i="18" a="1"/>
  <c r="T124" i="18" s="1"/>
  <c r="S124" i="18" a="1"/>
  <c r="S124" i="18" s="1"/>
  <c r="P92" i="18" a="1"/>
  <c r="P92" i="18" s="1"/>
  <c r="R92" i="18" s="1"/>
  <c r="U92" i="18" s="1"/>
  <c r="T92" i="18" a="1"/>
  <c r="T92" i="18" s="1"/>
  <c r="O92" i="18" a="1"/>
  <c r="O92" i="18" s="1"/>
  <c r="P60" i="18" a="1"/>
  <c r="P60" i="18" s="1"/>
  <c r="R60" i="18" s="1"/>
  <c r="U60" i="18" s="1"/>
  <c r="O60" i="18" a="1"/>
  <c r="O60" i="18" s="1"/>
  <c r="S60" i="18" a="1"/>
  <c r="S60" i="18" s="1"/>
  <c r="P28" i="18" a="1"/>
  <c r="P28" i="18" s="1"/>
  <c r="R28" i="18" s="1"/>
  <c r="U28" i="18" s="1"/>
  <c r="O28" i="18" a="1"/>
  <c r="O28" i="18" s="1"/>
  <c r="T28" i="18" a="1"/>
  <c r="T28" i="18" s="1"/>
  <c r="P25" i="18" a="1"/>
  <c r="P25" i="18" s="1"/>
  <c r="R25" i="18" s="1"/>
  <c r="U25" i="18" s="1"/>
  <c r="O96" i="18" a="1"/>
  <c r="O96" i="18" s="1"/>
  <c r="T121" i="18" a="1"/>
  <c r="T121" i="18" s="1"/>
  <c r="P121" i="18" a="1"/>
  <c r="P121" i="18" s="1"/>
  <c r="R121" i="18" s="1"/>
  <c r="U121" i="18" s="1"/>
  <c r="O121" i="18" a="1"/>
  <c r="O121" i="18" s="1"/>
  <c r="S121" i="18" a="1"/>
  <c r="S121" i="18" s="1"/>
  <c r="S25" i="18" a="1"/>
  <c r="S25" i="18" s="1"/>
  <c r="O25" i="18" a="1"/>
  <c r="O25" i="18" s="1"/>
  <c r="T25" i="18" a="1"/>
  <c r="T25" i="18" s="1"/>
  <c r="O148" i="18" a="1"/>
  <c r="O148" i="18" s="1"/>
  <c r="O76" i="18" a="1"/>
  <c r="O76" i="18" s="1"/>
  <c r="T94" i="18" a="1"/>
  <c r="T94" i="18" s="1"/>
  <c r="S129" i="18" a="1"/>
  <c r="S129" i="18" s="1"/>
  <c r="P149" i="18" a="1"/>
  <c r="P149" i="18" s="1"/>
  <c r="R149" i="18" s="1"/>
  <c r="U149" i="18" s="1"/>
  <c r="T15" i="18" a="1"/>
  <c r="T15" i="18" s="1"/>
  <c r="T2" i="18" a="1"/>
  <c r="T2" i="18" s="1"/>
  <c r="S107" i="18" a="1"/>
  <c r="S107" i="18" s="1"/>
  <c r="S44" i="18" a="1"/>
  <c r="S44" i="18" s="1"/>
  <c r="P52" i="18" a="1"/>
  <c r="P52" i="18" s="1"/>
  <c r="R52" i="18" s="1"/>
  <c r="U52" i="18" s="1"/>
  <c r="T13" i="18" a="1"/>
  <c r="T13" i="18" s="1"/>
  <c r="T111" i="18" a="1"/>
  <c r="T111" i="18" s="1"/>
  <c r="P50" i="18" a="1"/>
  <c r="P50" i="18" s="1"/>
  <c r="R50" i="18" s="1"/>
  <c r="U50" i="18" s="1"/>
  <c r="O114" i="18" a="1"/>
  <c r="O114" i="18" s="1"/>
  <c r="S142" i="18" a="1"/>
  <c r="S142" i="18" s="1"/>
  <c r="P144" i="18" a="1"/>
  <c r="P144" i="18" s="1"/>
  <c r="R144" i="18" s="1"/>
  <c r="U144" i="18" s="1"/>
  <c r="S141" i="18" a="1"/>
  <c r="S141" i="18" s="1"/>
  <c r="S35" i="18" a="1"/>
  <c r="S35" i="18" s="1"/>
  <c r="P70" i="18" a="1"/>
  <c r="P70" i="18" s="1"/>
  <c r="R70" i="18" s="1"/>
  <c r="U70" i="18" s="1"/>
  <c r="P42" i="18" a="1"/>
  <c r="P42" i="18" s="1"/>
  <c r="R42" i="18" s="1"/>
  <c r="U42" i="18" s="1"/>
  <c r="P143" i="18" a="1"/>
  <c r="P143" i="18" s="1"/>
  <c r="R143" i="18" s="1"/>
  <c r="U143" i="18" s="1"/>
  <c r="P79" i="18" a="1"/>
  <c r="P79" i="18" s="1"/>
  <c r="R79" i="18" s="1"/>
  <c r="U79" i="18" s="1"/>
  <c r="P47" i="18" a="1"/>
  <c r="P47" i="18" s="1"/>
  <c r="R47" i="18" s="1"/>
  <c r="U4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O34" i="18" a="1"/>
  <c r="O34" i="18" s="1"/>
  <c r="O98" i="18" a="1"/>
  <c r="O98" i="18" s="1"/>
  <c r="P12" i="18" a="1"/>
  <c r="P12" i="18" s="1"/>
  <c r="R12" i="18" s="1"/>
  <c r="U12" i="18" s="1"/>
  <c r="P76" i="18" a="1"/>
  <c r="P76" i="18" s="1"/>
  <c r="O2" i="18" a="1"/>
  <c r="O2" i="18" s="1"/>
  <c r="O66" i="18" a="1"/>
  <c r="O66" i="18" s="1"/>
  <c r="O130" i="18" a="1"/>
  <c r="O130" i="18" s="1"/>
  <c r="P44" i="18" a="1"/>
  <c r="P44" i="18" s="1"/>
  <c r="R44" i="18" s="1"/>
  <c r="U44" i="18" s="1"/>
  <c r="O35" i="18" a="1"/>
  <c r="O35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O3" i="18" a="1"/>
  <c r="O3" i="18" s="1"/>
  <c r="O67" i="18" a="1"/>
  <c r="O67" i="18" s="1"/>
  <c r="O131" i="18" a="1"/>
  <c r="O131" i="18" s="1"/>
  <c r="P45" i="18" a="1"/>
  <c r="P45" i="18" s="1"/>
  <c r="R45" i="18" s="1"/>
  <c r="U45" i="18" s="1"/>
  <c r="O20" i="18" a="1"/>
  <c r="O20" i="18" s="1"/>
  <c r="O52" i="18" a="1"/>
  <c r="O52" i="18" s="1"/>
  <c r="O68" i="18" a="1"/>
  <c r="O68" i="18" s="1"/>
  <c r="O100" i="18" a="1"/>
  <c r="O100" i="18" s="1"/>
  <c r="O4" i="18" a="1"/>
  <c r="O4" i="18" s="1"/>
  <c r="O36" i="18" a="1"/>
  <c r="O36" i="18" s="1"/>
  <c r="O84" i="18" a="1"/>
  <c r="O84" i="18" s="1"/>
  <c r="O116" i="18" a="1"/>
  <c r="O116" i="18" s="1"/>
  <c r="O37" i="18" a="1"/>
  <c r="O37" i="18" s="1"/>
  <c r="O69" i="18" a="1"/>
  <c r="O69" i="18" s="1"/>
  <c r="O133" i="18" a="1"/>
  <c r="O133" i="18" s="1"/>
  <c r="S40" i="18" a="1"/>
  <c r="S40" i="18" s="1"/>
  <c r="O5" i="18" a="1"/>
  <c r="O5" i="18" s="1"/>
  <c r="O101" i="18" a="1"/>
  <c r="O101" i="18" s="1"/>
  <c r="P15" i="18" a="1"/>
  <c r="P15" i="18" s="1"/>
  <c r="R15" i="18" s="1"/>
  <c r="S8" i="18" a="1"/>
  <c r="S8" i="18" s="1"/>
  <c r="S72" i="18" a="1"/>
  <c r="S72" i="18" s="1"/>
  <c r="O38" i="18" a="1"/>
  <c r="O38" i="18" s="1"/>
  <c r="O102" i="18" a="1"/>
  <c r="O102" i="18" s="1"/>
  <c r="O134" i="18" a="1"/>
  <c r="O134" i="18" s="1"/>
  <c r="S41" i="18" a="1"/>
  <c r="S41" i="18" s="1"/>
  <c r="O6" i="18" a="1"/>
  <c r="O6" i="18" s="1"/>
  <c r="O70" i="18" a="1"/>
  <c r="O70" i="18" s="1"/>
  <c r="S9" i="18" a="1"/>
  <c r="S9" i="18" s="1"/>
  <c r="S73" i="18" a="1"/>
  <c r="S73" i="18" s="1"/>
  <c r="O39" i="18" a="1"/>
  <c r="O39" i="18" s="1"/>
  <c r="O103" i="18" a="1"/>
  <c r="O103" i="18" s="1"/>
  <c r="S10" i="18" a="1"/>
  <c r="S10" i="18" s="1"/>
  <c r="O7" i="18" a="1"/>
  <c r="O7" i="18" s="1"/>
  <c r="O71" i="18" a="1"/>
  <c r="O71" i="18" s="1"/>
  <c r="O135" i="18" a="1"/>
  <c r="O135" i="18" s="1"/>
  <c r="S42" i="18" a="1"/>
  <c r="S42" i="18" s="1"/>
  <c r="S74" i="18" a="1"/>
  <c r="S74" i="18" s="1"/>
  <c r="O10" i="18" a="1"/>
  <c r="O10" i="18" s="1"/>
  <c r="O42" i="18" a="1"/>
  <c r="O42" i="18" s="1"/>
  <c r="O74" i="18" a="1"/>
  <c r="O74" i="18" s="1"/>
  <c r="O106" i="18" a="1"/>
  <c r="O106" i="18" s="1"/>
  <c r="S144" i="18" a="1"/>
  <c r="S144" i="18" s="1"/>
  <c r="S83" i="18" a="1"/>
  <c r="S83" i="18" s="1"/>
  <c r="T12" i="18" a="1"/>
  <c r="T12" i="18" s="1"/>
  <c r="T131" i="18" a="1"/>
  <c r="T131" i="18" s="1"/>
  <c r="P140" i="18" a="1"/>
  <c r="P140" i="18" s="1"/>
  <c r="R140" i="18" s="1"/>
  <c r="U140" i="18" s="1"/>
  <c r="T10" i="18" a="1"/>
  <c r="T10" i="18" s="1"/>
  <c r="S100" i="18" a="1"/>
  <c r="S100" i="18" s="1"/>
  <c r="P139" i="18" a="1"/>
  <c r="P139" i="18" s="1"/>
  <c r="R139" i="18" s="1"/>
  <c r="U139" i="18" s="1"/>
  <c r="P20" i="18" a="1"/>
  <c r="P20" i="18" s="1"/>
  <c r="R20" i="18" s="1"/>
  <c r="U20" i="18" s="1"/>
  <c r="O142" i="18" a="1"/>
  <c r="O142" i="18" s="1"/>
  <c r="U15" i="18"/>
  <c r="P111" i="18" a="1"/>
  <c r="P111" i="18" s="1"/>
  <c r="R111" i="18" s="1"/>
  <c r="U111" i="18" s="1"/>
  <c r="S14" i="18" a="1"/>
  <c r="S14" i="18" s="1"/>
  <c r="P118" i="18" a="1"/>
  <c r="P118" i="18" s="1"/>
  <c r="R131" i="18"/>
  <c r="U131" i="18" s="1"/>
  <c r="R33" i="18"/>
  <c r="U33" i="18" s="1"/>
  <c r="O150" i="18" a="1"/>
  <c r="O150" i="18" s="1"/>
  <c r="P51" i="18" a="1"/>
  <c r="P51" i="18" s="1"/>
  <c r="R51" i="18" s="1"/>
  <c r="U51" i="18" s="1"/>
  <c r="S17" i="18" a="1"/>
  <c r="S17" i="18" s="1"/>
  <c r="O9" i="18" a="1"/>
  <c r="O9" i="18" s="1"/>
  <c r="U55" i="18"/>
  <c r="O18" i="18" a="1"/>
  <c r="O18" i="18" s="1"/>
  <c r="T150" i="18" a="1"/>
  <c r="T150" i="18" s="1"/>
  <c r="S101" i="18" a="1"/>
  <c r="S101" i="18" s="1"/>
  <c r="T70" i="18" a="1"/>
  <c r="T70" i="18" s="1"/>
  <c r="T50" i="18" a="1"/>
  <c r="T50" i="18" s="1"/>
  <c r="T107" i="18" a="1"/>
  <c r="T107" i="18" s="1"/>
  <c r="T9" i="18" a="1"/>
  <c r="T9" i="18" s="1"/>
  <c r="S99" i="18" a="1"/>
  <c r="S99" i="18" s="1"/>
  <c r="P138" i="18" a="1"/>
  <c r="P138" i="18" s="1"/>
  <c r="R138" i="18" s="1"/>
  <c r="U138" i="18" s="1"/>
  <c r="P69" i="18" a="1"/>
  <c r="P69" i="18" s="1"/>
  <c r="R69" i="18" s="1"/>
  <c r="U69" i="18" s="1"/>
  <c r="P41" i="18" a="1"/>
  <c r="P41" i="18" s="1"/>
  <c r="P19" i="18" a="1"/>
  <c r="P19" i="18" s="1"/>
  <c r="R19" i="18" s="1"/>
  <c r="U19" i="18" s="1"/>
  <c r="O141" i="18" a="1"/>
  <c r="O141" i="18" s="1"/>
  <c r="R71" i="18"/>
  <c r="U71" i="18" s="1"/>
  <c r="O86" i="18" a="1"/>
  <c r="O86" i="18" s="1"/>
  <c r="O149" i="18" a="1"/>
  <c r="O149" i="18" s="1"/>
  <c r="O147" i="18" a="1"/>
  <c r="O147" i="18" s="1"/>
  <c r="S37" i="18" a="1"/>
  <c r="S37" i="18" s="1"/>
  <c r="T11" i="18" a="1"/>
  <c r="T11" i="18" s="1"/>
  <c r="P80" i="18" a="1"/>
  <c r="P80" i="18" s="1"/>
  <c r="R80" i="18" s="1"/>
  <c r="U80" i="18" s="1"/>
  <c r="T148" i="18" a="1"/>
  <c r="T148" i="18" s="1"/>
  <c r="T69" i="18" a="1"/>
  <c r="T69" i="18" s="1"/>
  <c r="S140" i="18" a="1"/>
  <c r="S140" i="18" s="1"/>
  <c r="S34" i="18" a="1"/>
  <c r="S34" i="18" s="1"/>
  <c r="T147" i="18" a="1"/>
  <c r="T147" i="18" s="1"/>
  <c r="T47" i="18" a="1"/>
  <c r="T47" i="18" s="1"/>
  <c r="S79" i="18" a="1"/>
  <c r="S79" i="18" s="1"/>
  <c r="S13" i="18" a="1"/>
  <c r="S13" i="18" s="1"/>
  <c r="P117" i="18" a="1"/>
  <c r="P117" i="18" s="1"/>
  <c r="T34" i="18" a="1"/>
  <c r="T34" i="18" s="1"/>
  <c r="O21" i="18" a="1"/>
  <c r="O21" i="18" s="1"/>
  <c r="T72" i="18" a="1"/>
  <c r="T72" i="18" s="1"/>
  <c r="T53" i="18" a="1"/>
  <c r="T53" i="18" s="1"/>
  <c r="O8" i="18" a="1"/>
  <c r="O8" i="18" s="1"/>
  <c r="O49" i="18" a="1"/>
  <c r="O49" i="18" s="1"/>
  <c r="P49" i="18" a="1"/>
  <c r="P49" i="18" s="1"/>
  <c r="R49" i="18" s="1"/>
  <c r="U49" i="18" s="1"/>
  <c r="T108" i="18" a="1"/>
  <c r="T108" i="18" s="1"/>
  <c r="T106" i="18" a="1"/>
  <c r="T106" i="18" s="1"/>
  <c r="T46" i="18" a="1"/>
  <c r="T46" i="18" s="1"/>
  <c r="S139" i="18" a="1"/>
  <c r="S139" i="18" s="1"/>
  <c r="P137" i="18" a="1"/>
  <c r="P137" i="18" s="1"/>
  <c r="R137" i="18" s="1"/>
  <c r="U137" i="18" s="1"/>
  <c r="P68" i="18" a="1"/>
  <c r="P68" i="18" s="1"/>
  <c r="R68" i="18" s="1"/>
  <c r="U68" i="18" s="1"/>
  <c r="P18" i="18" a="1"/>
  <c r="P18" i="18" s="1"/>
  <c r="R18" i="18" s="1"/>
  <c r="U18" i="18" s="1"/>
  <c r="O140" i="18" a="1"/>
  <c r="O140" i="18" s="1"/>
  <c r="S106" i="18" a="1"/>
  <c r="S106" i="18" s="1"/>
  <c r="P100" i="18" a="1"/>
  <c r="P100" i="18" s="1"/>
  <c r="R100" i="18" s="1"/>
  <c r="U100" i="18" s="1"/>
  <c r="R36" i="18"/>
  <c r="U36" i="18" s="1"/>
  <c r="O51" i="18" a="1"/>
  <c r="O51" i="18" s="1"/>
  <c r="O82" i="18" a="1"/>
  <c r="O82" i="18" s="1"/>
  <c r="P46" i="18" a="1"/>
  <c r="P46" i="18" s="1"/>
  <c r="R46" i="18" s="1"/>
  <c r="U46" i="18" s="1"/>
  <c r="P16" i="18" a="1"/>
  <c r="P16" i="18" s="1"/>
  <c r="R16" i="18" s="1"/>
  <c r="U16" i="18" s="1"/>
  <c r="T149" i="18" a="1"/>
  <c r="T149" i="18" s="1"/>
  <c r="T68" i="18" a="1"/>
  <c r="T68" i="18" s="1"/>
  <c r="T8" i="18" a="1"/>
  <c r="T8" i="18" s="1"/>
  <c r="S98" i="18" a="1"/>
  <c r="S98" i="18" s="1"/>
  <c r="T67" i="18" a="1"/>
  <c r="T67" i="18" s="1"/>
  <c r="S78" i="18" a="1"/>
  <c r="S78" i="18" s="1"/>
  <c r="S54" i="18" a="1"/>
  <c r="S54" i="18" s="1"/>
  <c r="S12" i="18" a="1"/>
  <c r="S12" i="18" s="1"/>
  <c r="P116" i="18" a="1"/>
  <c r="P116" i="18" s="1"/>
  <c r="O111" i="18" a="1"/>
  <c r="O111" i="18" s="1"/>
  <c r="T110" i="18" a="1"/>
  <c r="T110" i="18" s="1"/>
  <c r="O19" i="18" a="1"/>
  <c r="O19" i="18" s="1"/>
  <c r="T109" i="18" a="1"/>
  <c r="T109" i="18" s="1"/>
  <c r="T66" i="18" a="1"/>
  <c r="T66" i="18" s="1"/>
  <c r="T7" i="18" a="1"/>
  <c r="T7" i="18" s="1"/>
  <c r="S116" i="18" a="1"/>
  <c r="S116" i="18" s="1"/>
  <c r="P136" i="18" a="1"/>
  <c r="P136" i="18" s="1"/>
  <c r="R136" i="18" s="1"/>
  <c r="U136" i="18" s="1"/>
  <c r="P67" i="18" a="1"/>
  <c r="P67" i="18" s="1"/>
  <c r="R67" i="18" s="1"/>
  <c r="U67" i="18" s="1"/>
  <c r="P39" i="18" a="1"/>
  <c r="P39" i="18" s="1"/>
  <c r="R39" i="18" s="1"/>
  <c r="U39" i="18" s="1"/>
  <c r="P14" i="18" a="1"/>
  <c r="P14" i="18" s="1"/>
  <c r="R14" i="18" s="1"/>
  <c r="U14" i="18" s="1"/>
  <c r="O139" i="18" a="1"/>
  <c r="O139" i="18" s="1"/>
  <c r="O22" i="18" a="1"/>
  <c r="O22" i="18" s="1"/>
  <c r="U78" i="18"/>
  <c r="O85" i="18" a="1"/>
  <c r="O85" i="18" s="1"/>
  <c r="S38" i="18" a="1"/>
  <c r="S38" i="18" s="1"/>
  <c r="P99" i="18" a="1"/>
  <c r="P99" i="18" s="1"/>
  <c r="R99" i="18" s="1"/>
  <c r="U99" i="18" s="1"/>
  <c r="R35" i="18"/>
  <c r="U35" i="18" s="1"/>
  <c r="P141" i="18" a="1"/>
  <c r="P141" i="18" s="1"/>
  <c r="R141" i="18" s="1"/>
  <c r="U141" i="18" s="1"/>
  <c r="P21" i="18" a="1"/>
  <c r="P21" i="18" s="1"/>
  <c r="R21" i="18" s="1"/>
  <c r="U21" i="18" s="1"/>
  <c r="O145" i="18" a="1"/>
  <c r="O145" i="18" s="1"/>
  <c r="P145" i="18" a="1"/>
  <c r="P145" i="18" s="1"/>
  <c r="R145" i="18" s="1"/>
  <c r="U145" i="18" s="1"/>
  <c r="P112" i="18" a="1"/>
  <c r="P112" i="18" s="1"/>
  <c r="R112" i="18" s="1"/>
  <c r="U112" i="18" s="1"/>
  <c r="T45" i="18" a="1"/>
  <c r="T45" i="18" s="1"/>
  <c r="S138" i="18" a="1"/>
  <c r="S138" i="18" s="1"/>
  <c r="T143" i="18" a="1"/>
  <c r="T143" i="18" s="1"/>
  <c r="S137" i="18" a="1"/>
  <c r="S137" i="18" s="1"/>
  <c r="S77" i="18" a="1"/>
  <c r="S77" i="18" s="1"/>
  <c r="S52" i="18" a="1"/>
  <c r="S52" i="18" s="1"/>
  <c r="S11" i="18" a="1"/>
  <c r="S11" i="18" s="1"/>
  <c r="P115" i="18" a="1"/>
  <c r="P115" i="18" s="1"/>
  <c r="O110" i="18" a="1"/>
  <c r="O110" i="18" s="1"/>
  <c r="O80" i="18" a="1"/>
  <c r="O80" i="18" s="1"/>
  <c r="O118" i="18" a="1"/>
  <c r="O118" i="18" s="1"/>
  <c r="O40" i="18" a="1"/>
  <c r="O40" i="18" s="1"/>
  <c r="S143" i="18" a="1"/>
  <c r="S143" i="18" s="1"/>
  <c r="P22" i="18" a="1"/>
  <c r="P22" i="18" s="1"/>
  <c r="R22" i="18" s="1"/>
  <c r="U22" i="18" s="1"/>
  <c r="O146" i="18" a="1"/>
  <c r="O146" i="18" s="1"/>
  <c r="P71" i="18" a="1"/>
  <c r="P71" i="18" s="1"/>
  <c r="O113" i="18" a="1"/>
  <c r="O113" i="18" s="1"/>
  <c r="P113" i="18" a="1"/>
  <c r="P113" i="18" s="1"/>
  <c r="R113" i="18" s="1"/>
  <c r="U113" i="18" s="1"/>
  <c r="O17" i="18" a="1"/>
  <c r="O17" i="18" s="1"/>
  <c r="P17" i="18" a="1"/>
  <c r="P17" i="18" s="1"/>
  <c r="R17" i="18" s="1"/>
  <c r="U17" i="18" s="1"/>
  <c r="T105" i="18" a="1"/>
  <c r="T105" i="18" s="1"/>
  <c r="T86" i="18" a="1"/>
  <c r="T86" i="18" s="1"/>
  <c r="T142" i="18" a="1"/>
  <c r="T142" i="18" s="1"/>
  <c r="T44" i="18" a="1"/>
  <c r="T44" i="18" s="1"/>
  <c r="S136" i="18" a="1"/>
  <c r="S136" i="18" s="1"/>
  <c r="P66" i="18" a="1"/>
  <c r="P66" i="18" s="1"/>
  <c r="R66" i="18" s="1"/>
  <c r="U66" i="18" s="1"/>
  <c r="P38" i="18" a="1"/>
  <c r="P38" i="18" s="1"/>
  <c r="R38" i="18" s="1"/>
  <c r="U38" i="18" s="1"/>
  <c r="P10" i="18" a="1"/>
  <c r="P10" i="18" s="1"/>
  <c r="R10" i="18" s="1"/>
  <c r="U10" i="18" s="1"/>
  <c r="O138" i="18" a="1"/>
  <c r="O138" i="18" s="1"/>
  <c r="U87" i="18"/>
  <c r="T112" i="18" a="1"/>
  <c r="T112" i="18" s="1"/>
  <c r="O117" i="18" a="1"/>
  <c r="O117" i="18" s="1"/>
  <c r="S104" i="18" a="1"/>
  <c r="S104" i="18" s="1"/>
  <c r="S16" i="18" a="1"/>
  <c r="S16" i="18" s="1"/>
  <c r="S36" i="18" a="1"/>
  <c r="S36" i="18" s="1"/>
  <c r="P48" i="18" a="1"/>
  <c r="P48" i="18" s="1"/>
  <c r="R48" i="18" s="1"/>
  <c r="U48" i="18" s="1"/>
  <c r="T144" i="18" a="1"/>
  <c r="T144" i="18" s="1"/>
  <c r="T104" i="18" a="1"/>
  <c r="T104" i="18" s="1"/>
  <c r="T85" i="18" a="1"/>
  <c r="T85" i="18" s="1"/>
  <c r="T6" i="18" a="1"/>
  <c r="T6" i="18" s="1"/>
  <c r="P135" i="18" a="1"/>
  <c r="P135" i="18" s="1"/>
  <c r="R135" i="18" s="1"/>
  <c r="U135" i="18" s="1"/>
  <c r="S135" i="18" a="1"/>
  <c r="S135" i="18" s="1"/>
  <c r="S76" i="18" a="1"/>
  <c r="S76" i="18" s="1"/>
  <c r="S51" i="18" a="1"/>
  <c r="S51" i="18" s="1"/>
  <c r="S7" i="18" a="1"/>
  <c r="S7" i="18" s="1"/>
  <c r="P114" i="18" a="1"/>
  <c r="P114" i="18" s="1"/>
  <c r="R114" i="18" s="1"/>
  <c r="U114" i="18" s="1"/>
  <c r="O109" i="18" a="1"/>
  <c r="O109" i="18" s="1"/>
  <c r="O79" i="18" a="1"/>
  <c r="O79" i="18" s="1"/>
  <c r="T73" i="18" a="1"/>
  <c r="T73" i="18" s="1"/>
  <c r="S105" i="18" a="1"/>
  <c r="S105" i="18" s="1"/>
  <c r="O83" i="18" a="1"/>
  <c r="O83" i="18" s="1"/>
  <c r="T130" i="18" a="1"/>
  <c r="T130" i="18" s="1"/>
  <c r="S15" i="18" a="1"/>
  <c r="S15" i="18" s="1"/>
  <c r="T84" i="18" a="1"/>
  <c r="T84" i="18" s="1"/>
  <c r="T5" i="18" a="1"/>
  <c r="T5" i="18" s="1"/>
  <c r="S134" i="18" a="1"/>
  <c r="S134" i="18" s="1"/>
  <c r="S114" i="18" a="1"/>
  <c r="S114" i="18" s="1"/>
  <c r="S6" i="18" a="1"/>
  <c r="S6" i="18" s="1"/>
  <c r="P134" i="18" a="1"/>
  <c r="P134" i="18" s="1"/>
  <c r="R134" i="18" s="1"/>
  <c r="U134" i="18" s="1"/>
  <c r="P37" i="18" a="1"/>
  <c r="P37" i="18" s="1"/>
  <c r="R37" i="18" s="1"/>
  <c r="U37" i="18" s="1"/>
  <c r="P9" i="18" a="1"/>
  <c r="P9" i="18" s="1"/>
  <c r="R9" i="18" s="1"/>
  <c r="U9" i="18" s="1"/>
  <c r="O137" i="18" a="1"/>
  <c r="O137" i="18" s="1"/>
  <c r="O54" i="18" a="1"/>
  <c r="O54" i="18" s="1"/>
  <c r="O53" i="18" a="1"/>
  <c r="O53" i="18" s="1"/>
  <c r="O115" i="18" a="1"/>
  <c r="O115" i="18" s="1"/>
  <c r="P142" i="18" a="1"/>
  <c r="P142" i="18" s="1"/>
  <c r="T52" i="18" a="1"/>
  <c r="T52" i="18" s="1"/>
  <c r="T141" i="18" a="1"/>
  <c r="T141" i="18" s="1"/>
  <c r="T43" i="18" a="1"/>
  <c r="T43" i="18" s="1"/>
  <c r="T83" i="18" a="1"/>
  <c r="T83" i="18" s="1"/>
  <c r="S133" i="18" a="1"/>
  <c r="S133" i="18" s="1"/>
  <c r="S75" i="18" a="1"/>
  <c r="S75" i="18" s="1"/>
  <c r="S5" i="18" a="1"/>
  <c r="S5" i="18" s="1"/>
  <c r="P110" i="18" a="1"/>
  <c r="P110" i="18" s="1"/>
  <c r="R110" i="18" s="1"/>
  <c r="U110" i="18" s="1"/>
  <c r="O108" i="18" a="1"/>
  <c r="O108" i="18" s="1"/>
  <c r="O78" i="18" a="1"/>
  <c r="O78" i="18" s="1"/>
  <c r="O48" i="18" a="1"/>
  <c r="O48" i="18" s="1"/>
  <c r="P73" i="18" a="1"/>
  <c r="P73" i="18" s="1"/>
  <c r="R73" i="18" s="1"/>
  <c r="U73" i="18" s="1"/>
  <c r="P146" i="18" a="1"/>
  <c r="P146" i="18" s="1"/>
  <c r="R146" i="18" s="1"/>
  <c r="U146" i="18" s="1"/>
  <c r="P72" i="18" a="1"/>
  <c r="P72" i="18" s="1"/>
  <c r="R72" i="18" s="1"/>
  <c r="U72" i="18" s="1"/>
  <c r="S82" i="18" a="1"/>
  <c r="S82" i="18" s="1"/>
  <c r="O143" i="18" a="1"/>
  <c r="O143" i="18" s="1"/>
  <c r="O81" i="18" a="1"/>
  <c r="O81" i="18" s="1"/>
  <c r="P81" i="18" a="1"/>
  <c r="P81" i="18" s="1"/>
  <c r="R81" i="18" s="1"/>
  <c r="U81" i="18" s="1"/>
  <c r="T140" i="18" a="1"/>
  <c r="T140" i="18" s="1"/>
  <c r="T82" i="18" a="1"/>
  <c r="T82" i="18" s="1"/>
  <c r="T42" i="18" a="1"/>
  <c r="T42" i="18" s="1"/>
  <c r="S132" i="18" a="1"/>
  <c r="S132" i="18" s="1"/>
  <c r="S113" i="18" a="1"/>
  <c r="S113" i="18" s="1"/>
  <c r="P133" i="18" a="1"/>
  <c r="P133" i="18" s="1"/>
  <c r="R133" i="18" s="1"/>
  <c r="U133" i="18" s="1"/>
  <c r="P109" i="18" a="1"/>
  <c r="P109" i="18" s="1"/>
  <c r="R109" i="18" s="1"/>
  <c r="U109" i="18" s="1"/>
  <c r="P86" i="18" a="1"/>
  <c r="P86" i="18" s="1"/>
  <c r="R86" i="18" s="1"/>
  <c r="U86" i="18" s="1"/>
  <c r="P36" i="18" a="1"/>
  <c r="P36" i="18" s="1"/>
  <c r="P8" i="18" a="1"/>
  <c r="P8" i="18" s="1"/>
  <c r="R8" i="18" s="1"/>
  <c r="U8" i="18" s="1"/>
  <c r="O136" i="18" a="1"/>
  <c r="O136" i="18" s="1"/>
  <c r="T133" i="18" a="1"/>
  <c r="T133" i="18" s="1"/>
  <c r="S39" i="18" a="1"/>
  <c r="S39" i="18" s="1"/>
  <c r="O144" i="18" a="1"/>
  <c r="O144" i="18" s="1"/>
  <c r="O50" i="18" a="1"/>
  <c r="O50" i="18" s="1"/>
  <c r="S102" i="18" a="1"/>
  <c r="S102" i="18" s="1"/>
  <c r="T103" i="18" a="1"/>
  <c r="T103" i="18" s="1"/>
  <c r="T102" i="18" a="1"/>
  <c r="T102" i="18" s="1"/>
  <c r="T4" i="18" a="1"/>
  <c r="T4" i="18" s="1"/>
  <c r="S4" i="18" a="1"/>
  <c r="S4" i="18" s="1"/>
  <c r="R115" i="18"/>
  <c r="U115" i="18" s="1"/>
  <c r="T81" i="18" a="1"/>
  <c r="T81" i="18" s="1"/>
  <c r="T3" i="18" a="1"/>
  <c r="T3" i="18" s="1"/>
  <c r="S71" i="18" a="1"/>
  <c r="S71" i="18" s="1"/>
  <c r="S49" i="18" a="1"/>
  <c r="S49" i="18" s="1"/>
  <c r="P108" i="18" a="1"/>
  <c r="P108" i="18" s="1"/>
  <c r="R108" i="18" s="1"/>
  <c r="U108" i="18" s="1"/>
  <c r="O107" i="18" a="1"/>
  <c r="O107" i="18" s="1"/>
  <c r="O77" i="18" a="1"/>
  <c r="O77" i="18" s="1"/>
  <c r="O47" i="18" a="1"/>
  <c r="O47" i="18" s="1"/>
  <c r="R104" i="18"/>
  <c r="U104" i="18" s="1"/>
  <c r="R7" i="18"/>
  <c r="U7" i="18" s="1"/>
  <c r="X205" i="17" a="1"/>
  <c r="X205" i="17" s="1"/>
  <c r="Y205" i="17" s="1"/>
  <c r="X183" i="17" a="1"/>
  <c r="X183" i="17" s="1"/>
  <c r="Y183" i="17" s="1"/>
  <c r="U111" i="17" a="1"/>
  <c r="U111" i="17" s="1"/>
  <c r="X17" i="17" a="1"/>
  <c r="X17" i="17" s="1"/>
  <c r="T133" i="17" a="1"/>
  <c r="T133" i="17" s="1"/>
  <c r="R203" i="17" a="1"/>
  <c r="R203" i="17" s="1"/>
  <c r="U110" i="17" a="1"/>
  <c r="U110" i="17" s="1"/>
  <c r="T79" i="17" a="1"/>
  <c r="T79" i="17" s="1"/>
  <c r="R144" i="17" a="1"/>
  <c r="R144" i="17" s="1"/>
  <c r="O49" i="17" a="1"/>
  <c r="O49" i="17" s="1"/>
  <c r="R54" i="17" a="1"/>
  <c r="R54" i="17" s="1"/>
  <c r="X52" i="17" a="1"/>
  <c r="X52" i="17" s="1"/>
  <c r="Y52" i="17" s="1"/>
  <c r="X84" i="17" a="1"/>
  <c r="X84" i="17" s="1"/>
  <c r="Y84" i="17" s="1"/>
  <c r="X51" i="17" a="1"/>
  <c r="X51" i="17" s="1"/>
  <c r="Y51" i="17" s="1"/>
  <c r="Q51" i="17" s="1"/>
  <c r="W51" i="17" s="1"/>
  <c r="T85" i="17" a="1"/>
  <c r="T85" i="17" s="1"/>
  <c r="U157" i="17" a="1"/>
  <c r="U157" i="17" s="1"/>
  <c r="O164" i="17" a="1"/>
  <c r="O164" i="17" s="1"/>
  <c r="N164" i="17" a="1"/>
  <c r="N164" i="17" s="1"/>
  <c r="T164" i="17" a="1"/>
  <c r="T164" i="17" s="1"/>
  <c r="U164" i="17" a="1"/>
  <c r="U164" i="17" s="1"/>
  <c r="X164" i="17" a="1"/>
  <c r="X164" i="17" s="1"/>
  <c r="Y164" i="17" s="1"/>
  <c r="R164" i="17" a="1"/>
  <c r="R164" i="17" s="1"/>
  <c r="V164" i="17" a="1"/>
  <c r="V164" i="17" s="1"/>
  <c r="S164" i="17" a="1"/>
  <c r="S164" i="17" s="1"/>
  <c r="T137" i="17" a="1"/>
  <c r="T137" i="17" s="1"/>
  <c r="S137" i="17" a="1"/>
  <c r="S137" i="17" s="1"/>
  <c r="O137" i="17" a="1"/>
  <c r="O137" i="17" s="1"/>
  <c r="U137" i="17" a="1"/>
  <c r="U137" i="17" s="1"/>
  <c r="R137" i="17" a="1"/>
  <c r="R137" i="17" s="1"/>
  <c r="N137" i="17" a="1"/>
  <c r="N137" i="17" s="1"/>
  <c r="X137" i="17" a="1"/>
  <c r="X137" i="17" s="1"/>
  <c r="Y137" i="17" s="1"/>
  <c r="V137" i="17" a="1"/>
  <c r="V137" i="17" s="1"/>
  <c r="R199" i="17" a="1"/>
  <c r="R199" i="17" s="1"/>
  <c r="T199" i="17" a="1"/>
  <c r="T199" i="17" s="1"/>
  <c r="N199" i="17" a="1"/>
  <c r="N199" i="17" s="1"/>
  <c r="X199" i="17" a="1"/>
  <c r="X199" i="17" s="1"/>
  <c r="Y199" i="17" s="1"/>
  <c r="Q199" i="17" s="1"/>
  <c r="W199" i="17" s="1"/>
  <c r="V199" i="17" a="1"/>
  <c r="V199" i="17" s="1"/>
  <c r="O199" i="17" a="1"/>
  <c r="O199" i="17" s="1"/>
  <c r="S199" i="17" a="1"/>
  <c r="S199" i="17" s="1"/>
  <c r="U199" i="17" a="1"/>
  <c r="U199" i="17" s="1"/>
  <c r="N82" i="17" a="1"/>
  <c r="N82" i="17" s="1"/>
  <c r="S82" i="17" a="1"/>
  <c r="S82" i="17" s="1"/>
  <c r="O82" i="17" a="1"/>
  <c r="O82" i="17" s="1"/>
  <c r="U82" i="17" a="1"/>
  <c r="U82" i="17" s="1"/>
  <c r="T82" i="17" a="1"/>
  <c r="T82" i="17" s="1"/>
  <c r="V82" i="17" a="1"/>
  <c r="V82" i="17" s="1"/>
  <c r="R82" i="17" a="1"/>
  <c r="R82" i="17" s="1"/>
  <c r="S55" i="17" a="1"/>
  <c r="S55" i="17" s="1"/>
  <c r="O55" i="17" a="1"/>
  <c r="O55" i="17" s="1"/>
  <c r="R55" i="17" a="1"/>
  <c r="R55" i="17" s="1"/>
  <c r="X55" i="17" a="1"/>
  <c r="X55" i="17" s="1"/>
  <c r="Y55" i="17" s="1"/>
  <c r="Q55" i="17" s="1"/>
  <c r="W55" i="17" s="1"/>
  <c r="T55" i="17" a="1"/>
  <c r="T55" i="17" s="1"/>
  <c r="V55" i="17" a="1"/>
  <c r="V55" i="17" s="1"/>
  <c r="U55" i="17" a="1"/>
  <c r="U55" i="17" s="1"/>
  <c r="O27" i="17" a="1"/>
  <c r="O27" i="17" s="1"/>
  <c r="N27" i="17" a="1"/>
  <c r="N27" i="17" s="1"/>
  <c r="R27" i="17" a="1"/>
  <c r="R27" i="17" s="1"/>
  <c r="U27" i="17" a="1"/>
  <c r="U27" i="17" s="1"/>
  <c r="V27" i="17" a="1"/>
  <c r="V27" i="17" s="1"/>
  <c r="S27" i="17" a="1"/>
  <c r="S27" i="17" s="1"/>
  <c r="X27" i="17" a="1"/>
  <c r="X27" i="17" s="1"/>
  <c r="Y27" i="17" s="1"/>
  <c r="Q27" i="17" s="1"/>
  <c r="W27" i="17" s="1"/>
  <c r="Y54" i="17"/>
  <c r="R131" i="17" a="1"/>
  <c r="R131" i="17" s="1"/>
  <c r="U182" i="17" a="1"/>
  <c r="U182" i="17" s="1"/>
  <c r="X87" i="17" a="1"/>
  <c r="X87" i="17" s="1"/>
  <c r="Y87" i="17" s="1"/>
  <c r="R75" i="17" a="1"/>
  <c r="R75" i="17" s="1"/>
  <c r="V183" i="17" a="1"/>
  <c r="V183" i="17" s="1"/>
  <c r="U61" i="17" a="1"/>
  <c r="U61" i="17" s="1"/>
  <c r="U127" i="17" a="1"/>
  <c r="U127" i="17" s="1"/>
  <c r="R189" i="17" a="1"/>
  <c r="R189" i="17" s="1"/>
  <c r="N55" i="17" a="1"/>
  <c r="N55" i="17" s="1"/>
  <c r="N70" i="17" a="1"/>
  <c r="N70" i="17" s="1"/>
  <c r="N32" i="17" a="1"/>
  <c r="N32" i="17" s="1"/>
  <c r="O178" i="17" a="1"/>
  <c r="O178" i="17" s="1"/>
  <c r="V35" i="17" a="1"/>
  <c r="V35" i="17" s="1"/>
  <c r="U12" i="17" a="1"/>
  <c r="U12" i="17" s="1"/>
  <c r="X171" i="17" a="1"/>
  <c r="X171" i="17" s="1"/>
  <c r="Y171" i="17" s="1"/>
  <c r="X50" i="17" a="1"/>
  <c r="X50" i="17" s="1"/>
  <c r="Y50" i="17" s="1"/>
  <c r="V210" i="17" a="1"/>
  <c r="V210" i="17" s="1"/>
  <c r="V34" i="17" a="1"/>
  <c r="V34" i="17" s="1"/>
  <c r="S124" i="17" a="1"/>
  <c r="S124" i="17" s="1"/>
  <c r="S22" i="17" a="1"/>
  <c r="S22" i="17" s="1"/>
  <c r="V115" i="17" a="1"/>
  <c r="V115" i="17" s="1"/>
  <c r="X118" i="17" a="1"/>
  <c r="X118" i="17" s="1"/>
  <c r="Y118" i="17" s="1"/>
  <c r="Q118" i="17" s="1"/>
  <c r="W118" i="17" s="1"/>
  <c r="R132" i="17" a="1"/>
  <c r="R132" i="17" s="1"/>
  <c r="T132" i="17" a="1"/>
  <c r="T132" i="17" s="1"/>
  <c r="T49" i="17" a="1"/>
  <c r="T49" i="17" s="1"/>
  <c r="U74" i="17" a="1"/>
  <c r="U74" i="17" s="1"/>
  <c r="R68" i="17" a="1"/>
  <c r="R68" i="17" s="1"/>
  <c r="T156" i="17" a="1"/>
  <c r="T156" i="17" s="1"/>
  <c r="T154" i="17" a="1"/>
  <c r="T154" i="17" s="1"/>
  <c r="S178" i="17" a="1"/>
  <c r="S178" i="17" s="1"/>
  <c r="U125" i="17" a="1"/>
  <c r="U125" i="17" s="1"/>
  <c r="R188" i="17" a="1"/>
  <c r="R188" i="17" s="1"/>
  <c r="X181" i="17" a="1"/>
  <c r="X181" i="17" s="1"/>
  <c r="Y181" i="17" s="1"/>
  <c r="U16" i="17" a="1"/>
  <c r="U16" i="17" s="1"/>
  <c r="U11" i="17" a="1"/>
  <c r="U11" i="17" s="1"/>
  <c r="X189" i="17" a="1"/>
  <c r="X189" i="17" s="1"/>
  <c r="X49" i="17" a="1"/>
  <c r="X49" i="17" s="1"/>
  <c r="X148" i="17" a="1"/>
  <c r="X148" i="17" s="1"/>
  <c r="Y148" i="17" s="1"/>
  <c r="X24" i="17" a="1"/>
  <c r="X24" i="17" s="1"/>
  <c r="Y24" i="17" s="1"/>
  <c r="V150" i="17" a="1"/>
  <c r="V150" i="17" s="1"/>
  <c r="T205" i="17" a="1"/>
  <c r="T205" i="17" s="1"/>
  <c r="S52" i="17" a="1"/>
  <c r="S52" i="17" s="1"/>
  <c r="O206" i="17" a="1"/>
  <c r="O206" i="17" s="1"/>
  <c r="O190" i="17" a="1"/>
  <c r="O190" i="17" s="1"/>
  <c r="O165" i="17" a="1"/>
  <c r="O165" i="17" s="1"/>
  <c r="U165" i="17" a="1"/>
  <c r="U165" i="17" s="1"/>
  <c r="V165" i="17" a="1"/>
  <c r="V165" i="17" s="1"/>
  <c r="N165" i="17" a="1"/>
  <c r="N165" i="17" s="1"/>
  <c r="X165" i="17" a="1"/>
  <c r="X165" i="17" s="1"/>
  <c r="Y165" i="17" s="1"/>
  <c r="Q165" i="17" s="1"/>
  <c r="W165" i="17" s="1"/>
  <c r="R165" i="17" a="1"/>
  <c r="R165" i="17" s="1"/>
  <c r="T165" i="17" a="1"/>
  <c r="T165" i="17" s="1"/>
  <c r="S165" i="17" a="1"/>
  <c r="S165" i="17" s="1"/>
  <c r="R138" i="17" a="1"/>
  <c r="R138" i="17" s="1"/>
  <c r="T138" i="17" a="1"/>
  <c r="T138" i="17" s="1"/>
  <c r="O138" i="17" a="1"/>
  <c r="O138" i="17" s="1"/>
  <c r="U138" i="17" a="1"/>
  <c r="U138" i="17" s="1"/>
  <c r="V138" i="17" a="1"/>
  <c r="V138" i="17" s="1"/>
  <c r="N138" i="17" a="1"/>
  <c r="N138" i="17" s="1"/>
  <c r="S138" i="17" a="1"/>
  <c r="S138" i="17" s="1"/>
  <c r="X138" i="17" a="1"/>
  <c r="X138" i="17" s="1"/>
  <c r="Y138" i="17" s="1"/>
  <c r="N110" i="17" a="1"/>
  <c r="N110" i="17" s="1"/>
  <c r="S110" i="17" a="1"/>
  <c r="S110" i="17" s="1"/>
  <c r="T110" i="17" a="1"/>
  <c r="T110" i="17" s="1"/>
  <c r="X110" i="17" a="1"/>
  <c r="X110" i="17" s="1"/>
  <c r="Y110" i="17" s="1"/>
  <c r="V110" i="17" a="1"/>
  <c r="V110" i="17" s="1"/>
  <c r="R110" i="17" a="1"/>
  <c r="R110" i="17" s="1"/>
  <c r="O110" i="17" a="1"/>
  <c r="O110" i="17" s="1"/>
  <c r="N83" i="17" a="1"/>
  <c r="N83" i="17" s="1"/>
  <c r="S83" i="17" a="1"/>
  <c r="S83" i="17" s="1"/>
  <c r="R83" i="17" a="1"/>
  <c r="R83" i="17" s="1"/>
  <c r="O83" i="17" a="1"/>
  <c r="O83" i="17" s="1"/>
  <c r="V83" i="17" a="1"/>
  <c r="V83" i="17" s="1"/>
  <c r="U83" i="17" a="1"/>
  <c r="U83" i="17" s="1"/>
  <c r="U190" i="17" a="1"/>
  <c r="U190" i="17" s="1"/>
  <c r="S190" i="17" a="1"/>
  <c r="S190" i="17" s="1"/>
  <c r="T190" i="17" a="1"/>
  <c r="T190" i="17" s="1"/>
  <c r="V190" i="17" a="1"/>
  <c r="V190" i="17" s="1"/>
  <c r="R190" i="17" a="1"/>
  <c r="R190" i="17" s="1"/>
  <c r="X190" i="17" a="1"/>
  <c r="X190" i="17" s="1"/>
  <c r="Y190" i="17" s="1"/>
  <c r="Q190" i="17" s="1"/>
  <c r="W190" i="17" s="1"/>
  <c r="N190" i="17" a="1"/>
  <c r="N190" i="17" s="1"/>
  <c r="O28" i="17" a="1"/>
  <c r="O28" i="17" s="1"/>
  <c r="N28" i="17" a="1"/>
  <c r="N28" i="17" s="1"/>
  <c r="S28" i="17" a="1"/>
  <c r="S28" i="17" s="1"/>
  <c r="R28" i="17" a="1"/>
  <c r="R28" i="17" s="1"/>
  <c r="U28" i="17" a="1"/>
  <c r="U28" i="17" s="1"/>
  <c r="V28" i="17" a="1"/>
  <c r="V28" i="17" s="1"/>
  <c r="T28" i="17" a="1"/>
  <c r="T28" i="17" s="1"/>
  <c r="X28" i="17" a="1"/>
  <c r="X28" i="17" s="1"/>
  <c r="Y28" i="17" s="1"/>
  <c r="O54" i="17" a="1"/>
  <c r="O54" i="17" s="1"/>
  <c r="O208" i="17" a="1"/>
  <c r="O208" i="17" s="1"/>
  <c r="N208" i="17" a="1"/>
  <c r="N208" i="17" s="1"/>
  <c r="X208" i="17" a="1"/>
  <c r="X208" i="17" s="1"/>
  <c r="Y208" i="17" s="1"/>
  <c r="S208" i="17" a="1"/>
  <c r="S208" i="17" s="1"/>
  <c r="V208" i="17" a="1"/>
  <c r="V208" i="17" s="1"/>
  <c r="U208" i="17" a="1"/>
  <c r="U208" i="17" s="1"/>
  <c r="R208" i="17" a="1"/>
  <c r="R208" i="17" s="1"/>
  <c r="T208" i="17" a="1"/>
  <c r="T208" i="17" s="1"/>
  <c r="O136" i="17" a="1"/>
  <c r="O136" i="17" s="1"/>
  <c r="N136" i="17" a="1"/>
  <c r="N136" i="17" s="1"/>
  <c r="T136" i="17" a="1"/>
  <c r="T136" i="17" s="1"/>
  <c r="R136" i="17" a="1"/>
  <c r="R136" i="17" s="1"/>
  <c r="V136" i="17" a="1"/>
  <c r="V136" i="17" s="1"/>
  <c r="X136" i="17" a="1"/>
  <c r="X136" i="17" s="1"/>
  <c r="Y136" i="17" s="1"/>
  <c r="Q136" i="17" s="1"/>
  <c r="W136" i="17" s="1"/>
  <c r="S136" i="17" a="1"/>
  <c r="S136" i="17" s="1"/>
  <c r="U136" i="17" a="1"/>
  <c r="U136" i="17" s="1"/>
  <c r="R109" i="17" a="1"/>
  <c r="R109" i="17" s="1"/>
  <c r="T109" i="17" a="1"/>
  <c r="T109" i="17" s="1"/>
  <c r="O109" i="17" a="1"/>
  <c r="O109" i="17" s="1"/>
  <c r="S109" i="17" a="1"/>
  <c r="S109" i="17" s="1"/>
  <c r="N109" i="17" a="1"/>
  <c r="N109" i="17" s="1"/>
  <c r="X109" i="17" a="1"/>
  <c r="X109" i="17" s="1"/>
  <c r="Y109" i="17" s="1"/>
  <c r="V109" i="17" a="1"/>
  <c r="V109" i="17" s="1"/>
  <c r="U109" i="17" a="1"/>
  <c r="U109" i="17" s="1"/>
  <c r="R81" i="17" a="1"/>
  <c r="R81" i="17" s="1"/>
  <c r="S81" i="17" a="1"/>
  <c r="S81" i="17" s="1"/>
  <c r="T81" i="17" a="1"/>
  <c r="T81" i="17" s="1"/>
  <c r="O81" i="17" a="1"/>
  <c r="O81" i="17" s="1"/>
  <c r="U81" i="17" a="1"/>
  <c r="U81" i="17" s="1"/>
  <c r="N81" i="17" a="1"/>
  <c r="N81" i="17" s="1"/>
  <c r="V81" i="17" a="1"/>
  <c r="V81" i="17" s="1"/>
  <c r="S54" i="17" a="1"/>
  <c r="S54" i="17" s="1"/>
  <c r="N54" i="17" a="1"/>
  <c r="N54" i="17" s="1"/>
  <c r="V54" i="17" a="1"/>
  <c r="V54" i="17" s="1"/>
  <c r="X54" i="17" a="1"/>
  <c r="X54" i="17" s="1"/>
  <c r="T54" i="17" a="1"/>
  <c r="T54" i="17" s="1"/>
  <c r="U54" i="17" a="1"/>
  <c r="U54" i="17" s="1"/>
  <c r="N26" i="17" a="1"/>
  <c r="N26" i="17" s="1"/>
  <c r="O26" i="17" a="1"/>
  <c r="O26" i="17" s="1"/>
  <c r="T26" i="17" a="1"/>
  <c r="T26" i="17" s="1"/>
  <c r="S26" i="17" a="1"/>
  <c r="S26" i="17" s="1"/>
  <c r="U26" i="17" a="1"/>
  <c r="U26" i="17" s="1"/>
  <c r="V26" i="17" a="1"/>
  <c r="V26" i="17" s="1"/>
  <c r="R26" i="17" a="1"/>
  <c r="R26" i="17" s="1"/>
  <c r="X26" i="17" a="1"/>
  <c r="X26" i="17" s="1"/>
  <c r="Y26" i="17" s="1"/>
  <c r="N162" i="17" a="1"/>
  <c r="N162" i="17" s="1"/>
  <c r="O162" i="17" a="1"/>
  <c r="O162" i="17" s="1"/>
  <c r="T162" i="17" a="1"/>
  <c r="T162" i="17" s="1"/>
  <c r="V162" i="17" a="1"/>
  <c r="V162" i="17" s="1"/>
  <c r="U162" i="17" a="1"/>
  <c r="U162" i="17" s="1"/>
  <c r="R162" i="17" a="1"/>
  <c r="R162" i="17" s="1"/>
  <c r="S162" i="17" a="1"/>
  <c r="S162" i="17" s="1"/>
  <c r="X162" i="17" a="1"/>
  <c r="X162" i="17" s="1"/>
  <c r="Y162" i="17" s="1"/>
  <c r="Q162" i="17" s="1"/>
  <c r="W162" i="17" s="1"/>
  <c r="R194" i="17" a="1"/>
  <c r="R194" i="17" s="1"/>
  <c r="T194" i="17" a="1"/>
  <c r="T194" i="17" s="1"/>
  <c r="O194" i="17" a="1"/>
  <c r="O194" i="17" s="1"/>
  <c r="S194" i="17" a="1"/>
  <c r="S194" i="17" s="1"/>
  <c r="N194" i="17" a="1"/>
  <c r="N194" i="17" s="1"/>
  <c r="V194" i="17" a="1"/>
  <c r="V194" i="17" s="1"/>
  <c r="U194" i="17" a="1"/>
  <c r="U194" i="17" s="1"/>
  <c r="X194" i="17" a="1"/>
  <c r="X194" i="17" s="1"/>
  <c r="Y194" i="17" s="1"/>
  <c r="N25" i="17" a="1"/>
  <c r="N25" i="17" s="1"/>
  <c r="T25" i="17" a="1"/>
  <c r="T25" i="17" s="1"/>
  <c r="O25" i="17" a="1"/>
  <c r="O25" i="17" s="1"/>
  <c r="U25" i="17" a="1"/>
  <c r="U25" i="17" s="1"/>
  <c r="R25" i="17" a="1"/>
  <c r="R25" i="17" s="1"/>
  <c r="S25" i="17" a="1"/>
  <c r="S25" i="17" s="1"/>
  <c r="V25" i="17" a="1"/>
  <c r="V25" i="17" s="1"/>
  <c r="X25" i="17" a="1"/>
  <c r="X25" i="17" s="1"/>
  <c r="Y25" i="17" s="1"/>
  <c r="S21" i="17" a="1"/>
  <c r="S21" i="17" s="1"/>
  <c r="N77" i="17" a="1"/>
  <c r="N77" i="17" s="1"/>
  <c r="T130" i="17" a="1"/>
  <c r="T130" i="17" s="1"/>
  <c r="U130" i="17" a="1"/>
  <c r="U130" i="17" s="1"/>
  <c r="N206" i="17" a="1"/>
  <c r="N206" i="17" s="1"/>
  <c r="X128" i="17" a="1"/>
  <c r="X128" i="17" s="1"/>
  <c r="Y128" i="17" s="1"/>
  <c r="N205" i="17" a="1"/>
  <c r="N205" i="17" s="1"/>
  <c r="U196" i="17" a="1"/>
  <c r="U196" i="17" s="1"/>
  <c r="U58" i="17" a="1"/>
  <c r="U58" i="17" s="1"/>
  <c r="V43" i="17" a="1"/>
  <c r="V43" i="17" s="1"/>
  <c r="X97" i="17" a="1"/>
  <c r="X97" i="17" s="1"/>
  <c r="Y97" i="17" s="1"/>
  <c r="S68" i="17" a="1"/>
  <c r="S68" i="17" s="1"/>
  <c r="S125" i="17" a="1"/>
  <c r="S125" i="17" s="1"/>
  <c r="X170" i="17" a="1"/>
  <c r="X170" i="17" s="1"/>
  <c r="Y170" i="17" s="1"/>
  <c r="O155" i="17" a="1"/>
  <c r="O155" i="17" s="1"/>
  <c r="T145" i="17" a="1"/>
  <c r="T145" i="17" s="1"/>
  <c r="X23" i="17" a="1"/>
  <c r="X23" i="17" s="1"/>
  <c r="Y23" i="17" s="1"/>
  <c r="T204" i="17" a="1"/>
  <c r="T204" i="17" s="1"/>
  <c r="S51" i="17" a="1"/>
  <c r="S51" i="17" s="1"/>
  <c r="O149" i="17" a="1"/>
  <c r="O149" i="17" s="1"/>
  <c r="X119" i="17" a="1"/>
  <c r="X119" i="17" s="1"/>
  <c r="Y119" i="17" s="1"/>
  <c r="R134" i="17" a="1"/>
  <c r="R134" i="17" s="1"/>
  <c r="N163" i="17" a="1"/>
  <c r="N163" i="17" s="1"/>
  <c r="O163" i="17" a="1"/>
  <c r="O163" i="17" s="1"/>
  <c r="S163" i="17" a="1"/>
  <c r="S163" i="17" s="1"/>
  <c r="V163" i="17" a="1"/>
  <c r="V163" i="17" s="1"/>
  <c r="U163" i="17" a="1"/>
  <c r="U163" i="17" s="1"/>
  <c r="R163" i="17" a="1"/>
  <c r="R163" i="17" s="1"/>
  <c r="X163" i="17" a="1"/>
  <c r="X163" i="17" s="1"/>
  <c r="Y163" i="17" s="1"/>
  <c r="T163" i="17" a="1"/>
  <c r="T163" i="17" s="1"/>
  <c r="O135" i="17" a="1"/>
  <c r="O135" i="17" s="1"/>
  <c r="S135" i="17" a="1"/>
  <c r="S135" i="17" s="1"/>
  <c r="N135" i="17" a="1"/>
  <c r="N135" i="17" s="1"/>
  <c r="R135" i="17" a="1"/>
  <c r="R135" i="17" s="1"/>
  <c r="T135" i="17" a="1"/>
  <c r="T135" i="17" s="1"/>
  <c r="U135" i="17" a="1"/>
  <c r="U135" i="17" s="1"/>
  <c r="V135" i="17" a="1"/>
  <c r="V135" i="17" s="1"/>
  <c r="X135" i="17" a="1"/>
  <c r="X135" i="17" s="1"/>
  <c r="Y135" i="17" s="1"/>
  <c r="T108" i="17" a="1"/>
  <c r="T108" i="17" s="1"/>
  <c r="N108" i="17" a="1"/>
  <c r="N108" i="17" s="1"/>
  <c r="R108" i="17" a="1"/>
  <c r="R108" i="17" s="1"/>
  <c r="O108" i="17" a="1"/>
  <c r="O108" i="17" s="1"/>
  <c r="S108" i="17" a="1"/>
  <c r="S108" i="17" s="1"/>
  <c r="X108" i="17" a="1"/>
  <c r="X108" i="17" s="1"/>
  <c r="Y108" i="17" s="1"/>
  <c r="Q108" i="17" s="1"/>
  <c r="W108" i="17" s="1"/>
  <c r="V108" i="17" a="1"/>
  <c r="V108" i="17" s="1"/>
  <c r="U108" i="17" a="1"/>
  <c r="U108" i="17" s="1"/>
  <c r="T80" i="17" a="1"/>
  <c r="T80" i="17" s="1"/>
  <c r="O80" i="17" a="1"/>
  <c r="O80" i="17" s="1"/>
  <c r="R80" i="17" a="1"/>
  <c r="R80" i="17" s="1"/>
  <c r="S80" i="17" a="1"/>
  <c r="S80" i="17" s="1"/>
  <c r="N80" i="17" a="1"/>
  <c r="N80" i="17" s="1"/>
  <c r="U80" i="17" a="1"/>
  <c r="U80" i="17" s="1"/>
  <c r="X80" i="17" a="1"/>
  <c r="X80" i="17" s="1"/>
  <c r="Y80" i="17" s="1"/>
  <c r="Q80" i="17" s="1"/>
  <c r="W80" i="17" s="1"/>
  <c r="V80" i="17" a="1"/>
  <c r="V80" i="17" s="1"/>
  <c r="O53" i="17" a="1"/>
  <c r="O53" i="17" s="1"/>
  <c r="S53" i="17" a="1"/>
  <c r="S53" i="17" s="1"/>
  <c r="V53" i="17" a="1"/>
  <c r="V53" i="17" s="1"/>
  <c r="R53" i="17" a="1"/>
  <c r="R53" i="17" s="1"/>
  <c r="N53" i="17" a="1"/>
  <c r="N53" i="17" s="1"/>
  <c r="X53" i="17" a="1"/>
  <c r="X53" i="17" s="1"/>
  <c r="Y53" i="17" s="1"/>
  <c r="T53" i="17" a="1"/>
  <c r="T53" i="17" s="1"/>
  <c r="U53" i="17" a="1"/>
  <c r="U53" i="17" s="1"/>
  <c r="O185" i="17" a="1"/>
  <c r="O185" i="17" s="1"/>
  <c r="U185" i="17" a="1"/>
  <c r="U185" i="17" s="1"/>
  <c r="T185" i="17" a="1"/>
  <c r="T185" i="17" s="1"/>
  <c r="S185" i="17" a="1"/>
  <c r="S185" i="17" s="1"/>
  <c r="N185" i="17" a="1"/>
  <c r="N185" i="17" s="1"/>
  <c r="V185" i="17" a="1"/>
  <c r="V185" i="17" s="1"/>
  <c r="R185" i="17" a="1"/>
  <c r="R185" i="17" s="1"/>
  <c r="X185" i="17" a="1"/>
  <c r="X185" i="17" s="1"/>
  <c r="Y185" i="17" s="1"/>
  <c r="X117" i="17" a="1"/>
  <c r="X117" i="17" s="1"/>
  <c r="Y117" i="17" s="1"/>
  <c r="T83" i="17" a="1"/>
  <c r="T83" i="17" s="1"/>
  <c r="O159" i="17" a="1"/>
  <c r="O159" i="17" s="1"/>
  <c r="N76" i="17" a="1"/>
  <c r="N76" i="17" s="1"/>
  <c r="R69" i="17" a="1"/>
  <c r="R69" i="17" s="1"/>
  <c r="X129" i="17" a="1"/>
  <c r="X129" i="17" s="1"/>
  <c r="Y129" i="17" s="1"/>
  <c r="T65" i="17" a="1"/>
  <c r="T65" i="17" s="1"/>
  <c r="O211" i="17" a="1"/>
  <c r="O211" i="17" s="1"/>
  <c r="U60" i="17" a="1"/>
  <c r="U60" i="17" s="1"/>
  <c r="X152" i="17" a="1"/>
  <c r="X152" i="17" s="1"/>
  <c r="Y152" i="17" s="1"/>
  <c r="S177" i="17" a="1"/>
  <c r="S177" i="17" s="1"/>
  <c r="U150" i="17" a="1"/>
  <c r="U150" i="17" s="1"/>
  <c r="V122" i="17" a="1"/>
  <c r="V122" i="17" s="1"/>
  <c r="X201" i="17" a="1"/>
  <c r="X201" i="17" s="1"/>
  <c r="Y201" i="17" s="1"/>
  <c r="V175" i="17" a="1"/>
  <c r="V175" i="17" s="1"/>
  <c r="S200" i="17" a="1"/>
  <c r="S200" i="17" s="1"/>
  <c r="U159" i="17" a="1"/>
  <c r="U159" i="17" s="1"/>
  <c r="V148" i="17" a="1"/>
  <c r="V148" i="17" s="1"/>
  <c r="S50" i="17" a="1"/>
  <c r="S50" i="17" s="1"/>
  <c r="O148" i="17" a="1"/>
  <c r="O148" i="17" s="1"/>
  <c r="O166" i="17" a="1"/>
  <c r="O166" i="17" s="1"/>
  <c r="N166" i="17" a="1"/>
  <c r="N166" i="17" s="1"/>
  <c r="T166" i="17" a="1"/>
  <c r="T166" i="17" s="1"/>
  <c r="V166" i="17" a="1"/>
  <c r="V166" i="17" s="1"/>
  <c r="U166" i="17" a="1"/>
  <c r="U166" i="17" s="1"/>
  <c r="R166" i="17" a="1"/>
  <c r="R166" i="17" s="1"/>
  <c r="X166" i="17" a="1"/>
  <c r="X166" i="17" s="1"/>
  <c r="Y166" i="17" s="1"/>
  <c r="S166" i="17" a="1"/>
  <c r="S166" i="17" s="1"/>
  <c r="R139" i="17" a="1"/>
  <c r="R139" i="17" s="1"/>
  <c r="U139" i="17" a="1"/>
  <c r="U139" i="17" s="1"/>
  <c r="N139" i="17" a="1"/>
  <c r="N139" i="17" s="1"/>
  <c r="O139" i="17" a="1"/>
  <c r="O139" i="17" s="1"/>
  <c r="S139" i="17" a="1"/>
  <c r="S139" i="17" s="1"/>
  <c r="T139" i="17" a="1"/>
  <c r="T139" i="17" s="1"/>
  <c r="V139" i="17" a="1"/>
  <c r="V139" i="17" s="1"/>
  <c r="X139" i="17" a="1"/>
  <c r="X139" i="17" s="1"/>
  <c r="Y139" i="17" s="1"/>
  <c r="R111" i="17" a="1"/>
  <c r="R111" i="17" s="1"/>
  <c r="N111" i="17" a="1"/>
  <c r="N111" i="17" s="1"/>
  <c r="O111" i="17" a="1"/>
  <c r="O111" i="17" s="1"/>
  <c r="S111" i="17" a="1"/>
  <c r="S111" i="17" s="1"/>
  <c r="X111" i="17" a="1"/>
  <c r="X111" i="17" s="1"/>
  <c r="Y111" i="17" s="1"/>
  <c r="Q111" i="17" s="1"/>
  <c r="W111" i="17" s="1"/>
  <c r="T111" i="17" a="1"/>
  <c r="T111" i="17" s="1"/>
  <c r="V111" i="17" a="1"/>
  <c r="V111" i="17" s="1"/>
  <c r="R84" i="17" a="1"/>
  <c r="R84" i="17" s="1"/>
  <c r="U84" i="17" a="1"/>
  <c r="U84" i="17" s="1"/>
  <c r="N84" i="17" a="1"/>
  <c r="N84" i="17" s="1"/>
  <c r="O84" i="17" a="1"/>
  <c r="O84" i="17" s="1"/>
  <c r="V84" i="17" a="1"/>
  <c r="V84" i="17" s="1"/>
  <c r="S84" i="17" a="1"/>
  <c r="S84" i="17" s="1"/>
  <c r="N56" i="17" a="1"/>
  <c r="N56" i="17" s="1"/>
  <c r="U56" i="17" a="1"/>
  <c r="U56" i="17" s="1"/>
  <c r="R56" i="17" a="1"/>
  <c r="R56" i="17" s="1"/>
  <c r="T56" i="17" a="1"/>
  <c r="T56" i="17" s="1"/>
  <c r="S56" i="17" a="1"/>
  <c r="S56" i="17" s="1"/>
  <c r="V56" i="17" a="1"/>
  <c r="V56" i="17" s="1"/>
  <c r="X56" i="17" a="1"/>
  <c r="X56" i="17" s="1"/>
  <c r="Y56" i="17" s="1"/>
  <c r="S29" i="17" a="1"/>
  <c r="S29" i="17" s="1"/>
  <c r="O29" i="17" a="1"/>
  <c r="O29" i="17" s="1"/>
  <c r="N29" i="17" a="1"/>
  <c r="N29" i="17" s="1"/>
  <c r="V29" i="17" a="1"/>
  <c r="V29" i="17" s="1"/>
  <c r="T29" i="17" a="1"/>
  <c r="T29" i="17" s="1"/>
  <c r="U29" i="17" a="1"/>
  <c r="U29" i="17" s="1"/>
  <c r="R29" i="17" a="1"/>
  <c r="R29" i="17" s="1"/>
  <c r="X29" i="17" a="1"/>
  <c r="X29" i="17" s="1"/>
  <c r="Y29" i="17" s="1"/>
  <c r="U201" i="17" a="1"/>
  <c r="U201" i="17" s="1"/>
  <c r="T195" i="17" a="1"/>
  <c r="T195" i="17" s="1"/>
  <c r="V114" i="17" a="1"/>
  <c r="V114" i="17" s="1"/>
  <c r="T84" i="17" a="1"/>
  <c r="T84" i="17" s="1"/>
  <c r="O134" i="17" a="1"/>
  <c r="O134" i="17" s="1"/>
  <c r="N134" i="17" a="1"/>
  <c r="N134" i="17" s="1"/>
  <c r="S134" i="17" a="1"/>
  <c r="S134" i="17" s="1"/>
  <c r="X134" i="17" a="1"/>
  <c r="X134" i="17" s="1"/>
  <c r="Y134" i="17" s="1"/>
  <c r="Q134" i="17" s="1"/>
  <c r="W134" i="17" s="1"/>
  <c r="U134" i="17" a="1"/>
  <c r="U134" i="17" s="1"/>
  <c r="V134" i="17" a="1"/>
  <c r="V134" i="17" s="1"/>
  <c r="T107" i="17" a="1"/>
  <c r="T107" i="17" s="1"/>
  <c r="U107" i="17" a="1"/>
  <c r="U107" i="17" s="1"/>
  <c r="X107" i="17" a="1"/>
  <c r="X107" i="17" s="1"/>
  <c r="Y107" i="17" s="1"/>
  <c r="V107" i="17" a="1"/>
  <c r="V107" i="17" s="1"/>
  <c r="N107" i="17" a="1"/>
  <c r="N107" i="17" s="1"/>
  <c r="R107" i="17" a="1"/>
  <c r="R107" i="17" s="1"/>
  <c r="S107" i="17" a="1"/>
  <c r="S107" i="17" s="1"/>
  <c r="O107" i="17" a="1"/>
  <c r="O107" i="17" s="1"/>
  <c r="T52" i="17" a="1"/>
  <c r="T52" i="17" s="1"/>
  <c r="O52" i="17" a="1"/>
  <c r="O52" i="17" s="1"/>
  <c r="N52" i="17" a="1"/>
  <c r="N52" i="17" s="1"/>
  <c r="R52" i="17" a="1"/>
  <c r="R52" i="17" s="1"/>
  <c r="U52" i="17" a="1"/>
  <c r="U52" i="17" s="1"/>
  <c r="V52" i="17" a="1"/>
  <c r="V52" i="17" s="1"/>
  <c r="X78" i="17" a="1"/>
  <c r="X78" i="17" s="1"/>
  <c r="Y78" i="17" s="1"/>
  <c r="X104" i="17" a="1"/>
  <c r="X104" i="17" s="1"/>
  <c r="Y104" i="17" s="1"/>
  <c r="X198" i="17" a="1"/>
  <c r="X198" i="17" s="1"/>
  <c r="Y198" i="17" s="1"/>
  <c r="N152" i="17" a="1"/>
  <c r="N152" i="17" s="1"/>
  <c r="U191" i="17" a="1"/>
  <c r="U191" i="17" s="1"/>
  <c r="T27" i="17" a="1"/>
  <c r="T27" i="17" s="1"/>
  <c r="R191" i="17" a="1"/>
  <c r="R191" i="17" s="1"/>
  <c r="V73" i="17" a="1"/>
  <c r="V73" i="17" s="1"/>
  <c r="V66" i="17" a="1"/>
  <c r="V66" i="17" s="1"/>
  <c r="T188" i="17" a="1"/>
  <c r="T188" i="17" s="1"/>
  <c r="X82" i="17" a="1"/>
  <c r="X82" i="17" s="1"/>
  <c r="U40" i="17" a="1"/>
  <c r="U40" i="17" s="1"/>
  <c r="X81" i="17" a="1"/>
  <c r="X81" i="17" s="1"/>
  <c r="Y81" i="17" s="1"/>
  <c r="X206" i="17" a="1"/>
  <c r="X206" i="17" s="1"/>
  <c r="Y206" i="17" s="1"/>
  <c r="Q206" i="17" s="1"/>
  <c r="W206" i="17" s="1"/>
  <c r="S202" i="17" a="1"/>
  <c r="S202" i="17" s="1"/>
  <c r="V9" i="17" a="1"/>
  <c r="V9" i="17" s="1"/>
  <c r="S123" i="17" a="1"/>
  <c r="S123" i="17" s="1"/>
  <c r="U10" i="17" a="1"/>
  <c r="U10" i="17" s="1"/>
  <c r="V149" i="17" a="1"/>
  <c r="V149" i="17" s="1"/>
  <c r="X22" i="17" a="1"/>
  <c r="X22" i="17" s="1"/>
  <c r="Y22" i="17" s="1"/>
  <c r="X146" i="17" a="1"/>
  <c r="X146" i="17" s="1"/>
  <c r="Y146" i="17" s="1"/>
  <c r="V141" i="17" a="1"/>
  <c r="V141" i="17" s="1"/>
  <c r="T88" i="17" a="1"/>
  <c r="T88" i="17" s="1"/>
  <c r="U120" i="17" a="1"/>
  <c r="U120" i="17" s="1"/>
  <c r="V113" i="17" a="1"/>
  <c r="V113" i="17" s="1"/>
  <c r="N161" i="17" a="1"/>
  <c r="N161" i="17" s="1"/>
  <c r="R161" i="17" a="1"/>
  <c r="R161" i="17" s="1"/>
  <c r="S161" i="17" a="1"/>
  <c r="S161" i="17" s="1"/>
  <c r="O161" i="17" a="1"/>
  <c r="O161" i="17" s="1"/>
  <c r="U161" i="17" a="1"/>
  <c r="U161" i="17" s="1"/>
  <c r="V161" i="17" a="1"/>
  <c r="V161" i="17" s="1"/>
  <c r="X161" i="17" a="1"/>
  <c r="X161" i="17" s="1"/>
  <c r="Y161" i="17" s="1"/>
  <c r="T161" i="17" a="1"/>
  <c r="T161" i="17" s="1"/>
  <c r="O203" i="17" a="1"/>
  <c r="O203" i="17" s="1"/>
  <c r="N203" i="17" a="1"/>
  <c r="N203" i="17" s="1"/>
  <c r="S203" i="17" a="1"/>
  <c r="S203" i="17" s="1"/>
  <c r="U203" i="17" a="1"/>
  <c r="U203" i="17" s="1"/>
  <c r="X203" i="17" a="1"/>
  <c r="X203" i="17" s="1"/>
  <c r="Y203" i="17" s="1"/>
  <c r="V203" i="17" a="1"/>
  <c r="V203" i="17" s="1"/>
  <c r="O106" i="17" a="1"/>
  <c r="O106" i="17" s="1"/>
  <c r="N106" i="17" a="1"/>
  <c r="N106" i="17" s="1"/>
  <c r="X106" i="17" a="1"/>
  <c r="X106" i="17" s="1"/>
  <c r="Y106" i="17" s="1"/>
  <c r="Q106" i="17" s="1"/>
  <c r="W106" i="17" s="1"/>
  <c r="U106" i="17" a="1"/>
  <c r="U106" i="17" s="1"/>
  <c r="R106" i="17" a="1"/>
  <c r="R106" i="17" s="1"/>
  <c r="V106" i="17" a="1"/>
  <c r="V106" i="17" s="1"/>
  <c r="T106" i="17" a="1"/>
  <c r="T106" i="17" s="1"/>
  <c r="S106" i="17" a="1"/>
  <c r="S106" i="17" s="1"/>
  <c r="R79" i="17" a="1"/>
  <c r="R79" i="17" s="1"/>
  <c r="O79" i="17" a="1"/>
  <c r="O79" i="17" s="1"/>
  <c r="S79" i="17" a="1"/>
  <c r="S79" i="17" s="1"/>
  <c r="N79" i="17" a="1"/>
  <c r="N79" i="17" s="1"/>
  <c r="V79" i="17" a="1"/>
  <c r="V79" i="17" s="1"/>
  <c r="X79" i="17" a="1"/>
  <c r="X79" i="17" s="1"/>
  <c r="Y79" i="17" s="1"/>
  <c r="U79" i="17" a="1"/>
  <c r="U79" i="17" s="1"/>
  <c r="R51" i="17" a="1"/>
  <c r="R51" i="17" s="1"/>
  <c r="T51" i="17" a="1"/>
  <c r="T51" i="17" s="1"/>
  <c r="O51" i="17" a="1"/>
  <c r="O51" i="17" s="1"/>
  <c r="N51" i="17" a="1"/>
  <c r="N51" i="17" s="1"/>
  <c r="U51" i="17" a="1"/>
  <c r="U51" i="17" s="1"/>
  <c r="V51" i="17" a="1"/>
  <c r="V51" i="17" s="1"/>
  <c r="O24" i="17" a="1"/>
  <c r="O24" i="17" s="1"/>
  <c r="T24" i="17" a="1"/>
  <c r="T24" i="17" s="1"/>
  <c r="R24" i="17" a="1"/>
  <c r="R24" i="17" s="1"/>
  <c r="S24" i="17" a="1"/>
  <c r="S24" i="17" s="1"/>
  <c r="U24" i="17" a="1"/>
  <c r="U24" i="17" s="1"/>
  <c r="V24" i="17" a="1"/>
  <c r="V24" i="17" s="1"/>
  <c r="N24" i="17" a="1"/>
  <c r="N24" i="17" s="1"/>
  <c r="N153" i="17" a="1"/>
  <c r="N153" i="17" s="1"/>
  <c r="U131" i="17" a="1"/>
  <c r="U131" i="17" s="1"/>
  <c r="V75" i="17" a="1"/>
  <c r="V75" i="17" s="1"/>
  <c r="N17" i="17" a="1"/>
  <c r="N17" i="17" s="1"/>
  <c r="V74" i="17" a="1"/>
  <c r="V74" i="17" s="1"/>
  <c r="N146" i="17" a="1"/>
  <c r="N146" i="17" s="1"/>
  <c r="X83" i="17" a="1"/>
  <c r="X83" i="17" s="1"/>
  <c r="Y83" i="17" s="1"/>
  <c r="Q83" i="17" s="1"/>
  <c r="W83" i="17" s="1"/>
  <c r="X99" i="17" a="1"/>
  <c r="X99" i="17" s="1"/>
  <c r="Y99" i="17" s="1"/>
  <c r="N47" i="17" a="1"/>
  <c r="N47" i="17" s="1"/>
  <c r="V65" i="17" a="1"/>
  <c r="V65" i="17" s="1"/>
  <c r="N69" i="17" a="1"/>
  <c r="N69" i="17" s="1"/>
  <c r="V94" i="17" a="1"/>
  <c r="V94" i="17" s="1"/>
  <c r="X175" i="17" a="1"/>
  <c r="X175" i="17" s="1"/>
  <c r="Y175" i="17" s="1"/>
  <c r="V31" i="17" a="1"/>
  <c r="V31" i="17" s="1"/>
  <c r="U8" i="17" a="1"/>
  <c r="U8" i="17" s="1"/>
  <c r="X147" i="17" a="1"/>
  <c r="X147" i="17" s="1"/>
  <c r="Y147" i="17" s="1"/>
  <c r="U158" i="17" a="1"/>
  <c r="U158" i="17" s="1"/>
  <c r="T134" i="17" a="1"/>
  <c r="T134" i="17" s="1"/>
  <c r="Y156" i="17"/>
  <c r="V205" i="17" a="1"/>
  <c r="V205" i="17" s="1"/>
  <c r="U207" i="17" a="1"/>
  <c r="U207" i="17" s="1"/>
  <c r="T203" i="17" a="1"/>
  <c r="T203" i="17" s="1"/>
  <c r="O56" i="17" a="1"/>
  <c r="O56" i="17" s="1"/>
  <c r="V140" i="17" a="1"/>
  <c r="V140" i="17" s="1"/>
  <c r="X47" i="17" a="1"/>
  <c r="X47" i="17" s="1"/>
  <c r="Y47" i="17" s="1"/>
  <c r="O32" i="17" a="1"/>
  <c r="O32" i="17" s="1"/>
  <c r="V204" i="17" a="1"/>
  <c r="V204" i="17" s="1"/>
  <c r="X46" i="17" a="1"/>
  <c r="X46" i="17" s="1"/>
  <c r="Y46" i="17" s="1"/>
  <c r="O186" i="17" a="1"/>
  <c r="O186" i="17" s="1"/>
  <c r="X7" i="17" a="1"/>
  <c r="X7" i="17" s="1"/>
  <c r="Y7" i="17" s="1"/>
  <c r="Q7" i="17" s="1"/>
  <c r="W7" i="17" s="1"/>
  <c r="N16" i="17" a="1"/>
  <c r="N16" i="17" s="1"/>
  <c r="R155" i="17" a="1"/>
  <c r="R155" i="17" s="1"/>
  <c r="S155" i="17" a="1"/>
  <c r="S155" i="17" s="1"/>
  <c r="T155" i="17" a="1"/>
  <c r="T155" i="17" s="1"/>
  <c r="V155" i="17" a="1"/>
  <c r="V155" i="17" s="1"/>
  <c r="X155" i="17" a="1"/>
  <c r="X155" i="17" s="1"/>
  <c r="Y155" i="17" s="1"/>
  <c r="U202" i="17" a="1"/>
  <c r="U202" i="17" s="1"/>
  <c r="R202" i="17" a="1"/>
  <c r="R202" i="17" s="1"/>
  <c r="T202" i="17" a="1"/>
  <c r="T202" i="17" s="1"/>
  <c r="V202" i="17" a="1"/>
  <c r="V202" i="17" s="1"/>
  <c r="N202" i="17" a="1"/>
  <c r="N202" i="17" s="1"/>
  <c r="O202" i="17" a="1"/>
  <c r="O202" i="17" s="1"/>
  <c r="N100" i="17" a="1"/>
  <c r="N100" i="17" s="1"/>
  <c r="S100" i="17" a="1"/>
  <c r="S100" i="17" s="1"/>
  <c r="O100" i="17" a="1"/>
  <c r="O100" i="17" s="1"/>
  <c r="U100" i="17" a="1"/>
  <c r="U100" i="17" s="1"/>
  <c r="R100" i="17" a="1"/>
  <c r="R100" i="17" s="1"/>
  <c r="V100" i="17" a="1"/>
  <c r="V100" i="17" s="1"/>
  <c r="T100" i="17" a="1"/>
  <c r="T100" i="17" s="1"/>
  <c r="S73" i="17" a="1"/>
  <c r="S73" i="17" s="1"/>
  <c r="N73" i="17" a="1"/>
  <c r="N73" i="17" s="1"/>
  <c r="U73" i="17" a="1"/>
  <c r="U73" i="17" s="1"/>
  <c r="T73" i="17" a="1"/>
  <c r="T73" i="17" s="1"/>
  <c r="X73" i="17" a="1"/>
  <c r="X73" i="17" s="1"/>
  <c r="Y73" i="17" s="1"/>
  <c r="Q73" i="17" s="1"/>
  <c r="W73" i="17" s="1"/>
  <c r="O73" i="17" a="1"/>
  <c r="O73" i="17" s="1"/>
  <c r="S45" i="17" a="1"/>
  <c r="S45" i="17" s="1"/>
  <c r="R45" i="17" a="1"/>
  <c r="R45" i="17" s="1"/>
  <c r="N45" i="17" a="1"/>
  <c r="N45" i="17" s="1"/>
  <c r="V45" i="17" a="1"/>
  <c r="V45" i="17" s="1"/>
  <c r="T45" i="17" a="1"/>
  <c r="T45" i="17" s="1"/>
  <c r="X45" i="17" a="1"/>
  <c r="X45" i="17" s="1"/>
  <c r="Y45" i="17" s="1"/>
  <c r="O45" i="17" a="1"/>
  <c r="O45" i="17" s="1"/>
  <c r="U45" i="17" a="1"/>
  <c r="U45" i="17" s="1"/>
  <c r="V18" i="17" a="1"/>
  <c r="V18" i="17" s="1"/>
  <c r="T18" i="17" a="1"/>
  <c r="T18" i="17" s="1"/>
  <c r="S18" i="17" a="1"/>
  <c r="S18" i="17" s="1"/>
  <c r="O18" i="17" a="1"/>
  <c r="O18" i="17" s="1"/>
  <c r="R18" i="17" a="1"/>
  <c r="R18" i="17" s="1"/>
  <c r="X18" i="17" a="1"/>
  <c r="X18" i="17" s="1"/>
  <c r="Y18" i="17" s="1"/>
  <c r="X77" i="17" a="1"/>
  <c r="X77" i="17" s="1"/>
  <c r="Y77" i="17" s="1"/>
  <c r="T169" i="17" a="1"/>
  <c r="T169" i="17" s="1"/>
  <c r="X6" i="17" a="1"/>
  <c r="X6" i="17" s="1"/>
  <c r="Y6" i="17" s="1"/>
  <c r="N197" i="17" a="1"/>
  <c r="N197" i="17" s="1"/>
  <c r="Y17" i="17"/>
  <c r="R153" i="17" a="1"/>
  <c r="R153" i="17" s="1"/>
  <c r="O153" i="17" a="1"/>
  <c r="O153" i="17" s="1"/>
  <c r="S153" i="17" a="1"/>
  <c r="S153" i="17" s="1"/>
  <c r="T153" i="17" a="1"/>
  <c r="T153" i="17" s="1"/>
  <c r="X153" i="17" a="1"/>
  <c r="X153" i="17" s="1"/>
  <c r="Y153" i="17" s="1"/>
  <c r="S98" i="17" a="1"/>
  <c r="S98" i="17" s="1"/>
  <c r="U98" i="17" a="1"/>
  <c r="U98" i="17" s="1"/>
  <c r="R98" i="17" a="1"/>
  <c r="R98" i="17" s="1"/>
  <c r="N98" i="17" a="1"/>
  <c r="N98" i="17" s="1"/>
  <c r="T98" i="17" a="1"/>
  <c r="T98" i="17" s="1"/>
  <c r="R16" i="17" a="1"/>
  <c r="R16" i="17" s="1"/>
  <c r="S16" i="17" a="1"/>
  <c r="S16" i="17" s="1"/>
  <c r="O16" i="17" a="1"/>
  <c r="O16" i="17" s="1"/>
  <c r="V16" i="17" a="1"/>
  <c r="V16" i="17" s="1"/>
  <c r="T16" i="17" a="1"/>
  <c r="T16" i="17" s="1"/>
  <c r="X16" i="17" a="1"/>
  <c r="X16" i="17" s="1"/>
  <c r="T116" i="17" a="1"/>
  <c r="T116" i="17" s="1"/>
  <c r="S87" i="17" a="1"/>
  <c r="S87" i="17" s="1"/>
  <c r="U89" i="17" a="1"/>
  <c r="U89" i="17" s="1"/>
  <c r="U39" i="17" a="1"/>
  <c r="U39" i="17" s="1"/>
  <c r="R192" i="17" a="1"/>
  <c r="R192" i="17" s="1"/>
  <c r="S192" i="17" a="1"/>
  <c r="S192" i="17" s="1"/>
  <c r="X192" i="17" a="1"/>
  <c r="X192" i="17" s="1"/>
  <c r="Y192" i="17" s="1"/>
  <c r="N192" i="17" a="1"/>
  <c r="N192" i="17" s="1"/>
  <c r="O192" i="17" a="1"/>
  <c r="O192" i="17" s="1"/>
  <c r="U192" i="17" a="1"/>
  <c r="U192" i="17" s="1"/>
  <c r="T192" i="17" a="1"/>
  <c r="T192" i="17" s="1"/>
  <c r="V192" i="17" a="1"/>
  <c r="V192" i="17" s="1"/>
  <c r="S169" i="17" a="1"/>
  <c r="S169" i="17" s="1"/>
  <c r="R176" i="17" a="1"/>
  <c r="R176" i="17" s="1"/>
  <c r="T176" i="17" a="1"/>
  <c r="T176" i="17" s="1"/>
  <c r="N176" i="17" a="1"/>
  <c r="N176" i="17" s="1"/>
  <c r="V176" i="17" a="1"/>
  <c r="V176" i="17" s="1"/>
  <c r="X176" i="17" a="1"/>
  <c r="X176" i="17" s="1"/>
  <c r="Y176" i="17" s="1"/>
  <c r="N149" i="17" a="1"/>
  <c r="N149" i="17" s="1"/>
  <c r="R149" i="17" a="1"/>
  <c r="R149" i="17" s="1"/>
  <c r="U149" i="17" a="1"/>
  <c r="U149" i="17" s="1"/>
  <c r="X149" i="17" a="1"/>
  <c r="X149" i="17" s="1"/>
  <c r="Y149" i="17" s="1"/>
  <c r="Q149" i="17" s="1"/>
  <c r="W149" i="17" s="1"/>
  <c r="T149" i="17" a="1"/>
  <c r="T149" i="17" s="1"/>
  <c r="S149" i="17" a="1"/>
  <c r="S149" i="17" s="1"/>
  <c r="T94" i="17" a="1"/>
  <c r="T94" i="17" s="1"/>
  <c r="S94" i="17" a="1"/>
  <c r="S94" i="17" s="1"/>
  <c r="X94" i="17" a="1"/>
  <c r="X94" i="17" s="1"/>
  <c r="Y94" i="17" s="1"/>
  <c r="R94" i="17" a="1"/>
  <c r="R94" i="17" s="1"/>
  <c r="U94" i="17" a="1"/>
  <c r="U94" i="17" s="1"/>
  <c r="N12" i="17" a="1"/>
  <c r="N12" i="17" s="1"/>
  <c r="S12" i="17" a="1"/>
  <c r="S12" i="17" s="1"/>
  <c r="R12" i="17" a="1"/>
  <c r="R12" i="17" s="1"/>
  <c r="X91" i="17" a="1"/>
  <c r="X91" i="17" s="1"/>
  <c r="Y91" i="17" s="1"/>
  <c r="Q91" i="17" s="1"/>
  <c r="W91" i="17" s="1"/>
  <c r="X61" i="17" a="1"/>
  <c r="X61" i="17" s="1"/>
  <c r="Y61" i="17" s="1"/>
  <c r="V195" i="17" a="1"/>
  <c r="V195" i="17" s="1"/>
  <c r="X93" i="17" a="1"/>
  <c r="X93" i="17" s="1"/>
  <c r="Y93" i="17" s="1"/>
  <c r="N169" i="17" a="1"/>
  <c r="N169" i="17" s="1"/>
  <c r="R173" i="17" a="1"/>
  <c r="R173" i="17" s="1"/>
  <c r="T187" i="17" a="1"/>
  <c r="T187" i="17" s="1"/>
  <c r="T119" i="17" a="1"/>
  <c r="T119" i="17" s="1"/>
  <c r="T148" i="17" a="1"/>
  <c r="T148" i="17" s="1"/>
  <c r="U115" i="17" a="1"/>
  <c r="U115" i="17" s="1"/>
  <c r="V5" i="17" a="1"/>
  <c r="V5" i="17" s="1"/>
  <c r="V142" i="17" a="1"/>
  <c r="V142" i="17" s="1"/>
  <c r="X36" i="17" a="1"/>
  <c r="X36" i="17" s="1"/>
  <c r="Y36" i="17" s="1"/>
  <c r="X88" i="17" a="1"/>
  <c r="X88" i="17" s="1"/>
  <c r="Y88" i="17" s="1"/>
  <c r="X140" i="17" a="1"/>
  <c r="X140" i="17" s="1"/>
  <c r="Y140" i="17" s="1"/>
  <c r="T11" i="17" a="1"/>
  <c r="T11" i="17" s="1"/>
  <c r="X142" i="17" a="1"/>
  <c r="X142" i="17" s="1"/>
  <c r="Y142" i="17" s="1"/>
  <c r="O86" i="17" a="1"/>
  <c r="O86" i="17" s="1"/>
  <c r="X3" i="17" a="1"/>
  <c r="X3" i="17" s="1"/>
  <c r="Y3" i="17" s="1"/>
  <c r="Q3" i="17" s="1"/>
  <c r="W3" i="17" s="1"/>
  <c r="U167" i="17" a="1"/>
  <c r="U167" i="17" s="1"/>
  <c r="N37" i="17" a="1"/>
  <c r="N37" i="17" s="1"/>
  <c r="O37" i="17" a="1"/>
  <c r="O37" i="17" s="1"/>
  <c r="R7" i="17" a="1"/>
  <c r="R7" i="17" s="1"/>
  <c r="R174" i="17" a="1"/>
  <c r="R174" i="17" s="1"/>
  <c r="S38" i="17" a="1"/>
  <c r="S38" i="17" s="1"/>
  <c r="S148" i="17" a="1"/>
  <c r="S148" i="17" s="1"/>
  <c r="T38" i="17" a="1"/>
  <c r="T38" i="17" s="1"/>
  <c r="T173" i="17" a="1"/>
  <c r="T173" i="17" s="1"/>
  <c r="U92" i="17" a="1"/>
  <c r="U92" i="17" s="1"/>
  <c r="V6" i="17" a="1"/>
  <c r="V6" i="17" s="1"/>
  <c r="V87" i="17" a="1"/>
  <c r="V87" i="17" s="1"/>
  <c r="X172" i="17" a="1"/>
  <c r="X172" i="17" s="1"/>
  <c r="Y172" i="17" s="1"/>
  <c r="Q172" i="17" s="1"/>
  <c r="W172" i="17" s="1"/>
  <c r="V90" i="17" a="1"/>
  <c r="V90" i="17" s="1"/>
  <c r="U141" i="17" a="1"/>
  <c r="U141" i="17" s="1"/>
  <c r="X92" i="17" a="1"/>
  <c r="X92" i="17" s="1"/>
  <c r="Y92" i="17" s="1"/>
  <c r="X4" i="17" a="1"/>
  <c r="X4" i="17" s="1"/>
  <c r="Y4" i="17" s="1"/>
  <c r="N38" i="17" a="1"/>
  <c r="N38" i="17" s="1"/>
  <c r="N209" i="17" a="1"/>
  <c r="N209" i="17" s="1"/>
  <c r="T120" i="17" a="1"/>
  <c r="T120" i="17" s="1"/>
  <c r="U117" i="17" a="1"/>
  <c r="U117" i="17" s="1"/>
  <c r="V88" i="17" a="1"/>
  <c r="V88" i="17" s="1"/>
  <c r="V143" i="17" a="1"/>
  <c r="V143" i="17" s="1"/>
  <c r="X37" i="17" a="1"/>
  <c r="X37" i="17" s="1"/>
  <c r="Y37" i="17" s="1"/>
  <c r="X89" i="17" a="1"/>
  <c r="X89" i="17" s="1"/>
  <c r="Y89" i="17" s="1"/>
  <c r="X141" i="17" a="1"/>
  <c r="X141" i="17" s="1"/>
  <c r="Y141" i="17" s="1"/>
  <c r="X196" i="17" a="1"/>
  <c r="X196" i="17" s="1"/>
  <c r="Y196" i="17" s="1"/>
  <c r="O209" i="17" a="1"/>
  <c r="O209" i="17" s="1"/>
  <c r="R142" i="17" a="1"/>
  <c r="R142" i="17" s="1"/>
  <c r="X2" i="17" a="1"/>
  <c r="X2" i="17" s="1"/>
  <c r="Y2" i="17" s="1"/>
  <c r="N93" i="17" a="1"/>
  <c r="N93" i="17" s="1"/>
  <c r="V8" i="17" a="1"/>
  <c r="V8" i="17" s="1"/>
  <c r="O174" i="17" a="1"/>
  <c r="O174" i="17" s="1"/>
  <c r="X143" i="17" a="1"/>
  <c r="X143" i="17" s="1"/>
  <c r="Y143" i="17" s="1"/>
  <c r="O168" i="17" a="1"/>
  <c r="O168" i="17" s="1"/>
  <c r="R182" i="17" a="1"/>
  <c r="R182" i="17" s="1"/>
  <c r="R58" i="17" a="1"/>
  <c r="R58" i="17" s="1"/>
  <c r="S112" i="17" a="1"/>
  <c r="S112" i="17" s="1"/>
  <c r="T10" i="17" a="1"/>
  <c r="T10" i="17" s="1"/>
  <c r="T175" i="17" a="1"/>
  <c r="T175" i="17" s="1"/>
  <c r="U93" i="17" a="1"/>
  <c r="U93" i="17" s="1"/>
  <c r="V89" i="17" a="1"/>
  <c r="V89" i="17" s="1"/>
  <c r="X90" i="17" a="1"/>
  <c r="X90" i="17" s="1"/>
  <c r="Y90" i="17" s="1"/>
  <c r="X173" i="17" a="1"/>
  <c r="X173" i="17" s="1"/>
  <c r="Y173" i="17" s="1"/>
  <c r="R60" i="17" a="1"/>
  <c r="R60" i="17" s="1"/>
  <c r="U204" i="17" a="1"/>
  <c r="U204" i="17" s="1"/>
  <c r="T12" i="17" a="1"/>
  <c r="T12" i="17" s="1"/>
  <c r="U119" i="17" a="1"/>
  <c r="U119" i="17" s="1"/>
  <c r="V91" i="17" a="1"/>
  <c r="V91" i="17" s="1"/>
  <c r="N89" i="17" a="1"/>
  <c r="N89" i="17" s="1"/>
  <c r="N173" i="17" a="1"/>
  <c r="N173" i="17" s="1"/>
  <c r="O195" i="17" a="1"/>
  <c r="O195" i="17" s="1"/>
  <c r="O169" i="17" a="1"/>
  <c r="O169" i="17" s="1"/>
  <c r="R59" i="17" a="1"/>
  <c r="R59" i="17" s="1"/>
  <c r="T121" i="17" a="1"/>
  <c r="T121" i="17" s="1"/>
  <c r="U118" i="17" a="1"/>
  <c r="U118" i="17" s="1"/>
  <c r="V182" i="17" a="1"/>
  <c r="V182" i="17" s="1"/>
  <c r="V144" i="17" a="1"/>
  <c r="V144" i="17" s="1"/>
  <c r="X187" i="17" a="1"/>
  <c r="X187" i="17" s="1"/>
  <c r="Y187" i="17" s="1"/>
  <c r="N174" i="17" a="1"/>
  <c r="N174" i="17" s="1"/>
  <c r="S113" i="17" a="1"/>
  <c r="S113" i="17" s="1"/>
  <c r="X174" i="17" a="1"/>
  <c r="X174" i="17" s="1"/>
  <c r="Y174" i="17" s="1"/>
  <c r="O170" i="17" a="1"/>
  <c r="O170" i="17" s="1"/>
  <c r="V145" i="17" a="1"/>
  <c r="V145" i="17" s="1"/>
  <c r="R61" i="17" a="1"/>
  <c r="R61" i="17" s="1"/>
  <c r="R63" i="17" a="1"/>
  <c r="R63" i="17" s="1"/>
  <c r="S7" i="17" a="1"/>
  <c r="S7" i="17" s="1"/>
  <c r="S85" i="17" a="1"/>
  <c r="S85" i="17" s="1"/>
  <c r="S120" i="17" a="1"/>
  <c r="S120" i="17" s="1"/>
  <c r="U168" i="17" a="1"/>
  <c r="U168" i="17" s="1"/>
  <c r="V196" i="17" a="1"/>
  <c r="V196" i="17" s="1"/>
  <c r="X5" i="17" a="1"/>
  <c r="X5" i="17" s="1"/>
  <c r="Y5" i="17" s="1"/>
  <c r="Q5" i="17" s="1"/>
  <c r="W5" i="17" s="1"/>
  <c r="X112" i="17" a="1"/>
  <c r="X112" i="17" s="1"/>
  <c r="X144" i="17" a="1"/>
  <c r="X144" i="17" s="1"/>
  <c r="Y144" i="17" s="1"/>
  <c r="N4" i="17" a="1"/>
  <c r="N4" i="17" s="1"/>
  <c r="O196" i="17" a="1"/>
  <c r="O196" i="17" s="1"/>
  <c r="R145" i="17" a="1"/>
  <c r="R145" i="17" s="1"/>
  <c r="S182" i="17" a="1"/>
  <c r="S182" i="17" s="1"/>
  <c r="U121" i="17" a="1"/>
  <c r="U121" i="17" s="1"/>
  <c r="U205" i="17" a="1"/>
  <c r="U205" i="17" s="1"/>
  <c r="V10" i="17" a="1"/>
  <c r="V10" i="17" s="1"/>
  <c r="R31" i="17" a="1"/>
  <c r="R31" i="17" s="1"/>
  <c r="R88" i="17" a="1"/>
  <c r="R88" i="17" s="1"/>
  <c r="T170" i="17" a="1"/>
  <c r="T170" i="17" s="1"/>
  <c r="X34" i="17" a="1"/>
  <c r="X34" i="17" s="1"/>
  <c r="Y34" i="17" s="1"/>
  <c r="X191" i="17" a="1"/>
  <c r="X191" i="17" s="1"/>
  <c r="X85" i="17" a="1"/>
  <c r="X85" i="17" s="1"/>
  <c r="Y85" i="17" s="1"/>
  <c r="X35" i="17" a="1"/>
  <c r="X35" i="17" s="1"/>
  <c r="Y35" i="17" s="1"/>
  <c r="X113" i="17" a="1"/>
  <c r="X113" i="17" s="1"/>
  <c r="Y113" i="17" s="1"/>
  <c r="R196" i="17" a="1"/>
  <c r="R196" i="17" s="1"/>
  <c r="U36" i="17" a="1"/>
  <c r="U36" i="17" s="1"/>
  <c r="O5" i="17" a="1"/>
  <c r="O5" i="17" s="1"/>
  <c r="R186" i="17" a="1"/>
  <c r="R186" i="17" s="1"/>
  <c r="S89" i="17" a="1"/>
  <c r="S89" i="17" s="1"/>
  <c r="T171" i="17" a="1"/>
  <c r="T171" i="17" s="1"/>
  <c r="U62" i="17" a="1"/>
  <c r="U62" i="17" s="1"/>
  <c r="U171" i="17" a="1"/>
  <c r="U171" i="17" s="1"/>
  <c r="X62" i="17" a="1"/>
  <c r="X62" i="17" s="1"/>
  <c r="Y62" i="17" s="1"/>
  <c r="O10" i="17" a="1"/>
  <c r="O10" i="17" s="1"/>
  <c r="U173" i="17" a="1"/>
  <c r="U173" i="17" s="1"/>
  <c r="S196" i="17" a="1"/>
  <c r="S196" i="17" s="1"/>
  <c r="X65" i="17" a="1"/>
  <c r="X65" i="17" s="1"/>
  <c r="Y65" i="17" s="1"/>
  <c r="N115" i="17" a="1"/>
  <c r="N115" i="17" s="1"/>
  <c r="O9" i="17" a="1"/>
  <c r="O9" i="17" s="1"/>
  <c r="O65" i="17" a="1"/>
  <c r="O65" i="17" s="1"/>
  <c r="S90" i="17" a="1"/>
  <c r="S90" i="17" s="1"/>
  <c r="U172" i="17" a="1"/>
  <c r="U172" i="17" s="1"/>
  <c r="X12" i="17" a="1"/>
  <c r="X12" i="17" s="1"/>
  <c r="Y12" i="17" s="1"/>
  <c r="X195" i="17" a="1"/>
  <c r="X195" i="17" s="1"/>
  <c r="Y195" i="17" s="1"/>
  <c r="U63" i="17" a="1"/>
  <c r="U63" i="17" s="1"/>
  <c r="N121" i="17" a="1"/>
  <c r="N121" i="17" s="1"/>
  <c r="T61" i="17" a="1"/>
  <c r="T61" i="17" s="1"/>
  <c r="X86" i="17" a="1"/>
  <c r="X86" i="17" s="1"/>
  <c r="Y86" i="17" s="1"/>
  <c r="U64" i="17" a="1"/>
  <c r="U64" i="17" s="1"/>
  <c r="R34" i="17" a="1"/>
  <c r="R34" i="17" s="1"/>
  <c r="R91" i="17" a="1"/>
  <c r="R91" i="17" s="1"/>
  <c r="S91" i="17" a="1"/>
  <c r="S91" i="17" s="1"/>
  <c r="S141" i="17" a="1"/>
  <c r="S141" i="17" s="1"/>
  <c r="T59" i="17" a="1"/>
  <c r="T59" i="17" s="1"/>
  <c r="T172" i="17" a="1"/>
  <c r="T172" i="17" s="1"/>
  <c r="U35" i="17" a="1"/>
  <c r="U35" i="17" s="1"/>
  <c r="X114" i="17" a="1"/>
  <c r="X114" i="17" s="1"/>
  <c r="Y114" i="17" s="1"/>
  <c r="O66" i="17" a="1"/>
  <c r="O66" i="17" s="1"/>
  <c r="S145" i="17" a="1"/>
  <c r="S145" i="17" s="1"/>
  <c r="X115" i="17" a="1"/>
  <c r="X115" i="17" s="1"/>
  <c r="Y115" i="17" s="1"/>
  <c r="O144" i="17" a="1"/>
  <c r="O144" i="17" s="1"/>
  <c r="S92" i="17" a="1"/>
  <c r="S92" i="17" s="1"/>
  <c r="T63" i="17" a="1"/>
  <c r="T63" i="17" s="1"/>
  <c r="U37" i="17" a="1"/>
  <c r="U37" i="17" s="1"/>
  <c r="X66" i="17" a="1"/>
  <c r="X66" i="17" s="1"/>
  <c r="Y66" i="17" s="1"/>
  <c r="X200" i="17" a="1"/>
  <c r="X200" i="17" s="1"/>
  <c r="Y200" i="17" s="1"/>
  <c r="O12" i="17" a="1"/>
  <c r="O12" i="17" s="1"/>
  <c r="T140" i="17" a="1"/>
  <c r="T140" i="17" s="1"/>
  <c r="U3" i="17" a="1"/>
  <c r="U3" i="17" s="1"/>
  <c r="U143" i="17" a="1"/>
  <c r="U143" i="17" s="1"/>
  <c r="U175" i="17" a="1"/>
  <c r="U175" i="17" s="1"/>
  <c r="R112" i="17" a="1"/>
  <c r="R112" i="17" s="1"/>
  <c r="S147" i="17" a="1"/>
  <c r="S147" i="17" s="1"/>
  <c r="T64" i="17" a="1"/>
  <c r="T64" i="17" s="1"/>
  <c r="T112" i="17" a="1"/>
  <c r="T112" i="17" s="1"/>
  <c r="T144" i="17" a="1"/>
  <c r="T144" i="17" s="1"/>
  <c r="U4" i="17" a="1"/>
  <c r="U4" i="17" s="1"/>
  <c r="U187" i="17" a="1"/>
  <c r="U187" i="17" s="1"/>
  <c r="V58" i="17" a="1"/>
  <c r="V58" i="17" s="1"/>
  <c r="X116" i="17" a="1"/>
  <c r="X116" i="17" s="1"/>
  <c r="Y116" i="17" s="1"/>
  <c r="Q116" i="17" s="1"/>
  <c r="W116" i="17" s="1"/>
  <c r="U210" i="17" a="1"/>
  <c r="U210" i="17" s="1"/>
  <c r="V112" i="17" a="1"/>
  <c r="V112" i="17" s="1"/>
  <c r="X68" i="17" a="1"/>
  <c r="X68" i="17" s="1"/>
  <c r="Y68" i="17" s="1"/>
  <c r="U195" i="17" a="1"/>
  <c r="U195" i="17" s="1"/>
  <c r="U38" i="17" a="1"/>
  <c r="U38" i="17" s="1"/>
  <c r="T114" i="17" a="1"/>
  <c r="T114" i="17" s="1"/>
  <c r="R172" i="17" a="1"/>
  <c r="R172" i="17" s="1"/>
  <c r="R77" i="17" a="1"/>
  <c r="R77" i="17" s="1"/>
  <c r="O98" i="17" a="1"/>
  <c r="O98" i="17" s="1"/>
  <c r="N168" i="17" a="1"/>
  <c r="N168" i="17" s="1"/>
  <c r="N94" i="17" a="1"/>
  <c r="N94" i="17" s="1"/>
  <c r="V92" i="17" a="1"/>
  <c r="V92" i="17" s="1"/>
  <c r="R209" i="17" a="1"/>
  <c r="R209" i="17" s="1"/>
  <c r="O94" i="17" a="1"/>
  <c r="O94" i="17" s="1"/>
  <c r="N78" i="17" a="1"/>
  <c r="N78" i="17" s="1"/>
  <c r="X9" i="17" a="1"/>
  <c r="X9" i="17" s="1"/>
  <c r="Y9" i="17" s="1"/>
  <c r="O117" i="17" a="1"/>
  <c r="O117" i="17" s="1"/>
  <c r="V173" i="17" a="1"/>
  <c r="V173" i="17" s="1"/>
  <c r="T77" i="17" a="1"/>
  <c r="T77" i="17" s="1"/>
  <c r="V62" i="17" a="1"/>
  <c r="V62" i="17" s="1"/>
  <c r="N157" i="17" a="1"/>
  <c r="N157" i="17" s="1"/>
  <c r="S157" i="17" a="1"/>
  <c r="S157" i="17" s="1"/>
  <c r="R157" i="17" a="1"/>
  <c r="R157" i="17" s="1"/>
  <c r="X157" i="17" a="1"/>
  <c r="X157" i="17" s="1"/>
  <c r="Y157" i="17" s="1"/>
  <c r="V157" i="17" a="1"/>
  <c r="V157" i="17" s="1"/>
  <c r="S129" i="17" a="1"/>
  <c r="S129" i="17" s="1"/>
  <c r="R129" i="17" a="1"/>
  <c r="R129" i="17" s="1"/>
  <c r="U129" i="17" a="1"/>
  <c r="U129" i="17" s="1"/>
  <c r="N129" i="17" a="1"/>
  <c r="N129" i="17" s="1"/>
  <c r="T129" i="17" a="1"/>
  <c r="T129" i="17" s="1"/>
  <c r="O129" i="17" a="1"/>
  <c r="O129" i="17" s="1"/>
  <c r="N102" i="17" a="1"/>
  <c r="N102" i="17" s="1"/>
  <c r="S102" i="17" a="1"/>
  <c r="S102" i="17" s="1"/>
  <c r="R102" i="17" a="1"/>
  <c r="R102" i="17" s="1"/>
  <c r="O102" i="17" a="1"/>
  <c r="O102" i="17" s="1"/>
  <c r="T102" i="17" a="1"/>
  <c r="T102" i="17" s="1"/>
  <c r="U102" i="17" a="1"/>
  <c r="U102" i="17" s="1"/>
  <c r="V102" i="17" a="1"/>
  <c r="V102" i="17" s="1"/>
  <c r="T74" i="17" a="1"/>
  <c r="T74" i="17" s="1"/>
  <c r="O74" i="17" a="1"/>
  <c r="O74" i="17" s="1"/>
  <c r="N74" i="17" a="1"/>
  <c r="N74" i="17" s="1"/>
  <c r="S74" i="17" a="1"/>
  <c r="S74" i="17" s="1"/>
  <c r="R47" i="17" a="1"/>
  <c r="R47" i="17" s="1"/>
  <c r="S47" i="17" a="1"/>
  <c r="S47" i="17" s="1"/>
  <c r="T47" i="17" a="1"/>
  <c r="T47" i="17" s="1"/>
  <c r="U47" i="17" a="1"/>
  <c r="U47" i="17" s="1"/>
  <c r="V47" i="17" a="1"/>
  <c r="V47" i="17" s="1"/>
  <c r="O47" i="17" a="1"/>
  <c r="O47" i="17" s="1"/>
  <c r="T184" i="17" a="1"/>
  <c r="T184" i="17" s="1"/>
  <c r="N184" i="17" a="1"/>
  <c r="N184" i="17" s="1"/>
  <c r="O184" i="17" a="1"/>
  <c r="O184" i="17" s="1"/>
  <c r="R184" i="17" a="1"/>
  <c r="R184" i="17" s="1"/>
  <c r="V184" i="17" a="1"/>
  <c r="V184" i="17" s="1"/>
  <c r="U184" i="17" a="1"/>
  <c r="U184" i="17" s="1"/>
  <c r="X184" i="17" a="1"/>
  <c r="X184" i="17" s="1"/>
  <c r="U152" i="17" a="1"/>
  <c r="U152" i="17" s="1"/>
  <c r="U97" i="17" a="1"/>
  <c r="U97" i="17" s="1"/>
  <c r="X188" i="17" a="1"/>
  <c r="X188" i="17" s="1"/>
  <c r="Y188" i="17" s="1"/>
  <c r="T117" i="17" a="1"/>
  <c r="T117" i="17" s="1"/>
  <c r="V61" i="17" a="1"/>
  <c r="V61" i="17" s="1"/>
  <c r="X33" i="17" a="1"/>
  <c r="X33" i="17" s="1"/>
  <c r="Y33" i="17" s="1"/>
  <c r="S172" i="17" a="1"/>
  <c r="S172" i="17" s="1"/>
  <c r="R113" i="17" a="1"/>
  <c r="R113" i="17" s="1"/>
  <c r="O17" i="17" a="1"/>
  <c r="O17" i="17" s="1"/>
  <c r="T115" i="17" a="1"/>
  <c r="T115" i="17" s="1"/>
  <c r="N177" i="17" a="1"/>
  <c r="N177" i="17" s="1"/>
  <c r="V177" i="17" a="1"/>
  <c r="V177" i="17" s="1"/>
  <c r="R177" i="17" a="1"/>
  <c r="R177" i="17" s="1"/>
  <c r="T177" i="17" a="1"/>
  <c r="T177" i="17" s="1"/>
  <c r="O177" i="17" a="1"/>
  <c r="O177" i="17" s="1"/>
  <c r="X177" i="17" a="1"/>
  <c r="X177" i="17" s="1"/>
  <c r="Y177" i="17" s="1"/>
  <c r="R122" i="17" a="1"/>
  <c r="R122" i="17" s="1"/>
  <c r="O122" i="17" a="1"/>
  <c r="O122" i="17" s="1"/>
  <c r="T122" i="17" a="1"/>
  <c r="T122" i="17" s="1"/>
  <c r="S122" i="17" a="1"/>
  <c r="S122" i="17" s="1"/>
  <c r="N122" i="17" a="1"/>
  <c r="N122" i="17" s="1"/>
  <c r="N40" i="17" a="1"/>
  <c r="N40" i="17" s="1"/>
  <c r="O40" i="17" a="1"/>
  <c r="O40" i="17" s="1"/>
  <c r="V40" i="17" a="1"/>
  <c r="V40" i="17" s="1"/>
  <c r="T40" i="17" a="1"/>
  <c r="T40" i="17" s="1"/>
  <c r="S40" i="17" a="1"/>
  <c r="S40" i="17" s="1"/>
  <c r="X40" i="17" a="1"/>
  <c r="X40" i="17" s="1"/>
  <c r="Y40" i="17" s="1"/>
  <c r="R40" i="17" a="1"/>
  <c r="R40" i="17" s="1"/>
  <c r="X130" i="17" a="1"/>
  <c r="X130" i="17" s="1"/>
  <c r="Y130" i="17" s="1"/>
  <c r="N6" i="17" a="1"/>
  <c r="N6" i="17" s="1"/>
  <c r="R67" i="17" a="1"/>
  <c r="R67" i="17" s="1"/>
  <c r="T67" i="17" a="1"/>
  <c r="T67" i="17" s="1"/>
  <c r="V67" i="17" a="1"/>
  <c r="V67" i="17" s="1"/>
  <c r="X67" i="17" a="1"/>
  <c r="X67" i="17" s="1"/>
  <c r="Y67" i="17" s="1"/>
  <c r="U67" i="17" a="1"/>
  <c r="U67" i="17" s="1"/>
  <c r="S67" i="17" a="1"/>
  <c r="S67" i="17" s="1"/>
  <c r="U30" i="17" a="1"/>
  <c r="U30" i="17" s="1"/>
  <c r="N167" i="17" a="1"/>
  <c r="N167" i="17" s="1"/>
  <c r="X159" i="17" a="1"/>
  <c r="X159" i="17" s="1"/>
  <c r="Y159" i="17" s="1"/>
  <c r="V159" i="17" a="1"/>
  <c r="V159" i="17" s="1"/>
  <c r="V121" i="17" a="1"/>
  <c r="V121" i="17" s="1"/>
  <c r="V86" i="17" a="1"/>
  <c r="V86" i="17" s="1"/>
  <c r="U178" i="17" a="1"/>
  <c r="U178" i="17" s="1"/>
  <c r="S63" i="17" a="1"/>
  <c r="S63" i="17" s="1"/>
  <c r="R167" i="17" a="1"/>
  <c r="R167" i="17" s="1"/>
  <c r="O93" i="17" a="1"/>
  <c r="O93" i="17" s="1"/>
  <c r="N160" i="17" a="1"/>
  <c r="N160" i="17" s="1"/>
  <c r="T160" i="17" a="1"/>
  <c r="T160" i="17" s="1"/>
  <c r="R160" i="17" a="1"/>
  <c r="R160" i="17" s="1"/>
  <c r="O160" i="17" a="1"/>
  <c r="O160" i="17" s="1"/>
  <c r="V160" i="17" a="1"/>
  <c r="V160" i="17" s="1"/>
  <c r="U160" i="17" a="1"/>
  <c r="U160" i="17" s="1"/>
  <c r="S160" i="17" a="1"/>
  <c r="S160" i="17" s="1"/>
  <c r="X160" i="17" a="1"/>
  <c r="X160" i="17" s="1"/>
  <c r="Y160" i="17" s="1"/>
  <c r="O133" i="17" a="1"/>
  <c r="O133" i="17" s="1"/>
  <c r="N133" i="17" a="1"/>
  <c r="N133" i="17" s="1"/>
  <c r="S133" i="17" a="1"/>
  <c r="S133" i="17" s="1"/>
  <c r="U133" i="17" a="1"/>
  <c r="U133" i="17" s="1"/>
  <c r="R133" i="17" a="1"/>
  <c r="R133" i="17" s="1"/>
  <c r="X133" i="17" a="1"/>
  <c r="X133" i="17" s="1"/>
  <c r="Y133" i="17" s="1"/>
  <c r="V133" i="17" a="1"/>
  <c r="V133" i="17" s="1"/>
  <c r="N105" i="17" a="1"/>
  <c r="N105" i="17" s="1"/>
  <c r="R105" i="17" a="1"/>
  <c r="R105" i="17" s="1"/>
  <c r="T105" i="17" a="1"/>
  <c r="T105" i="17" s="1"/>
  <c r="X105" i="17" a="1"/>
  <c r="X105" i="17" s="1"/>
  <c r="Y105" i="17" s="1"/>
  <c r="U105" i="17" a="1"/>
  <c r="U105" i="17" s="1"/>
  <c r="O105" i="17" a="1"/>
  <c r="O105" i="17" s="1"/>
  <c r="S105" i="17" a="1"/>
  <c r="S105" i="17" s="1"/>
  <c r="V105" i="17" a="1"/>
  <c r="V105" i="17" s="1"/>
  <c r="R78" i="17" a="1"/>
  <c r="R78" i="17" s="1"/>
  <c r="S78" i="17" a="1"/>
  <c r="S78" i="17" s="1"/>
  <c r="V78" i="17" a="1"/>
  <c r="V78" i="17" s="1"/>
  <c r="T50" i="17" a="1"/>
  <c r="T50" i="17" s="1"/>
  <c r="R50" i="17" a="1"/>
  <c r="R50" i="17" s="1"/>
  <c r="O50" i="17" a="1"/>
  <c r="O50" i="17" s="1"/>
  <c r="V50" i="17" a="1"/>
  <c r="V50" i="17" s="1"/>
  <c r="N50" i="17" a="1"/>
  <c r="N50" i="17" s="1"/>
  <c r="N23" i="17" a="1"/>
  <c r="N23" i="17" s="1"/>
  <c r="T23" i="17" a="1"/>
  <c r="T23" i="17" s="1"/>
  <c r="V23" i="17" a="1"/>
  <c r="V23" i="17" s="1"/>
  <c r="R23" i="17" a="1"/>
  <c r="R23" i="17" s="1"/>
  <c r="U23" i="17" a="1"/>
  <c r="U23" i="17" s="1"/>
  <c r="S23" i="17" a="1"/>
  <c r="S23" i="17" s="1"/>
  <c r="V99" i="17" a="1"/>
  <c r="V99" i="17" s="1"/>
  <c r="V64" i="17" a="1"/>
  <c r="V64" i="17" s="1"/>
  <c r="N18" i="17" a="1"/>
  <c r="N18" i="17" s="1"/>
  <c r="S158" i="17" a="1"/>
  <c r="S158" i="17" s="1"/>
  <c r="R158" i="17" a="1"/>
  <c r="R158" i="17" s="1"/>
  <c r="N158" i="17" a="1"/>
  <c r="N158" i="17" s="1"/>
  <c r="X158" i="17" a="1"/>
  <c r="X158" i="17" s="1"/>
  <c r="Y158" i="17" s="1"/>
  <c r="V158" i="17" a="1"/>
  <c r="V158" i="17" s="1"/>
  <c r="S131" i="17" a="1"/>
  <c r="S131" i="17" s="1"/>
  <c r="V131" i="17" a="1"/>
  <c r="V131" i="17" s="1"/>
  <c r="N131" i="17" a="1"/>
  <c r="N131" i="17" s="1"/>
  <c r="T131" i="17" a="1"/>
  <c r="T131" i="17" s="1"/>
  <c r="O131" i="17" a="1"/>
  <c r="O131" i="17" s="1"/>
  <c r="O198" i="17" a="1"/>
  <c r="O198" i="17" s="1"/>
  <c r="N198" i="17" a="1"/>
  <c r="N198" i="17" s="1"/>
  <c r="S198" i="17" a="1"/>
  <c r="S198" i="17" s="1"/>
  <c r="R198" i="17" a="1"/>
  <c r="R198" i="17" s="1"/>
  <c r="U198" i="17" a="1"/>
  <c r="U198" i="17" s="1"/>
  <c r="T198" i="17" a="1"/>
  <c r="T198" i="17" s="1"/>
  <c r="V198" i="17" a="1"/>
  <c r="V198" i="17" s="1"/>
  <c r="R76" i="17" a="1"/>
  <c r="R76" i="17" s="1"/>
  <c r="O76" i="17" a="1"/>
  <c r="O76" i="17" s="1"/>
  <c r="S76" i="17" a="1"/>
  <c r="S76" i="17" s="1"/>
  <c r="T76" i="17" a="1"/>
  <c r="T76" i="17" s="1"/>
  <c r="X76" i="17" a="1"/>
  <c r="X76" i="17" s="1"/>
  <c r="Y76" i="17" s="1"/>
  <c r="U76" i="17" a="1"/>
  <c r="U76" i="17" s="1"/>
  <c r="R49" i="17" a="1"/>
  <c r="R49" i="17" s="1"/>
  <c r="S49" i="17" a="1"/>
  <c r="S49" i="17" s="1"/>
  <c r="U49" i="17" a="1"/>
  <c r="U49" i="17" s="1"/>
  <c r="V49" i="17" a="1"/>
  <c r="V49" i="17" s="1"/>
  <c r="N49" i="17" a="1"/>
  <c r="N49" i="17" s="1"/>
  <c r="N21" i="17" a="1"/>
  <c r="N21" i="17" s="1"/>
  <c r="O21" i="17" a="1"/>
  <c r="O21" i="17" s="1"/>
  <c r="T21" i="17" a="1"/>
  <c r="T21" i="17" s="1"/>
  <c r="R21" i="17" a="1"/>
  <c r="R21" i="17" s="1"/>
  <c r="U21" i="17" a="1"/>
  <c r="U21" i="17" s="1"/>
  <c r="X21" i="17" a="1"/>
  <c r="X21" i="17" s="1"/>
  <c r="Y21" i="17" s="1"/>
  <c r="Q21" i="17" s="1"/>
  <c r="W21" i="17" s="1"/>
  <c r="V21" i="17" a="1"/>
  <c r="V21" i="17" s="1"/>
  <c r="V63" i="17" a="1"/>
  <c r="V63" i="17" s="1"/>
  <c r="R119" i="17" a="1"/>
  <c r="R119" i="17" s="1"/>
  <c r="S207" i="17" a="1"/>
  <c r="S207" i="17" s="1"/>
  <c r="R207" i="17" a="1"/>
  <c r="R207" i="17" s="1"/>
  <c r="T207" i="17" a="1"/>
  <c r="T207" i="17" s="1"/>
  <c r="X207" i="17" a="1"/>
  <c r="X207" i="17" s="1"/>
  <c r="Y207" i="17" s="1"/>
  <c r="S130" i="17" a="1"/>
  <c r="S130" i="17" s="1"/>
  <c r="R130" i="17" a="1"/>
  <c r="R130" i="17" s="1"/>
  <c r="O130" i="17" a="1"/>
  <c r="O130" i="17" s="1"/>
  <c r="V130" i="17" a="1"/>
  <c r="V130" i="17" s="1"/>
  <c r="N103" i="17" a="1"/>
  <c r="N103" i="17" s="1"/>
  <c r="R103" i="17" a="1"/>
  <c r="R103" i="17" s="1"/>
  <c r="O103" i="17" a="1"/>
  <c r="O103" i="17" s="1"/>
  <c r="T103" i="17" a="1"/>
  <c r="T103" i="17" s="1"/>
  <c r="S103" i="17" a="1"/>
  <c r="S103" i="17" s="1"/>
  <c r="U103" i="17" a="1"/>
  <c r="U103" i="17" s="1"/>
  <c r="V103" i="17" a="1"/>
  <c r="V103" i="17" s="1"/>
  <c r="O75" i="17" a="1"/>
  <c r="O75" i="17" s="1"/>
  <c r="S75" i="17" a="1"/>
  <c r="S75" i="17" s="1"/>
  <c r="U75" i="17" a="1"/>
  <c r="U75" i="17" s="1"/>
  <c r="T75" i="17" a="1"/>
  <c r="T75" i="17" s="1"/>
  <c r="X75" i="17" a="1"/>
  <c r="X75" i="17" s="1"/>
  <c r="Y75" i="17" s="1"/>
  <c r="T48" i="17" a="1"/>
  <c r="T48" i="17" s="1"/>
  <c r="S48" i="17" a="1"/>
  <c r="S48" i="17" s="1"/>
  <c r="U48" i="17" a="1"/>
  <c r="U48" i="17" s="1"/>
  <c r="R48" i="17" a="1"/>
  <c r="R48" i="17" s="1"/>
  <c r="X48" i="17" a="1"/>
  <c r="X48" i="17" s="1"/>
  <c r="Y48" i="17" s="1"/>
  <c r="V48" i="17" a="1"/>
  <c r="V48" i="17" s="1"/>
  <c r="N48" i="17" a="1"/>
  <c r="N48" i="17" s="1"/>
  <c r="O48" i="17" a="1"/>
  <c r="O48" i="17" s="1"/>
  <c r="T20" i="17" a="1"/>
  <c r="T20" i="17" s="1"/>
  <c r="N20" i="17" a="1"/>
  <c r="N20" i="17" s="1"/>
  <c r="O20" i="17" a="1"/>
  <c r="O20" i="17" s="1"/>
  <c r="R20" i="17" a="1"/>
  <c r="R20" i="17" s="1"/>
  <c r="U20" i="17" a="1"/>
  <c r="U20" i="17" s="1"/>
  <c r="X20" i="17" a="1"/>
  <c r="X20" i="17" s="1"/>
  <c r="Y20" i="17" s="1"/>
  <c r="Q20" i="17" s="1"/>
  <c r="W20" i="17" s="1"/>
  <c r="V20" i="17" a="1"/>
  <c r="V20" i="17" s="1"/>
  <c r="R117" i="17" a="1"/>
  <c r="R117" i="17" s="1"/>
  <c r="X182" i="17" a="1"/>
  <c r="X182" i="17" s="1"/>
  <c r="Y182" i="17" s="1"/>
  <c r="U2" i="17" a="1"/>
  <c r="U2" i="17" s="1"/>
  <c r="V97" i="17" a="1"/>
  <c r="V97" i="17" s="1"/>
  <c r="S174" i="17" a="1"/>
  <c r="S174" i="17" s="1"/>
  <c r="S197" i="17" a="1"/>
  <c r="S197" i="17" s="1"/>
  <c r="V96" i="17" a="1"/>
  <c r="V96" i="17" s="1"/>
  <c r="X32" i="17" a="1"/>
  <c r="X32" i="17" s="1"/>
  <c r="Y32" i="17" s="1"/>
  <c r="Q32" i="17" s="1"/>
  <c r="W32" i="17" s="1"/>
  <c r="V129" i="17" a="1"/>
  <c r="V129" i="17" s="1"/>
  <c r="N182" i="17" a="1"/>
  <c r="N182" i="17" s="1"/>
  <c r="Y16" i="17"/>
  <c r="Q16" i="17" s="1"/>
  <c r="W16" i="17" s="1"/>
  <c r="N179" i="17" a="1"/>
  <c r="N179" i="17" s="1"/>
  <c r="T179" i="17" a="1"/>
  <c r="T179" i="17" s="1"/>
  <c r="X179" i="17" a="1"/>
  <c r="X179" i="17" s="1"/>
  <c r="Y179" i="17" s="1"/>
  <c r="U179" i="17" a="1"/>
  <c r="U179" i="17" s="1"/>
  <c r="O179" i="17" a="1"/>
  <c r="O179" i="17" s="1"/>
  <c r="V179" i="17" a="1"/>
  <c r="V179" i="17" s="1"/>
  <c r="S179" i="17" a="1"/>
  <c r="S179" i="17" s="1"/>
  <c r="R179" i="17" a="1"/>
  <c r="R179" i="17" s="1"/>
  <c r="N124" i="17" a="1"/>
  <c r="N124" i="17" s="1"/>
  <c r="R124" i="17" a="1"/>
  <c r="R124" i="17" s="1"/>
  <c r="O124" i="17" a="1"/>
  <c r="O124" i="17" s="1"/>
  <c r="T124" i="17" a="1"/>
  <c r="T124" i="17" s="1"/>
  <c r="U124" i="17" a="1"/>
  <c r="U124" i="17" s="1"/>
  <c r="V124" i="17" a="1"/>
  <c r="V124" i="17" s="1"/>
  <c r="X124" i="17" a="1"/>
  <c r="X124" i="17" s="1"/>
  <c r="Y124" i="17" s="1"/>
  <c r="O14" i="17" a="1"/>
  <c r="O14" i="17" s="1"/>
  <c r="U14" i="17" a="1"/>
  <c r="U14" i="17" s="1"/>
  <c r="S14" i="17" a="1"/>
  <c r="S14" i="17" s="1"/>
  <c r="N14" i="17" a="1"/>
  <c r="N14" i="17" s="1"/>
  <c r="R14" i="17" a="1"/>
  <c r="R14" i="17" s="1"/>
  <c r="T14" i="17" a="1"/>
  <c r="T14" i="17" s="1"/>
  <c r="X14" i="17" a="1"/>
  <c r="X14" i="17" s="1"/>
  <c r="Y14" i="17" s="1"/>
  <c r="Q14" i="17" s="1"/>
  <c r="W14" i="17" s="1"/>
  <c r="Y184" i="17"/>
  <c r="T200" i="17" a="1"/>
  <c r="T200" i="17" s="1"/>
  <c r="U86" i="17" a="1"/>
  <c r="U86" i="17" s="1"/>
  <c r="V3" i="17" a="1"/>
  <c r="V3" i="17" s="1"/>
  <c r="V201" i="17" a="1"/>
  <c r="V201" i="17" s="1"/>
  <c r="X202" i="17" a="1"/>
  <c r="X202" i="17" s="1"/>
  <c r="Y202" i="17" s="1"/>
  <c r="V207" i="17" a="1"/>
  <c r="V207" i="17" s="1"/>
  <c r="V120" i="17" a="1"/>
  <c r="V120" i="17" s="1"/>
  <c r="U177" i="17" a="1"/>
  <c r="U177" i="17" s="1"/>
  <c r="T32" i="17" a="1"/>
  <c r="T32" i="17" s="1"/>
  <c r="O88" i="17" a="1"/>
  <c r="O88" i="17" s="1"/>
  <c r="V153" i="17" a="1"/>
  <c r="V153" i="17" s="1"/>
  <c r="V118" i="17" a="1"/>
  <c r="V118" i="17" s="1"/>
  <c r="U176" i="17" a="1"/>
  <c r="U176" i="17" s="1"/>
  <c r="T30" i="17" a="1"/>
  <c r="T30" i="17" s="1"/>
  <c r="S61" i="17" a="1"/>
  <c r="S61" i="17" s="1"/>
  <c r="R73" i="17" a="1"/>
  <c r="R73" i="17" s="1"/>
  <c r="X145" i="17" a="1"/>
  <c r="X145" i="17" s="1"/>
  <c r="Y145" i="17" s="1"/>
  <c r="U57" i="17" a="1"/>
  <c r="U57" i="17" s="1"/>
  <c r="T78" i="17" a="1"/>
  <c r="T78" i="17" s="1"/>
  <c r="X169" i="17" a="1"/>
  <c r="X169" i="17" s="1"/>
  <c r="Y169" i="17" s="1"/>
  <c r="Q169" i="17" s="1"/>
  <c r="W169" i="17" s="1"/>
  <c r="U153" i="17" a="1"/>
  <c r="U153" i="17" s="1"/>
  <c r="X168" i="17" a="1"/>
  <c r="X168" i="17" s="1"/>
  <c r="Y168" i="17" s="1"/>
  <c r="S210" i="17" a="1"/>
  <c r="S210" i="17" s="1"/>
  <c r="V172" i="17" a="1"/>
  <c r="V172" i="17" s="1"/>
  <c r="T118" i="17" a="1"/>
  <c r="T118" i="17" s="1"/>
  <c r="S184" i="17" a="1"/>
  <c r="S184" i="17" s="1"/>
  <c r="U156" i="17" a="1"/>
  <c r="U156" i="17" s="1"/>
  <c r="O156" i="17" a="1"/>
  <c r="O156" i="17" s="1"/>
  <c r="N156" i="17" a="1"/>
  <c r="N156" i="17" s="1"/>
  <c r="S156" i="17" a="1"/>
  <c r="S156" i="17" s="1"/>
  <c r="R156" i="17" a="1"/>
  <c r="R156" i="17" s="1"/>
  <c r="X156" i="17" a="1"/>
  <c r="X156" i="17" s="1"/>
  <c r="V156" i="17" a="1"/>
  <c r="V156" i="17" s="1"/>
  <c r="R128" i="17" a="1"/>
  <c r="R128" i="17" s="1"/>
  <c r="U128" i="17" a="1"/>
  <c r="U128" i="17" s="1"/>
  <c r="T128" i="17" a="1"/>
  <c r="T128" i="17" s="1"/>
  <c r="N128" i="17" a="1"/>
  <c r="N128" i="17" s="1"/>
  <c r="O128" i="17" a="1"/>
  <c r="O128" i="17" s="1"/>
  <c r="V128" i="17" a="1"/>
  <c r="V128" i="17" s="1"/>
  <c r="N101" i="17" a="1"/>
  <c r="N101" i="17" s="1"/>
  <c r="S101" i="17" a="1"/>
  <c r="S101" i="17" s="1"/>
  <c r="R101" i="17" a="1"/>
  <c r="R101" i="17" s="1"/>
  <c r="V101" i="17" a="1"/>
  <c r="V101" i="17" s="1"/>
  <c r="T101" i="17" a="1"/>
  <c r="T101" i="17" s="1"/>
  <c r="O193" i="17" a="1"/>
  <c r="O193" i="17" s="1"/>
  <c r="S193" i="17" a="1"/>
  <c r="S193" i="17" s="1"/>
  <c r="N193" i="17" a="1"/>
  <c r="N193" i="17" s="1"/>
  <c r="T193" i="17" a="1"/>
  <c r="T193" i="17" s="1"/>
  <c r="R193" i="17" a="1"/>
  <c r="R193" i="17" s="1"/>
  <c r="U193" i="17" a="1"/>
  <c r="U193" i="17" s="1"/>
  <c r="X193" i="17" a="1"/>
  <c r="X193" i="17" s="1"/>
  <c r="Y193" i="17" s="1"/>
  <c r="Q193" i="17" s="1"/>
  <c r="W193" i="17" s="1"/>
  <c r="V193" i="17" a="1"/>
  <c r="V193" i="17" s="1"/>
  <c r="R46" i="17" a="1"/>
  <c r="R46" i="17" s="1"/>
  <c r="O46" i="17" a="1"/>
  <c r="O46" i="17" s="1"/>
  <c r="T46" i="17" a="1"/>
  <c r="T46" i="17" s="1"/>
  <c r="U46" i="17" a="1"/>
  <c r="U46" i="17" s="1"/>
  <c r="N46" i="17" a="1"/>
  <c r="N46" i="17" s="1"/>
  <c r="V46" i="17" a="1"/>
  <c r="V46" i="17" s="1"/>
  <c r="S46" i="17" a="1"/>
  <c r="S46" i="17" s="1"/>
  <c r="R19" i="17" a="1"/>
  <c r="R19" i="17" s="1"/>
  <c r="S19" i="17" a="1"/>
  <c r="S19" i="17" s="1"/>
  <c r="T19" i="17" a="1"/>
  <c r="T19" i="17" s="1"/>
  <c r="N19" i="17" a="1"/>
  <c r="N19" i="17" s="1"/>
  <c r="O19" i="17" a="1"/>
  <c r="O19" i="17" s="1"/>
  <c r="V19" i="17" a="1"/>
  <c r="V19" i="17" s="1"/>
  <c r="X19" i="17" a="1"/>
  <c r="X19" i="17" s="1"/>
  <c r="Y19" i="17" s="1"/>
  <c r="Q19" i="17" s="1"/>
  <c r="W19" i="17" s="1"/>
  <c r="R116" i="17" a="1"/>
  <c r="R116" i="17" s="1"/>
  <c r="U206" i="17" a="1"/>
  <c r="U206" i="17" s="1"/>
  <c r="X42" i="17" a="1"/>
  <c r="X42" i="17" s="1"/>
  <c r="Y42" i="17" s="1"/>
  <c r="R6" i="17" a="1"/>
  <c r="R6" i="17" s="1"/>
  <c r="O23" i="17" a="1"/>
  <c r="O23" i="17" s="1"/>
  <c r="R181" i="17" a="1"/>
  <c r="R181" i="17" s="1"/>
  <c r="O181" i="17" a="1"/>
  <c r="O181" i="17" s="1"/>
  <c r="N181" i="17" a="1"/>
  <c r="N181" i="17" s="1"/>
  <c r="S181" i="17" a="1"/>
  <c r="S181" i="17" s="1"/>
  <c r="U181" i="17" a="1"/>
  <c r="U181" i="17" s="1"/>
  <c r="V181" i="17" a="1"/>
  <c r="V181" i="17" s="1"/>
  <c r="T181" i="17" a="1"/>
  <c r="T181" i="17" s="1"/>
  <c r="U126" i="17" a="1"/>
  <c r="U126" i="17" s="1"/>
  <c r="R126" i="17" a="1"/>
  <c r="R126" i="17" s="1"/>
  <c r="T126" i="17" a="1"/>
  <c r="T126" i="17" s="1"/>
  <c r="S126" i="17" a="1"/>
  <c r="S126" i="17" s="1"/>
  <c r="O126" i="17" a="1"/>
  <c r="O126" i="17" s="1"/>
  <c r="V126" i="17" a="1"/>
  <c r="V126" i="17" s="1"/>
  <c r="X126" i="17" a="1"/>
  <c r="X126" i="17" s="1"/>
  <c r="Y126" i="17" s="1"/>
  <c r="N126" i="17" a="1"/>
  <c r="N126" i="17" s="1"/>
  <c r="O188" i="17" a="1"/>
  <c r="O188" i="17" s="1"/>
  <c r="N188" i="17" a="1"/>
  <c r="N188" i="17" s="1"/>
  <c r="V188" i="17" a="1"/>
  <c r="V188" i="17" s="1"/>
  <c r="U188" i="17" a="1"/>
  <c r="U188" i="17" s="1"/>
  <c r="S188" i="17" a="1"/>
  <c r="S188" i="17" s="1"/>
  <c r="U151" i="17" a="1"/>
  <c r="U151" i="17" s="1"/>
  <c r="V11" i="17" a="1"/>
  <c r="V11" i="17" s="1"/>
  <c r="N7" i="17" a="1"/>
  <c r="N7" i="17" s="1"/>
  <c r="N178" i="17" a="1"/>
  <c r="N178" i="17" s="1"/>
  <c r="V178" i="17" a="1"/>
  <c r="V178" i="17" s="1"/>
  <c r="T178" i="17" a="1"/>
  <c r="T178" i="17" s="1"/>
  <c r="R178" i="17" a="1"/>
  <c r="R178" i="17" s="1"/>
  <c r="X178" i="17" a="1"/>
  <c r="X178" i="17" s="1"/>
  <c r="Y178" i="17" s="1"/>
  <c r="Q178" i="17" s="1"/>
  <c r="W178" i="17" s="1"/>
  <c r="O151" i="17" a="1"/>
  <c r="O151" i="17" s="1"/>
  <c r="S151" i="17" a="1"/>
  <c r="S151" i="17" s="1"/>
  <c r="T151" i="17" a="1"/>
  <c r="T151" i="17" s="1"/>
  <c r="R151" i="17" a="1"/>
  <c r="R151" i="17" s="1"/>
  <c r="N151" i="17" a="1"/>
  <c r="N151" i="17" s="1"/>
  <c r="V151" i="17" a="1"/>
  <c r="V151" i="17" s="1"/>
  <c r="R123" i="17" a="1"/>
  <c r="R123" i="17" s="1"/>
  <c r="N123" i="17" a="1"/>
  <c r="N123" i="17" s="1"/>
  <c r="T123" i="17" a="1"/>
  <c r="T123" i="17" s="1"/>
  <c r="V123" i="17" a="1"/>
  <c r="V123" i="17" s="1"/>
  <c r="O123" i="17" a="1"/>
  <c r="O123" i="17" s="1"/>
  <c r="U123" i="17" a="1"/>
  <c r="U123" i="17" s="1"/>
  <c r="X123" i="17" a="1"/>
  <c r="X123" i="17" s="1"/>
  <c r="Y123" i="17" s="1"/>
  <c r="S96" i="17" a="1"/>
  <c r="S96" i="17" s="1"/>
  <c r="O96" i="17" a="1"/>
  <c r="O96" i="17" s="1"/>
  <c r="X96" i="17" a="1"/>
  <c r="X96" i="17" s="1"/>
  <c r="Y96" i="17" s="1"/>
  <c r="R96" i="17" a="1"/>
  <c r="R96" i="17" s="1"/>
  <c r="U96" i="17" a="1"/>
  <c r="U96" i="17" s="1"/>
  <c r="T96" i="17" a="1"/>
  <c r="T96" i="17" s="1"/>
  <c r="T68" i="17" a="1"/>
  <c r="T68" i="17" s="1"/>
  <c r="N68" i="17" a="1"/>
  <c r="N68" i="17" s="1"/>
  <c r="O68" i="17" a="1"/>
  <c r="O68" i="17" s="1"/>
  <c r="U68" i="17" a="1"/>
  <c r="U68" i="17" s="1"/>
  <c r="V68" i="17" a="1"/>
  <c r="V68" i="17" s="1"/>
  <c r="N41" i="17" a="1"/>
  <c r="N41" i="17" s="1"/>
  <c r="U41" i="17" a="1"/>
  <c r="U41" i="17" s="1"/>
  <c r="O41" i="17" a="1"/>
  <c r="O41" i="17" s="1"/>
  <c r="T41" i="17" a="1"/>
  <c r="T41" i="17" s="1"/>
  <c r="S41" i="17" a="1"/>
  <c r="S41" i="17" s="1"/>
  <c r="X41" i="17" a="1"/>
  <c r="X41" i="17" s="1"/>
  <c r="Y41" i="17" s="1"/>
  <c r="Q41" i="17" s="1"/>
  <c r="W41" i="17" s="1"/>
  <c r="R41" i="17" a="1"/>
  <c r="R41" i="17" s="1"/>
  <c r="O183" i="17" a="1"/>
  <c r="O183" i="17" s="1"/>
  <c r="Q183" i="17" s="1"/>
  <c r="W183" i="17" s="1"/>
  <c r="N183" i="17" a="1"/>
  <c r="N183" i="17" s="1"/>
  <c r="R183" i="17" a="1"/>
  <c r="R183" i="17" s="1"/>
  <c r="S183" i="17" a="1"/>
  <c r="S183" i="17" s="1"/>
  <c r="U183" i="17" a="1"/>
  <c r="U183" i="17" s="1"/>
  <c r="T183" i="17" a="1"/>
  <c r="T183" i="17" s="1"/>
  <c r="X101" i="17" a="1"/>
  <c r="X101" i="17" s="1"/>
  <c r="Y101" i="17" s="1"/>
  <c r="X69" i="17" a="1"/>
  <c r="X69" i="17" s="1"/>
  <c r="Y69" i="17" s="1"/>
  <c r="Q69" i="17" s="1"/>
  <c r="W69" i="17" s="1"/>
  <c r="V93" i="17" a="1"/>
  <c r="V93" i="17" s="1"/>
  <c r="S62" i="17" a="1"/>
  <c r="S62" i="17" s="1"/>
  <c r="R74" i="17" a="1"/>
  <c r="R74" i="17" s="1"/>
  <c r="O176" i="17" a="1"/>
  <c r="O176" i="17" s="1"/>
  <c r="N75" i="17" a="1"/>
  <c r="N75" i="17" s="1"/>
  <c r="V154" i="17" a="1"/>
  <c r="V154" i="17" s="1"/>
  <c r="V119" i="17" a="1"/>
  <c r="V119" i="17" s="1"/>
  <c r="V41" i="17" a="1"/>
  <c r="V41" i="17" s="1"/>
  <c r="T157" i="17" a="1"/>
  <c r="T157" i="17" s="1"/>
  <c r="S191" i="17" a="1"/>
  <c r="S191" i="17" s="1"/>
  <c r="N207" i="17" a="1"/>
  <c r="N207" i="17" s="1"/>
  <c r="X151" i="17" a="1"/>
  <c r="X151" i="17" s="1"/>
  <c r="Y151" i="17" s="1"/>
  <c r="X58" i="17" a="1"/>
  <c r="X58" i="17" s="1"/>
  <c r="Y58" i="17" s="1"/>
  <c r="U19" i="17" a="1"/>
  <c r="U19" i="17" s="1"/>
  <c r="T90" i="17" a="1"/>
  <c r="T90" i="17" s="1"/>
  <c r="S59" i="17" a="1"/>
  <c r="S59" i="17" s="1"/>
  <c r="O158" i="17" a="1"/>
  <c r="O158" i="17" s="1"/>
  <c r="O78" i="17" a="1"/>
  <c r="O78" i="17" s="1"/>
  <c r="N155" i="17" a="1"/>
  <c r="N155" i="17" s="1"/>
  <c r="V174" i="17" a="1"/>
  <c r="V174" i="17" s="1"/>
  <c r="O33" i="17" a="1"/>
  <c r="O33" i="17" s="1"/>
  <c r="R159" i="17" a="1"/>
  <c r="R159" i="17" s="1"/>
  <c r="T159" i="17" a="1"/>
  <c r="T159" i="17" s="1"/>
  <c r="S159" i="17" a="1"/>
  <c r="S159" i="17" s="1"/>
  <c r="N132" i="17" a="1"/>
  <c r="N132" i="17" s="1"/>
  <c r="O132" i="17" a="1"/>
  <c r="O132" i="17" s="1"/>
  <c r="U132" i="17" a="1"/>
  <c r="U132" i="17" s="1"/>
  <c r="S132" i="17" a="1"/>
  <c r="S132" i="17" s="1"/>
  <c r="V132" i="17" a="1"/>
  <c r="V132" i="17" s="1"/>
  <c r="X132" i="17" a="1"/>
  <c r="X132" i="17" s="1"/>
  <c r="Y132" i="17" s="1"/>
  <c r="O104" i="17" a="1"/>
  <c r="O104" i="17" s="1"/>
  <c r="N104" i="17" a="1"/>
  <c r="N104" i="17" s="1"/>
  <c r="R104" i="17" a="1"/>
  <c r="R104" i="17" s="1"/>
  <c r="S104" i="17" a="1"/>
  <c r="S104" i="17" s="1"/>
  <c r="T104" i="17" a="1"/>
  <c r="T104" i="17" s="1"/>
  <c r="V104" i="17" a="1"/>
  <c r="V104" i="17" s="1"/>
  <c r="S77" i="17" a="1"/>
  <c r="S77" i="17" s="1"/>
  <c r="O77" i="17" a="1"/>
  <c r="O77" i="17" s="1"/>
  <c r="V77" i="17" a="1"/>
  <c r="V77" i="17" s="1"/>
  <c r="U77" i="17" a="1"/>
  <c r="U77" i="17" s="1"/>
  <c r="S189" i="17" a="1"/>
  <c r="S189" i="17" s="1"/>
  <c r="O189" i="17" a="1"/>
  <c r="O189" i="17" s="1"/>
  <c r="T189" i="17" a="1"/>
  <c r="T189" i="17" s="1"/>
  <c r="U189" i="17" a="1"/>
  <c r="U189" i="17" s="1"/>
  <c r="V189" i="17" a="1"/>
  <c r="V189" i="17" s="1"/>
  <c r="N189" i="17" a="1"/>
  <c r="N189" i="17" s="1"/>
  <c r="N22" i="17" a="1"/>
  <c r="N22" i="17" s="1"/>
  <c r="O22" i="17" a="1"/>
  <c r="O22" i="17" s="1"/>
  <c r="T22" i="17" a="1"/>
  <c r="T22" i="17" s="1"/>
  <c r="V22" i="17" a="1"/>
  <c r="V22" i="17" s="1"/>
  <c r="U22" i="17" a="1"/>
  <c r="U22" i="17" s="1"/>
  <c r="R22" i="17" a="1"/>
  <c r="R22" i="17" s="1"/>
  <c r="N130" i="17" a="1"/>
  <c r="N130" i="17" s="1"/>
  <c r="V98" i="17" a="1"/>
  <c r="V98" i="17" s="1"/>
  <c r="S20" i="17" a="1"/>
  <c r="S20" i="17" s="1"/>
  <c r="U5" i="17" a="1"/>
  <c r="U5" i="17" s="1"/>
  <c r="X44" i="17" a="1"/>
  <c r="X44" i="17" s="1"/>
  <c r="Y44" i="17" s="1"/>
  <c r="Q44" i="17" s="1"/>
  <c r="W44" i="17" s="1"/>
  <c r="U101" i="17" a="1"/>
  <c r="U101" i="17" s="1"/>
  <c r="V191" i="17" a="1"/>
  <c r="V191" i="17" s="1"/>
  <c r="V171" i="17" a="1"/>
  <c r="V171" i="17" s="1"/>
  <c r="T62" i="17" a="1"/>
  <c r="T62" i="17" s="1"/>
  <c r="V170" i="17" a="1"/>
  <c r="V170" i="17" s="1"/>
  <c r="N8" i="17" a="1"/>
  <c r="N8" i="17" s="1"/>
  <c r="O180" i="17" a="1"/>
  <c r="O180" i="17" s="1"/>
  <c r="N180" i="17" a="1"/>
  <c r="N180" i="17" s="1"/>
  <c r="T180" i="17" a="1"/>
  <c r="T180" i="17" s="1"/>
  <c r="S180" i="17" a="1"/>
  <c r="S180" i="17" s="1"/>
  <c r="V180" i="17" a="1"/>
  <c r="V180" i="17" s="1"/>
  <c r="U180" i="17" a="1"/>
  <c r="U180" i="17" s="1"/>
  <c r="R180" i="17" a="1"/>
  <c r="R180" i="17" s="1"/>
  <c r="X180" i="17" a="1"/>
  <c r="X180" i="17" s="1"/>
  <c r="Y180" i="17" s="1"/>
  <c r="R152" i="17" a="1"/>
  <c r="R152" i="17" s="1"/>
  <c r="O152" i="17" a="1"/>
  <c r="O152" i="17" s="1"/>
  <c r="S152" i="17" a="1"/>
  <c r="S152" i="17" s="1"/>
  <c r="T152" i="17" a="1"/>
  <c r="T152" i="17" s="1"/>
  <c r="R125" i="17" a="1"/>
  <c r="R125" i="17" s="1"/>
  <c r="N125" i="17" a="1"/>
  <c r="N125" i="17" s="1"/>
  <c r="T125" i="17" a="1"/>
  <c r="T125" i="17" s="1"/>
  <c r="O125" i="17" a="1"/>
  <c r="O125" i="17" s="1"/>
  <c r="V125" i="17" a="1"/>
  <c r="V125" i="17" s="1"/>
  <c r="X125" i="17" a="1"/>
  <c r="X125" i="17" s="1"/>
  <c r="Y125" i="17" s="1"/>
  <c r="U197" i="17" a="1"/>
  <c r="U197" i="17" s="1"/>
  <c r="O197" i="17" a="1"/>
  <c r="O197" i="17" s="1"/>
  <c r="R197" i="17" a="1"/>
  <c r="R197" i="17" s="1"/>
  <c r="T197" i="17" a="1"/>
  <c r="T197" i="17" s="1"/>
  <c r="V70" i="17" a="1"/>
  <c r="V70" i="17" s="1"/>
  <c r="O70" i="17" a="1"/>
  <c r="O70" i="17" s="1"/>
  <c r="S70" i="17" a="1"/>
  <c r="S70" i="17" s="1"/>
  <c r="T70" i="17" a="1"/>
  <c r="T70" i="17" s="1"/>
  <c r="U70" i="17" a="1"/>
  <c r="U70" i="17" s="1"/>
  <c r="N43" i="17" a="1"/>
  <c r="N43" i="17" s="1"/>
  <c r="U43" i="17" a="1"/>
  <c r="U43" i="17" s="1"/>
  <c r="R43" i="17" a="1"/>
  <c r="R43" i="17" s="1"/>
  <c r="T43" i="17" a="1"/>
  <c r="T43" i="17" s="1"/>
  <c r="O43" i="17" a="1"/>
  <c r="O43" i="17" s="1"/>
  <c r="S43" i="17" a="1"/>
  <c r="S43" i="17" s="1"/>
  <c r="X43" i="17" a="1"/>
  <c r="X43" i="17" s="1"/>
  <c r="Y43" i="17" s="1"/>
  <c r="S15" i="17" a="1"/>
  <c r="S15" i="17" s="1"/>
  <c r="R15" i="17" a="1"/>
  <c r="R15" i="17" s="1"/>
  <c r="V15" i="17" a="1"/>
  <c r="V15" i="17" s="1"/>
  <c r="U15" i="17" a="1"/>
  <c r="U15" i="17" s="1"/>
  <c r="X15" i="17" a="1"/>
  <c r="X15" i="17" s="1"/>
  <c r="Y15" i="17" s="1"/>
  <c r="Q15" i="17" s="1"/>
  <c r="W15" i="17" s="1"/>
  <c r="T15" i="17" a="1"/>
  <c r="T15" i="17" s="1"/>
  <c r="O15" i="17" a="1"/>
  <c r="O15" i="17" s="1"/>
  <c r="X102" i="17" a="1"/>
  <c r="X102" i="17" s="1"/>
  <c r="Y102" i="17" s="1"/>
  <c r="X70" i="17" a="1"/>
  <c r="X70" i="17" s="1"/>
  <c r="Y70" i="17" s="1"/>
  <c r="N97" i="17" a="1"/>
  <c r="N97" i="17" s="1"/>
  <c r="S206" i="17" a="1"/>
  <c r="S206" i="17" s="1"/>
  <c r="T206" i="17" a="1"/>
  <c r="T206" i="17" s="1"/>
  <c r="V206" i="17" a="1"/>
  <c r="V206" i="17" s="1"/>
  <c r="R206" i="17" a="1"/>
  <c r="R206" i="17" s="1"/>
  <c r="O97" i="17" a="1"/>
  <c r="O97" i="17" s="1"/>
  <c r="S97" i="17" a="1"/>
  <c r="S97" i="17" s="1"/>
  <c r="T97" i="17" a="1"/>
  <c r="T97" i="17" s="1"/>
  <c r="R97" i="17" a="1"/>
  <c r="R97" i="17" s="1"/>
  <c r="U69" i="17" a="1"/>
  <c r="U69" i="17" s="1"/>
  <c r="T69" i="17" a="1"/>
  <c r="T69" i="17" s="1"/>
  <c r="V69" i="17" a="1"/>
  <c r="V69" i="17" s="1"/>
  <c r="S69" i="17" a="1"/>
  <c r="S69" i="17" s="1"/>
  <c r="O69" i="17" a="1"/>
  <c r="O69" i="17" s="1"/>
  <c r="N42" i="17" a="1"/>
  <c r="N42" i="17" s="1"/>
  <c r="O42" i="17" a="1"/>
  <c r="O42" i="17" s="1"/>
  <c r="U42" i="17" a="1"/>
  <c r="U42" i="17" s="1"/>
  <c r="R42" i="17" a="1"/>
  <c r="R42" i="17" s="1"/>
  <c r="T42" i="17" a="1"/>
  <c r="T42" i="17" s="1"/>
  <c r="S42" i="17" a="1"/>
  <c r="S42" i="17" s="1"/>
  <c r="X131" i="17" a="1"/>
  <c r="X131" i="17" s="1"/>
  <c r="Y131" i="17" s="1"/>
  <c r="S9" i="17" a="1"/>
  <c r="S9" i="17" s="1"/>
  <c r="X186" i="17" a="1"/>
  <c r="X186" i="17" s="1"/>
  <c r="Y186" i="17" s="1"/>
  <c r="N96" i="17" a="1"/>
  <c r="N96" i="17" s="1"/>
  <c r="O150" i="17" a="1"/>
  <c r="O150" i="17" s="1"/>
  <c r="N150" i="17" a="1"/>
  <c r="N150" i="17" s="1"/>
  <c r="R150" i="17" a="1"/>
  <c r="R150" i="17" s="1"/>
  <c r="T150" i="17" a="1"/>
  <c r="T150" i="17" s="1"/>
  <c r="S150" i="17" a="1"/>
  <c r="S150" i="17" s="1"/>
  <c r="R95" i="17" a="1"/>
  <c r="R95" i="17" s="1"/>
  <c r="T95" i="17" a="1"/>
  <c r="T95" i="17" s="1"/>
  <c r="O95" i="17" a="1"/>
  <c r="O95" i="17" s="1"/>
  <c r="V95" i="17" a="1"/>
  <c r="V95" i="17" s="1"/>
  <c r="X95" i="17" a="1"/>
  <c r="X95" i="17" s="1"/>
  <c r="Y95" i="17" s="1"/>
  <c r="U95" i="17" a="1"/>
  <c r="U95" i="17" s="1"/>
  <c r="N95" i="17" a="1"/>
  <c r="N95" i="17" s="1"/>
  <c r="S95" i="17" a="1"/>
  <c r="S95" i="17" s="1"/>
  <c r="N13" i="17" a="1"/>
  <c r="N13" i="17" s="1"/>
  <c r="U13" i="17" a="1"/>
  <c r="U13" i="17" s="1"/>
  <c r="S13" i="17" a="1"/>
  <c r="S13" i="17" s="1"/>
  <c r="R13" i="17" a="1"/>
  <c r="R13" i="17" s="1"/>
  <c r="T13" i="17" a="1"/>
  <c r="T13" i="17" s="1"/>
  <c r="X13" i="17" a="1"/>
  <c r="X13" i="17" s="1"/>
  <c r="Y13" i="17" s="1"/>
  <c r="Q13" i="17" s="1"/>
  <c r="W13" i="17" s="1"/>
  <c r="O13" i="17" a="1"/>
  <c r="O13" i="17" s="1"/>
  <c r="O11" i="17" a="1"/>
  <c r="O11" i="17" s="1"/>
  <c r="R201" i="17" a="1"/>
  <c r="R201" i="17" s="1"/>
  <c r="O201" i="17" a="1"/>
  <c r="O201" i="17" s="1"/>
  <c r="S201" i="17" a="1"/>
  <c r="S201" i="17" s="1"/>
  <c r="T201" i="17" a="1"/>
  <c r="T201" i="17" s="1"/>
  <c r="N201" i="17" a="1"/>
  <c r="N201" i="17" s="1"/>
  <c r="O39" i="17" a="1"/>
  <c r="O39" i="17" s="1"/>
  <c r="T39" i="17" a="1"/>
  <c r="T39" i="17" s="1"/>
  <c r="R39" i="17" a="1"/>
  <c r="R39" i="17" s="1"/>
  <c r="X39" i="17" a="1"/>
  <c r="X39" i="17" s="1"/>
  <c r="Y39" i="17" s="1"/>
  <c r="V39" i="17" a="1"/>
  <c r="V39" i="17" s="1"/>
  <c r="S39" i="17" a="1"/>
  <c r="S39" i="17" s="1"/>
  <c r="N39" i="17" a="1"/>
  <c r="N39" i="17" s="1"/>
  <c r="X100" i="17" a="1"/>
  <c r="X100" i="17" s="1"/>
  <c r="Y100" i="17" s="1"/>
  <c r="T113" i="17" a="1"/>
  <c r="T113" i="17" s="1"/>
  <c r="X98" i="17" a="1"/>
  <c r="X98" i="17" s="1"/>
  <c r="Y98" i="17" s="1"/>
  <c r="V42" i="17" a="1"/>
  <c r="V42" i="17" s="1"/>
  <c r="T158" i="17" a="1"/>
  <c r="T158" i="17" s="1"/>
  <c r="S205" i="17" a="1"/>
  <c r="S205" i="17" s="1"/>
  <c r="N159" i="17" a="1"/>
  <c r="N159" i="17" s="1"/>
  <c r="X122" i="17" a="1"/>
  <c r="X122" i="17" s="1"/>
  <c r="Y122" i="17" s="1"/>
  <c r="X197" i="17" a="1"/>
  <c r="X197" i="17" s="1"/>
  <c r="Y197" i="17" s="1"/>
  <c r="X57" i="17" a="1"/>
  <c r="X57" i="17" s="1"/>
  <c r="Y57" i="17" s="1"/>
  <c r="V152" i="17" a="1"/>
  <c r="V152" i="17" s="1"/>
  <c r="V117" i="17" a="1"/>
  <c r="V117" i="17" s="1"/>
  <c r="V76" i="17" a="1"/>
  <c r="V76" i="17" s="1"/>
  <c r="U174" i="17" a="1"/>
  <c r="U174" i="17" s="1"/>
  <c r="U122" i="17" a="1"/>
  <c r="U122" i="17" s="1"/>
  <c r="T89" i="17" a="1"/>
  <c r="T89" i="17" s="1"/>
  <c r="R146" i="17" a="1"/>
  <c r="R146" i="17" s="1"/>
  <c r="R70" i="17" a="1"/>
  <c r="R70" i="17" s="1"/>
  <c r="O207" i="17" a="1"/>
  <c r="O207" i="17" s="1"/>
  <c r="O67" i="17" a="1"/>
  <c r="O67" i="17" s="1"/>
  <c r="X209" i="17" a="1"/>
  <c r="X209" i="17" s="1"/>
  <c r="Y209" i="17" s="1"/>
  <c r="U155" i="17" a="1"/>
  <c r="U155" i="17" s="1"/>
  <c r="S176" i="17" a="1"/>
  <c r="S176" i="17" s="1"/>
  <c r="X8" i="17" a="1"/>
  <c r="X8" i="17" s="1"/>
  <c r="Y8" i="17" s="1"/>
  <c r="V14" i="17" a="1"/>
  <c r="V14" i="17" s="1"/>
  <c r="U104" i="17" a="1"/>
  <c r="U104" i="17" s="1"/>
  <c r="X204" i="17" a="1"/>
  <c r="X204" i="17" s="1"/>
  <c r="Y204" i="17" s="1"/>
  <c r="O113" i="17" a="1"/>
  <c r="O113" i="17" s="1"/>
  <c r="V197" i="17" a="1"/>
  <c r="V197" i="17" s="1"/>
  <c r="X167" i="17" a="1"/>
  <c r="X167" i="17" s="1"/>
  <c r="Y167" i="17" s="1"/>
  <c r="O112" i="17" a="1"/>
  <c r="O112" i="17" s="1"/>
  <c r="V13" i="17" a="1"/>
  <c r="V13" i="17" s="1"/>
  <c r="N15" i="17" a="1"/>
  <c r="N15" i="17" s="1"/>
  <c r="Y189" i="17"/>
  <c r="R211" i="17" a="1"/>
  <c r="R211" i="17" s="1"/>
  <c r="N211" i="17" a="1"/>
  <c r="N211" i="17" s="1"/>
  <c r="S211" i="17" a="1"/>
  <c r="S211" i="17" s="1"/>
  <c r="U211" i="17" a="1"/>
  <c r="U211" i="17" s="1"/>
  <c r="V211" i="17" a="1"/>
  <c r="V211" i="17" s="1"/>
  <c r="T211" i="17" a="1"/>
  <c r="T211" i="17" s="1"/>
  <c r="U154" i="17" a="1"/>
  <c r="U154" i="17" s="1"/>
  <c r="O154" i="17" a="1"/>
  <c r="O154" i="17" s="1"/>
  <c r="R154" i="17" a="1"/>
  <c r="R154" i="17" s="1"/>
  <c r="S154" i="17" a="1"/>
  <c r="S154" i="17" s="1"/>
  <c r="X154" i="17" a="1"/>
  <c r="X154" i="17" s="1"/>
  <c r="Y154" i="17" s="1"/>
  <c r="Q154" i="17" s="1"/>
  <c r="W154" i="17" s="1"/>
  <c r="R127" i="17" a="1"/>
  <c r="R127" i="17" s="1"/>
  <c r="T127" i="17" a="1"/>
  <c r="T127" i="17" s="1"/>
  <c r="S127" i="17" a="1"/>
  <c r="S127" i="17" s="1"/>
  <c r="N127" i="17" a="1"/>
  <c r="N127" i="17" s="1"/>
  <c r="V127" i="17" a="1"/>
  <c r="V127" i="17" s="1"/>
  <c r="O127" i="17" a="1"/>
  <c r="O127" i="17" s="1"/>
  <c r="X127" i="17" a="1"/>
  <c r="X127" i="17" s="1"/>
  <c r="Y127" i="17" s="1"/>
  <c r="S99" i="17" a="1"/>
  <c r="S99" i="17" s="1"/>
  <c r="U99" i="17" a="1"/>
  <c r="U99" i="17" s="1"/>
  <c r="O99" i="17" a="1"/>
  <c r="O99" i="17" s="1"/>
  <c r="N99" i="17" a="1"/>
  <c r="N99" i="17" s="1"/>
  <c r="R99" i="17" a="1"/>
  <c r="R99" i="17" s="1"/>
  <c r="T99" i="17" a="1"/>
  <c r="T99" i="17" s="1"/>
  <c r="N72" i="17" a="1"/>
  <c r="N72" i="17" s="1"/>
  <c r="O72" i="17" a="1"/>
  <c r="O72" i="17" s="1"/>
  <c r="R72" i="17" a="1"/>
  <c r="R72" i="17" s="1"/>
  <c r="V72" i="17" a="1"/>
  <c r="V72" i="17" s="1"/>
  <c r="S72" i="17" a="1"/>
  <c r="S72" i="17" s="1"/>
  <c r="X72" i="17" a="1"/>
  <c r="X72" i="17" s="1"/>
  <c r="Y72" i="17" s="1"/>
  <c r="T72" i="17" a="1"/>
  <c r="T72" i="17" s="1"/>
  <c r="U72" i="17" a="1"/>
  <c r="U72" i="17" s="1"/>
  <c r="S44" i="17" a="1"/>
  <c r="S44" i="17" s="1"/>
  <c r="O44" i="17" a="1"/>
  <c r="O44" i="17" s="1"/>
  <c r="R44" i="17" a="1"/>
  <c r="R44" i="17" s="1"/>
  <c r="N44" i="17" a="1"/>
  <c r="N44" i="17" s="1"/>
  <c r="U44" i="17" a="1"/>
  <c r="U44" i="17" s="1"/>
  <c r="T44" i="17" a="1"/>
  <c r="T44" i="17" s="1"/>
  <c r="R17" i="17" a="1"/>
  <c r="R17" i="17" s="1"/>
  <c r="S17" i="17" a="1"/>
  <c r="S17" i="17" s="1"/>
  <c r="V17" i="17" a="1"/>
  <c r="V17" i="17" s="1"/>
  <c r="U17" i="17" a="1"/>
  <c r="U17" i="17" s="1"/>
  <c r="T17" i="17" a="1"/>
  <c r="T17" i="17" s="1"/>
  <c r="X103" i="17" a="1"/>
  <c r="X103" i="17" s="1"/>
  <c r="Y103" i="17" s="1"/>
  <c r="X74" i="17" a="1"/>
  <c r="X74" i="17" s="1"/>
  <c r="Y74" i="17" s="1"/>
  <c r="Q74" i="17" s="1"/>
  <c r="W74" i="17" s="1"/>
  <c r="R114" i="17" a="1"/>
  <c r="R114" i="17" s="1"/>
  <c r="Y82" i="17"/>
  <c r="Q82" i="17" s="1"/>
  <c r="W82" i="17" s="1"/>
  <c r="Y49" i="17"/>
  <c r="Q49" i="17" s="1"/>
  <c r="W49" i="17"/>
  <c r="N71" i="17" a="1"/>
  <c r="N71" i="17" s="1"/>
  <c r="U71" i="17" a="1"/>
  <c r="U71" i="17" s="1"/>
  <c r="O71" i="17" a="1"/>
  <c r="O71" i="17" s="1"/>
  <c r="R71" i="17" a="1"/>
  <c r="R71" i="17" s="1"/>
  <c r="T71" i="17" a="1"/>
  <c r="T71" i="17" s="1"/>
  <c r="S71" i="17" a="1"/>
  <c r="S71" i="17" s="1"/>
  <c r="X71" i="17" a="1"/>
  <c r="X71" i="17" s="1"/>
  <c r="Y71" i="17" s="1"/>
  <c r="V71" i="17" a="1"/>
  <c r="V71" i="17" s="1"/>
  <c r="V12" i="17" a="1"/>
  <c r="V12" i="17" s="1"/>
  <c r="U50" i="17" a="1"/>
  <c r="U50" i="17" s="1"/>
  <c r="V60" i="17" a="1"/>
  <c r="V60" i="17" s="1"/>
  <c r="V209" i="17" a="1"/>
  <c r="V209" i="17" s="1"/>
  <c r="R4" i="17" a="1"/>
  <c r="R4" i="17" s="1"/>
  <c r="O101" i="17" a="1"/>
  <c r="O101" i="17" s="1"/>
  <c r="V169" i="17" a="1"/>
  <c r="V169" i="17" s="1"/>
  <c r="V44" i="17" a="1"/>
  <c r="V44" i="17" s="1"/>
  <c r="V168" i="17" a="1"/>
  <c r="V168" i="17" s="1"/>
  <c r="T93" i="17" a="1"/>
  <c r="T93" i="17" s="1"/>
  <c r="X59" i="17" a="1"/>
  <c r="X59" i="17" s="1"/>
  <c r="Y59" i="17" s="1"/>
  <c r="X150" i="17" a="1"/>
  <c r="X150" i="17" s="1"/>
  <c r="Y150" i="17" s="1"/>
  <c r="X211" i="17" a="1"/>
  <c r="X211" i="17" s="1"/>
  <c r="Y211" i="17" s="1"/>
  <c r="X121" i="17" a="1"/>
  <c r="X121" i="17" s="1"/>
  <c r="Y121" i="17" s="1"/>
  <c r="Q121" i="17" s="1"/>
  <c r="W121" i="17" s="1"/>
  <c r="V38" i="17" a="1"/>
  <c r="V38" i="17" s="1"/>
  <c r="U209" i="17" a="1"/>
  <c r="U209" i="17" s="1"/>
  <c r="U78" i="17" a="1"/>
  <c r="U78" i="17" s="1"/>
  <c r="U18" i="17" a="1"/>
  <c r="U18" i="17" s="1"/>
  <c r="S128" i="17" a="1"/>
  <c r="S128" i="17" s="1"/>
  <c r="R205" i="17" a="1"/>
  <c r="R205" i="17" s="1"/>
  <c r="O157" i="17" a="1"/>
  <c r="O157" i="17" s="1"/>
  <c r="O63" i="17" a="1"/>
  <c r="O63" i="17" s="1"/>
  <c r="N154" i="17" a="1"/>
  <c r="N154" i="17" s="1"/>
  <c r="N67" i="17" a="1"/>
  <c r="N67" i="17" s="1"/>
  <c r="Y112" i="17"/>
  <c r="Y191" i="17"/>
  <c r="R210" i="17" a="1"/>
  <c r="R210" i="17" s="1"/>
  <c r="T210" i="17" a="1"/>
  <c r="T210" i="17" s="1"/>
  <c r="N210" i="17" a="1"/>
  <c r="N210" i="17" s="1"/>
  <c r="O210" i="17" a="1"/>
  <c r="O210" i="17" s="1"/>
  <c r="X210" i="17" a="1"/>
  <c r="X210" i="17" s="1"/>
  <c r="Y210" i="17" s="1"/>
  <c r="N147" i="17" a="1"/>
  <c r="N147" i="17" s="1"/>
  <c r="N117" i="17" a="1"/>
  <c r="N117" i="17" s="1"/>
  <c r="N148" i="17" a="1"/>
  <c r="N148" i="17" s="1"/>
  <c r="U148" i="17" a="1"/>
  <c r="U148" i="17" s="1"/>
  <c r="O121" i="17" a="1"/>
  <c r="O121" i="17" s="1"/>
  <c r="R121" i="17" a="1"/>
  <c r="R121" i="17" s="1"/>
  <c r="S121" i="17" a="1"/>
  <c r="S121" i="17" s="1"/>
  <c r="R93" i="17" a="1"/>
  <c r="R93" i="17" s="1"/>
  <c r="R66" i="17" a="1"/>
  <c r="R66" i="17" s="1"/>
  <c r="T66" i="17" a="1"/>
  <c r="T66" i="17" s="1"/>
  <c r="S66" i="17" a="1"/>
  <c r="S66" i="17" s="1"/>
  <c r="N66" i="17" a="1"/>
  <c r="N66" i="17" s="1"/>
  <c r="U66" i="17" a="1"/>
  <c r="U66" i="17" s="1"/>
  <c r="R38" i="17" a="1"/>
  <c r="R38" i="17" s="1"/>
  <c r="X38" i="17" a="1"/>
  <c r="X38" i="17" s="1"/>
  <c r="Y38" i="17" s="1"/>
  <c r="N11" i="17" a="1"/>
  <c r="N11" i="17" s="1"/>
  <c r="R11" i="17" a="1"/>
  <c r="R11" i="17" s="1"/>
  <c r="S11" i="17" a="1"/>
  <c r="S11" i="17" s="1"/>
  <c r="N170" i="17" a="1"/>
  <c r="N170" i="17" s="1"/>
  <c r="U31" i="17" a="1"/>
  <c r="U31" i="17" s="1"/>
  <c r="U200" i="17" a="1"/>
  <c r="U200" i="17" s="1"/>
  <c r="X10" i="17" a="1"/>
  <c r="X10" i="17" s="1"/>
  <c r="Y10" i="17" s="1"/>
  <c r="T86" i="17" a="1"/>
  <c r="T86" i="17" s="1"/>
  <c r="T142" i="17" a="1"/>
  <c r="T142" i="17" s="1"/>
  <c r="U186" i="17" a="1"/>
  <c r="U186" i="17" s="1"/>
  <c r="U65" i="17" a="1"/>
  <c r="U65" i="17" s="1"/>
  <c r="V32" i="17" a="1"/>
  <c r="V32" i="17" s="1"/>
  <c r="S2" i="17" a="1"/>
  <c r="S2" i="17" s="1"/>
  <c r="T143" i="17" a="1"/>
  <c r="T143" i="17" s="1"/>
  <c r="U116" i="17" a="1"/>
  <c r="U116" i="17" s="1"/>
  <c r="X11" i="17" a="1"/>
  <c r="X11" i="17" s="1"/>
  <c r="Y11" i="17" s="1"/>
  <c r="U32" i="17" a="1"/>
  <c r="U32" i="17" s="1"/>
  <c r="N114" i="17" a="1"/>
  <c r="N114" i="17" s="1"/>
  <c r="N144" i="17" a="1"/>
  <c r="N144" i="17" s="1"/>
  <c r="N172" i="17" a="1"/>
  <c r="N172" i="17" s="1"/>
  <c r="T2" i="17" a="1"/>
  <c r="T2" i="17" s="1"/>
  <c r="T87" i="17" a="1"/>
  <c r="T87" i="17" s="1"/>
  <c r="V33" i="17" a="1"/>
  <c r="V33" i="17" s="1"/>
  <c r="N196" i="17" a="1"/>
  <c r="N196" i="17" s="1"/>
  <c r="N200" i="17" a="1"/>
  <c r="N200" i="17" s="1"/>
  <c r="N175" i="17" a="1"/>
  <c r="N175" i="17" s="1"/>
  <c r="S6" i="17" a="1"/>
  <c r="S6" i="17" s="1"/>
  <c r="S32" i="17" a="1"/>
  <c r="S32" i="17" s="1"/>
  <c r="U34" i="17" a="1"/>
  <c r="U34" i="17" s="1"/>
  <c r="N92" i="17" a="1"/>
  <c r="N92" i="17" s="1"/>
  <c r="O85" i="17" a="1"/>
  <c r="O85" i="17" s="1"/>
  <c r="O140" i="17" a="1"/>
  <c r="O140" i="17" s="1"/>
  <c r="X64" i="17" a="1"/>
  <c r="X64" i="17" s="1"/>
  <c r="Y64" i="17" s="1"/>
  <c r="V167" i="17" a="1"/>
  <c r="V167" i="17" s="1"/>
  <c r="U147" i="17" a="1"/>
  <c r="U147" i="17" s="1"/>
  <c r="U91" i="17" a="1"/>
  <c r="U91" i="17" s="1"/>
  <c r="U33" i="17" a="1"/>
  <c r="U33" i="17" s="1"/>
  <c r="S8" i="17" a="1"/>
  <c r="S8" i="17" s="1"/>
  <c r="R90" i="17" a="1"/>
  <c r="R90" i="17" s="1"/>
  <c r="O147" i="17" a="1"/>
  <c r="O147" i="17" s="1"/>
  <c r="O38" i="17" a="1"/>
  <c r="O38" i="17" s="1"/>
  <c r="O8" i="17" a="1"/>
  <c r="O8" i="17" s="1"/>
  <c r="N187" i="17" a="1"/>
  <c r="N187" i="17" s="1"/>
  <c r="X63" i="17" a="1"/>
  <c r="X63" i="17" s="1"/>
  <c r="Y63" i="17" s="1"/>
  <c r="Q63" i="17" s="1"/>
  <c r="W63" i="17" s="1"/>
  <c r="U146" i="17" a="1"/>
  <c r="U146" i="17" s="1"/>
  <c r="U90" i="17" a="1"/>
  <c r="U90" i="17" s="1"/>
  <c r="T209" i="17" a="1"/>
  <c r="T209" i="17" s="1"/>
  <c r="T35" i="17" a="1"/>
  <c r="T35" i="17" s="1"/>
  <c r="R118" i="17" a="1"/>
  <c r="R118" i="17" s="1"/>
  <c r="R89" i="17" a="1"/>
  <c r="R89" i="17" s="1"/>
  <c r="O146" i="17" a="1"/>
  <c r="O146" i="17" s="1"/>
  <c r="O187" i="17" a="1"/>
  <c r="O187" i="17" s="1"/>
  <c r="O7" i="17" a="1"/>
  <c r="O7" i="17" s="1"/>
  <c r="N33" i="17" a="1"/>
  <c r="N33" i="17" s="1"/>
  <c r="V187" i="17" a="1"/>
  <c r="V187" i="17" s="1"/>
  <c r="U145" i="17" a="1"/>
  <c r="U145" i="17" s="1"/>
  <c r="U88" i="17" a="1"/>
  <c r="U88" i="17" s="1"/>
  <c r="T168" i="17" a="1"/>
  <c r="T168" i="17" s="1"/>
  <c r="T147" i="17" a="1"/>
  <c r="T147" i="17" s="1"/>
  <c r="T58" i="17" a="1"/>
  <c r="T58" i="17" s="1"/>
  <c r="T186" i="17" a="1"/>
  <c r="T186" i="17" s="1"/>
  <c r="S187" i="17" a="1"/>
  <c r="S187" i="17" s="1"/>
  <c r="S5" i="17" a="1"/>
  <c r="S5" i="17" s="1"/>
  <c r="R87" i="17" a="1"/>
  <c r="R87" i="17" s="1"/>
  <c r="O36" i="17" a="1"/>
  <c r="O36" i="17" s="1"/>
  <c r="N186" i="17" a="1"/>
  <c r="N186" i="17" s="1"/>
  <c r="X31" i="17" a="1"/>
  <c r="X31" i="17" s="1"/>
  <c r="Y31" i="17" s="1"/>
  <c r="V147" i="17" a="1"/>
  <c r="V147" i="17" s="1"/>
  <c r="V116" i="17" a="1"/>
  <c r="V116" i="17" s="1"/>
  <c r="U7" i="17" a="1"/>
  <c r="U7" i="17" s="1"/>
  <c r="T57" i="17" a="1"/>
  <c r="T57" i="17" s="1"/>
  <c r="T9" i="17" a="1"/>
  <c r="T9" i="17" s="1"/>
  <c r="S37" i="17" a="1"/>
  <c r="S37" i="17" s="1"/>
  <c r="S4" i="17" a="1"/>
  <c r="S4" i="17" s="1"/>
  <c r="R148" i="17" a="1"/>
  <c r="R148" i="17" s="1"/>
  <c r="R200" i="17" a="1"/>
  <c r="R200" i="17" s="1"/>
  <c r="O204" i="17" a="1"/>
  <c r="O204" i="17" s="1"/>
  <c r="N204" i="17" a="1"/>
  <c r="N204" i="17" s="1"/>
  <c r="V85" i="17" a="1"/>
  <c r="V85" i="17" s="1"/>
  <c r="U144" i="17" a="1"/>
  <c r="U144" i="17" s="1"/>
  <c r="U87" i="17" a="1"/>
  <c r="U87" i="17" s="1"/>
  <c r="T167" i="17" a="1"/>
  <c r="T167" i="17" s="1"/>
  <c r="T146" i="17" a="1"/>
  <c r="T146" i="17" s="1"/>
  <c r="T31" i="17" a="1"/>
  <c r="T31" i="17" s="1"/>
  <c r="T8" i="17" a="1"/>
  <c r="T8" i="17" s="1"/>
  <c r="S64" i="17" a="1"/>
  <c r="S64" i="17" s="1"/>
  <c r="S34" i="17" a="1"/>
  <c r="S34" i="17" s="1"/>
  <c r="O35" i="17" a="1"/>
  <c r="O35" i="17" s="1"/>
  <c r="N31" i="17" a="1"/>
  <c r="N31" i="17" s="1"/>
  <c r="X120" i="17" a="1"/>
  <c r="X120" i="17" s="1"/>
  <c r="Y120" i="17" s="1"/>
  <c r="X60" i="17" a="1"/>
  <c r="X60" i="17" s="1"/>
  <c r="Y60" i="17" s="1"/>
  <c r="X30" i="17" a="1"/>
  <c r="X30" i="17" s="1"/>
  <c r="Y30" i="17" s="1"/>
  <c r="Q30" i="17" s="1"/>
  <c r="W30" i="17" s="1"/>
  <c r="V146" i="17" a="1"/>
  <c r="V146" i="17" s="1"/>
  <c r="V200" i="17" a="1"/>
  <c r="V200" i="17" s="1"/>
  <c r="V36" i="17" a="1"/>
  <c r="V36" i="17" s="1"/>
  <c r="U6" i="17" a="1"/>
  <c r="U6" i="17" s="1"/>
  <c r="S93" i="17" a="1"/>
  <c r="S93" i="17" s="1"/>
  <c r="S33" i="17" a="1"/>
  <c r="S33" i="17" s="1"/>
  <c r="R147" i="17" a="1"/>
  <c r="R147" i="17" s="1"/>
  <c r="R115" i="17" a="1"/>
  <c r="R115" i="17" s="1"/>
  <c r="O34" i="17" a="1"/>
  <c r="O34" i="17" s="1"/>
  <c r="T174" i="17" a="1"/>
  <c r="T174" i="17" s="1"/>
  <c r="S146" i="17" a="1"/>
  <c r="S146" i="17" s="1"/>
  <c r="N119" i="17" a="1"/>
  <c r="N119" i="17" s="1"/>
  <c r="S119" i="17" a="1"/>
  <c r="S119" i="17" s="1"/>
  <c r="O119" i="17" a="1"/>
  <c r="O119" i="17" s="1"/>
  <c r="T196" i="17" a="1"/>
  <c r="T196" i="17" s="1"/>
  <c r="R64" i="17" a="1"/>
  <c r="R64" i="17" s="1"/>
  <c r="N64" i="17" a="1"/>
  <c r="N64" i="17" s="1"/>
  <c r="O64" i="17" a="1"/>
  <c r="O64" i="17" s="1"/>
  <c r="T37" i="17" a="1"/>
  <c r="T37" i="17" s="1"/>
  <c r="V37" i="17" a="1"/>
  <c r="V37" i="17" s="1"/>
  <c r="R37" i="17" a="1"/>
  <c r="R37" i="17" s="1"/>
  <c r="N141" i="17" a="1"/>
  <c r="N141" i="17" s="1"/>
  <c r="O114" i="17" a="1"/>
  <c r="O114" i="17" s="1"/>
  <c r="O171" i="17" a="1"/>
  <c r="O171" i="17" s="1"/>
  <c r="R8" i="17" a="1"/>
  <c r="R8" i="17" s="1"/>
  <c r="R120" i="17" a="1"/>
  <c r="R120" i="17" s="1"/>
  <c r="R175" i="17" a="1"/>
  <c r="R175" i="17" s="1"/>
  <c r="U169" i="17" a="1"/>
  <c r="U169" i="17" s="1"/>
  <c r="V2" i="17" a="1"/>
  <c r="V2" i="17" s="1"/>
  <c r="V30" i="17" a="1"/>
  <c r="V30" i="17" s="1"/>
  <c r="V57" i="17" a="1"/>
  <c r="V57" i="17" s="1"/>
  <c r="N63" i="17" a="1"/>
  <c r="N63" i="17" s="1"/>
  <c r="O172" i="17" a="1"/>
  <c r="O172" i="17" s="1"/>
  <c r="R9" i="17" a="1"/>
  <c r="R9" i="17" s="1"/>
  <c r="S65" i="17" a="1"/>
  <c r="S65" i="17" s="1"/>
  <c r="S117" i="17" a="1"/>
  <c r="S117" i="17" s="1"/>
  <c r="S167" i="17" a="1"/>
  <c r="S167" i="17" s="1"/>
  <c r="T3" i="17" a="1"/>
  <c r="T3" i="17" s="1"/>
  <c r="T36" i="17" a="1"/>
  <c r="T36" i="17" s="1"/>
  <c r="U112" i="17" a="1"/>
  <c r="U112" i="17" s="1"/>
  <c r="U140" i="17" a="1"/>
  <c r="U140" i="17" s="1"/>
  <c r="N142" i="17" a="1"/>
  <c r="N142" i="17" s="1"/>
  <c r="O2" i="17" a="1"/>
  <c r="O2" i="17" s="1"/>
  <c r="O61" i="17" a="1"/>
  <c r="O61" i="17" s="1"/>
  <c r="O115" i="17" a="1"/>
  <c r="O115" i="17" s="1"/>
  <c r="R10" i="17" a="1"/>
  <c r="R10" i="17" s="1"/>
  <c r="R140" i="17" a="1"/>
  <c r="R140" i="17" s="1"/>
  <c r="O191" i="17" a="1"/>
  <c r="O191" i="17" s="1"/>
  <c r="O200" i="17" a="1"/>
  <c r="O200" i="17" s="1"/>
  <c r="O173" i="17" a="1"/>
  <c r="O173" i="17" s="1"/>
  <c r="R85" i="17" a="1"/>
  <c r="R85" i="17" s="1"/>
  <c r="S31" i="17" a="1"/>
  <c r="S31" i="17" s="1"/>
  <c r="S168" i="17" a="1"/>
  <c r="S168" i="17" s="1"/>
  <c r="T4" i="17" a="1"/>
  <c r="T4" i="17" s="1"/>
  <c r="U85" i="17" a="1"/>
  <c r="U85" i="17" s="1"/>
  <c r="U113" i="17" a="1"/>
  <c r="U113" i="17" s="1"/>
  <c r="N65" i="17" a="1"/>
  <c r="N65" i="17" s="1"/>
  <c r="N143" i="17" a="1"/>
  <c r="N143" i="17" s="1"/>
  <c r="O3" i="17" a="1"/>
  <c r="O3" i="17" s="1"/>
  <c r="O116" i="17" a="1"/>
  <c r="O116" i="17" s="1"/>
  <c r="T5" i="17" a="1"/>
  <c r="T5" i="17" s="1"/>
  <c r="U114" i="17" a="1"/>
  <c r="U114" i="17" s="1"/>
  <c r="U142" i="17" a="1"/>
  <c r="U142" i="17" s="1"/>
  <c r="U170" i="17" a="1"/>
  <c r="U170" i="17" s="1"/>
  <c r="V4" i="17" a="1"/>
  <c r="V4" i="17" s="1"/>
  <c r="V186" i="17" a="1"/>
  <c r="V186" i="17" s="1"/>
  <c r="V59" i="17" a="1"/>
  <c r="V59" i="17" s="1"/>
  <c r="N5" i="17" a="1"/>
  <c r="N5" i="17" s="1"/>
  <c r="N85" i="17" a="1"/>
  <c r="N85" i="17" s="1"/>
  <c r="N145" i="17" a="1"/>
  <c r="N145" i="17" s="1"/>
  <c r="O118" i="17" a="1"/>
  <c r="O118" i="17" s="1"/>
  <c r="O175" i="17" a="1"/>
  <c r="O175" i="17" s="1"/>
  <c r="R30" i="17" a="1"/>
  <c r="R30" i="17" s="1"/>
  <c r="R86" i="17" a="1"/>
  <c r="R86" i="17" s="1"/>
  <c r="R143" i="17" a="1"/>
  <c r="R143" i="17" s="1"/>
  <c r="S209" i="17" a="1"/>
  <c r="S209" i="17" s="1"/>
  <c r="T182" i="17" a="1"/>
  <c r="T182" i="17" s="1"/>
  <c r="N9" i="17" a="1"/>
  <c r="N9" i="17" s="1"/>
  <c r="N59" i="17" a="1"/>
  <c r="N59" i="17" s="1"/>
  <c r="O141" i="17" a="1"/>
  <c r="O141" i="17" s="1"/>
  <c r="S10" i="17" a="1"/>
  <c r="S10" i="17" s="1"/>
  <c r="S204" i="17" a="1"/>
  <c r="S204" i="17" s="1"/>
  <c r="T141" i="17" a="1"/>
  <c r="T141" i="17" s="1"/>
  <c r="U9" i="17" a="1"/>
  <c r="U9" i="17" s="1"/>
  <c r="U59" i="17" a="1"/>
  <c r="U59" i="17" s="1"/>
  <c r="N34" i="17" a="1"/>
  <c r="N34" i="17" s="1"/>
  <c r="R36" i="17" a="1"/>
  <c r="R36" i="17" s="1"/>
  <c r="S35" i="17" a="1"/>
  <c r="S35" i="17" s="1"/>
  <c r="T91" i="17" a="1"/>
  <c r="T91" i="17" s="1"/>
  <c r="V7" i="17" a="1"/>
  <c r="V7" i="17" s="1"/>
  <c r="N10" i="17" a="1"/>
  <c r="N10" i="17" s="1"/>
  <c r="N35" i="17" a="1"/>
  <c r="N35" i="17" s="1"/>
  <c r="O142" i="17" a="1"/>
  <c r="O142" i="17" s="1"/>
  <c r="R57" i="17" a="1"/>
  <c r="R57" i="17" s="1"/>
  <c r="R171" i="17" a="1"/>
  <c r="R171" i="17" s="1"/>
  <c r="S36" i="17" a="1"/>
  <c r="S36" i="17" s="1"/>
  <c r="S140" i="17" a="1"/>
  <c r="S140" i="17" s="1"/>
  <c r="N36" i="17" a="1"/>
  <c r="N36" i="17" s="1"/>
  <c r="N61" i="17" a="1"/>
  <c r="N61" i="17" s="1"/>
  <c r="N195" i="17" a="1"/>
  <c r="N195" i="17" s="1"/>
  <c r="O4" i="17" a="1"/>
  <c r="O4" i="17" s="1"/>
  <c r="O143" i="17" a="1"/>
  <c r="O143" i="17" s="1"/>
  <c r="R187" i="17" a="1"/>
  <c r="R187" i="17" s="1"/>
  <c r="N191" i="17" a="1"/>
  <c r="N191" i="17" s="1"/>
  <c r="N90" i="17" a="1"/>
  <c r="N90" i="17" s="1"/>
  <c r="N112" i="17" a="1"/>
  <c r="N112" i="17" s="1"/>
  <c r="O6" i="17" a="1"/>
  <c r="O6" i="17" s="1"/>
  <c r="O145" i="17" a="1"/>
  <c r="O145" i="17" s="1"/>
  <c r="O167" i="17" a="1"/>
  <c r="O167" i="17" s="1"/>
  <c r="T92" i="17" a="1"/>
  <c r="T92" i="17" s="1"/>
  <c r="N113" i="17" a="1"/>
  <c r="N113" i="17" s="1"/>
  <c r="O182" i="17" a="1"/>
  <c r="O182" i="17" s="1"/>
  <c r="O31" i="17" a="1"/>
  <c r="O31" i="17" s="1"/>
  <c r="O205" i="17" a="1"/>
  <c r="O205" i="17" s="1"/>
  <c r="Q205" i="17" s="1"/>
  <c r="W205" i="17" s="1"/>
  <c r="R195" i="17" a="1"/>
  <c r="R195" i="17" s="1"/>
  <c r="S144" i="17" a="1"/>
  <c r="S144" i="17" s="1"/>
  <c r="T60" i="17" a="1"/>
  <c r="T60" i="17" s="1"/>
  <c r="N171" i="17" a="1"/>
  <c r="N171" i="17" s="1"/>
  <c r="N140" i="17" a="1"/>
  <c r="N140" i="17" s="1"/>
  <c r="S173" i="17" a="1"/>
  <c r="S173" i="17" s="1"/>
  <c r="N118" i="17" a="1"/>
  <c r="N118" i="17" s="1"/>
  <c r="S118" i="17" a="1"/>
  <c r="S118" i="17" s="1"/>
  <c r="O91" i="17" a="1"/>
  <c r="O91" i="17" s="1"/>
  <c r="N91" i="17" a="1"/>
  <c r="N91" i="17" s="1"/>
  <c r="O57" i="17" a="1"/>
  <c r="O57" i="17" s="1"/>
  <c r="O87" i="17" a="1"/>
  <c r="O87" i="17" s="1"/>
  <c r="R92" i="17" a="1"/>
  <c r="R92" i="17" s="1"/>
  <c r="S57" i="17" a="1"/>
  <c r="S57" i="17" s="1"/>
  <c r="S195" i="17" a="1"/>
  <c r="S195" i="17" s="1"/>
  <c r="S114" i="17" a="1"/>
  <c r="S114" i="17" s="1"/>
  <c r="S142" i="17" a="1"/>
  <c r="S142" i="17" s="1"/>
  <c r="S170" i="17" a="1"/>
  <c r="S170" i="17" s="1"/>
  <c r="N116" i="17" a="1"/>
  <c r="N116" i="17" s="1"/>
  <c r="O89" i="17" a="1"/>
  <c r="O89" i="17" s="1"/>
  <c r="S30" i="17" a="1"/>
  <c r="S30" i="17" s="1"/>
  <c r="S58" i="17" a="1"/>
  <c r="S58" i="17" s="1"/>
  <c r="S86" i="17" a="1"/>
  <c r="S86" i="17" s="1"/>
  <c r="S115" i="17" a="1"/>
  <c r="S115" i="17" s="1"/>
  <c r="S143" i="17" a="1"/>
  <c r="S143" i="17" s="1"/>
  <c r="S171" i="17" a="1"/>
  <c r="S171" i="17" s="1"/>
  <c r="O90" i="17" a="1"/>
  <c r="O90" i="17" s="1"/>
  <c r="O120" i="17" a="1"/>
  <c r="O120" i="17" s="1"/>
  <c r="R2" i="17" a="1"/>
  <c r="R2" i="17" s="1"/>
  <c r="R32" i="17" a="1"/>
  <c r="R32" i="17" s="1"/>
  <c r="R62" i="17" a="1"/>
  <c r="R62" i="17" s="1"/>
  <c r="R168" i="17" a="1"/>
  <c r="R168" i="17" s="1"/>
  <c r="T6" i="17" a="1"/>
  <c r="T6" i="17" s="1"/>
  <c r="T33" i="17" a="1"/>
  <c r="T33" i="17" s="1"/>
  <c r="N88" i="17" a="1"/>
  <c r="N88" i="17" s="1"/>
  <c r="R3" i="17" a="1"/>
  <c r="R3" i="17" s="1"/>
  <c r="R33" i="17" a="1"/>
  <c r="R33" i="17" s="1"/>
  <c r="R204" i="17" a="1"/>
  <c r="R204" i="17" s="1"/>
  <c r="R169" i="17" a="1"/>
  <c r="R169" i="17" s="1"/>
  <c r="T7" i="17" a="1"/>
  <c r="T7" i="17" s="1"/>
  <c r="T34" i="17" a="1"/>
  <c r="T34" i="17" s="1"/>
  <c r="T191" i="17" a="1"/>
  <c r="T191" i="17" s="1"/>
  <c r="N120" i="17" a="1"/>
  <c r="N120" i="17" s="1"/>
  <c r="O30" i="17" a="1"/>
  <c r="O30" i="17" s="1"/>
  <c r="O60" i="17" a="1"/>
  <c r="O60" i="17" s="1"/>
  <c r="R65" i="17" a="1"/>
  <c r="R65" i="17" s="1"/>
  <c r="S3" i="17" a="1"/>
  <c r="S3" i="17" s="1"/>
  <c r="S186" i="17" a="1"/>
  <c r="S186" i="17" s="1"/>
  <c r="S60" i="17" a="1"/>
  <c r="S60" i="17" s="1"/>
  <c r="S88" i="17" a="1"/>
  <c r="S88" i="17" s="1"/>
  <c r="S116" i="17" a="1"/>
  <c r="S116" i="17" s="1"/>
  <c r="N60" i="17" a="1"/>
  <c r="N60" i="17" s="1"/>
  <c r="O62" i="17" a="1"/>
  <c r="O62" i="17" s="1"/>
  <c r="O92" i="17" a="1"/>
  <c r="O92" i="17" s="1"/>
  <c r="R5" i="17" a="1"/>
  <c r="R5" i="17" s="1"/>
  <c r="R35" i="17" a="1"/>
  <c r="R35" i="17" s="1"/>
  <c r="R141" i="17" a="1"/>
  <c r="R141" i="17" s="1"/>
  <c r="R170" i="17" a="1"/>
  <c r="R170" i="17" s="1"/>
  <c r="S175" i="17" a="1"/>
  <c r="S175" i="17" s="1"/>
  <c r="N3" i="17" a="1"/>
  <c r="N3" i="17" s="1"/>
  <c r="N2" i="17" a="1"/>
  <c r="N2" i="17" s="1"/>
  <c r="N62" i="17" a="1"/>
  <c r="N62" i="17" s="1"/>
  <c r="N30" i="17" a="1"/>
  <c r="N30" i="17" s="1"/>
  <c r="N58" i="17" a="1"/>
  <c r="N58" i="17" s="1"/>
  <c r="O59" i="17" a="1"/>
  <c r="O59" i="17" s="1"/>
  <c r="N87" i="17" a="1"/>
  <c r="N87" i="17" s="1"/>
  <c r="N57" i="17" a="1"/>
  <c r="N57" i="17" s="1"/>
  <c r="O58" i="17" a="1"/>
  <c r="O58" i="17" s="1"/>
  <c r="N86" i="17" a="1"/>
  <c r="N86" i="17" s="1"/>
  <c r="Q103" i="17" l="1"/>
  <c r="W103" i="17" s="1"/>
  <c r="Q184" i="17"/>
  <c r="W184" i="17" s="1"/>
  <c r="Q125" i="17"/>
  <c r="W125" i="17" s="1"/>
  <c r="Q65" i="17"/>
  <c r="W65" i="17" s="1"/>
  <c r="Q156" i="17"/>
  <c r="W156" i="17" s="1"/>
  <c r="Q164" i="17"/>
  <c r="W164" i="17" s="1"/>
  <c r="Q181" i="17"/>
  <c r="W181" i="17" s="1"/>
  <c r="Q171" i="17"/>
  <c r="W171" i="17" s="1"/>
  <c r="Q160" i="17"/>
  <c r="W160" i="17" s="1"/>
  <c r="Q126" i="17"/>
  <c r="W126" i="17" s="1"/>
  <c r="Q168" i="17"/>
  <c r="W168" i="17" s="1"/>
  <c r="Q189" i="17"/>
  <c r="W189" i="17" s="1"/>
  <c r="Q96" i="17"/>
  <c r="W96" i="17" s="1"/>
  <c r="Q187" i="17"/>
  <c r="W187" i="17" s="1"/>
  <c r="Q196" i="17"/>
  <c r="W196" i="17" s="1"/>
  <c r="Q114" i="17"/>
  <c r="W114" i="17" s="1"/>
  <c r="Q99" i="17"/>
  <c r="W99" i="17" s="1"/>
  <c r="Q97" i="17"/>
  <c r="W97" i="17" s="1"/>
  <c r="Q77" i="17"/>
  <c r="W77" i="17" s="1"/>
  <c r="Q123" i="17"/>
  <c r="W123" i="17" s="1"/>
  <c r="Q35" i="17"/>
  <c r="W35" i="17" s="1"/>
  <c r="Q18" i="17"/>
  <c r="W18" i="17" s="1"/>
  <c r="Q85" i="17"/>
  <c r="W85" i="17" s="1"/>
  <c r="Q39" i="17"/>
  <c r="W39" i="17" s="1"/>
  <c r="Q117" i="17"/>
  <c r="W117" i="17" s="1"/>
  <c r="Q22" i="17"/>
  <c r="W22" i="17" s="1"/>
  <c r="Q175" i="17"/>
  <c r="W175" i="17" s="1"/>
  <c r="Q203" i="17"/>
  <c r="W203" i="17" s="1"/>
  <c r="Q185" i="17"/>
  <c r="W185" i="17" s="1"/>
  <c r="Q135" i="17"/>
  <c r="W135" i="17" s="1"/>
  <c r="Q158" i="17"/>
  <c r="W158" i="17" s="1"/>
  <c r="Q71" i="17"/>
  <c r="W71" i="17" s="1"/>
  <c r="Q131" i="17"/>
  <c r="W131" i="17" s="1"/>
  <c r="Q76" i="17"/>
  <c r="W76" i="17" s="1"/>
  <c r="Q68" i="17"/>
  <c r="W68" i="17" s="1"/>
  <c r="Q87" i="17"/>
  <c r="W87" i="17" s="1"/>
  <c r="Q75" i="17"/>
  <c r="W75" i="17" s="1"/>
  <c r="Q140" i="17"/>
  <c r="W140" i="17" s="1"/>
  <c r="Q10" i="17"/>
  <c r="W10" i="17" s="1"/>
  <c r="Q132" i="17"/>
  <c r="W132" i="17" s="1"/>
  <c r="Q88" i="17"/>
  <c r="W88" i="17" s="1"/>
  <c r="Q28" i="17"/>
  <c r="W28" i="17" s="1"/>
  <c r="Q141" i="17"/>
  <c r="W141" i="17" s="1"/>
  <c r="Q36" i="17"/>
  <c r="W36" i="17" s="1"/>
  <c r="Q113" i="17"/>
  <c r="W113" i="17" s="1"/>
  <c r="Q89" i="17"/>
  <c r="W89" i="17" s="1"/>
  <c r="Q152" i="17"/>
  <c r="W152" i="17" s="1"/>
  <c r="Q23" i="17"/>
  <c r="W23" i="17" s="1"/>
  <c r="Q192" i="17"/>
  <c r="W192" i="17" s="1"/>
  <c r="Q25" i="17"/>
  <c r="W25" i="17" s="1"/>
  <c r="Q197" i="17"/>
  <c r="W197" i="17" s="1"/>
  <c r="Q182" i="17"/>
  <c r="W182" i="17" s="1"/>
  <c r="Q86" i="17"/>
  <c r="W86" i="17" s="1"/>
  <c r="Q122" i="17"/>
  <c r="W122" i="17" s="1"/>
  <c r="Q207" i="17"/>
  <c r="W207" i="17" s="1"/>
  <c r="Q67" i="17"/>
  <c r="W67" i="17" s="1"/>
  <c r="Q12" i="17"/>
  <c r="W12" i="17" s="1"/>
  <c r="Q128" i="17"/>
  <c r="W128" i="17" s="1"/>
  <c r="Q107" i="17"/>
  <c r="W107" i="17" s="1"/>
  <c r="Q6" i="17"/>
  <c r="W6" i="17" s="1"/>
  <c r="Q159" i="17"/>
  <c r="W159" i="17" s="1"/>
  <c r="Q211" i="17"/>
  <c r="W211" i="17" s="1"/>
  <c r="Q33" i="17"/>
  <c r="W33" i="17" s="1"/>
  <c r="Q57" i="17"/>
  <c r="W57" i="17" s="1"/>
  <c r="Q95" i="17"/>
  <c r="W95" i="17" s="1"/>
  <c r="Q105" i="17"/>
  <c r="W105" i="17" s="1"/>
  <c r="Q78" i="17"/>
  <c r="W78" i="17" s="1"/>
  <c r="Q64" i="17"/>
  <c r="W64" i="17" s="1"/>
  <c r="Q4" i="17"/>
  <c r="W4" i="17" s="1"/>
  <c r="Q58" i="17"/>
  <c r="W58" i="17" s="1"/>
  <c r="Q157" i="17"/>
  <c r="W157" i="17" s="1"/>
  <c r="Q144" i="17"/>
  <c r="W144" i="17" s="1"/>
  <c r="Q56" i="17"/>
  <c r="W56" i="17" s="1"/>
  <c r="Q37" i="17"/>
  <c r="W37" i="17" s="1"/>
  <c r="Q26" i="17"/>
  <c r="W26" i="17" s="1"/>
  <c r="Q48" i="17"/>
  <c r="W48" i="17" s="1"/>
  <c r="Q81" i="17"/>
  <c r="W81" i="17" s="1"/>
  <c r="Q94" i="17"/>
  <c r="W94" i="17" s="1"/>
  <c r="Q24" i="17"/>
  <c r="W24" i="17" s="1"/>
  <c r="Q50" i="17"/>
  <c r="W50" i="17" s="1"/>
  <c r="Q150" i="17"/>
  <c r="W150" i="17" s="1"/>
  <c r="Q155" i="17"/>
  <c r="W155" i="17" s="1"/>
  <c r="Q11" i="17"/>
  <c r="W11" i="17" s="1"/>
  <c r="Q133" i="17"/>
  <c r="W133" i="17" s="1"/>
  <c r="Q52" i="17"/>
  <c r="W52" i="17" s="1"/>
  <c r="Q163" i="17"/>
  <c r="W163" i="17" s="1"/>
  <c r="Q112" i="17"/>
  <c r="W112" i="17" s="1"/>
  <c r="Q34" i="17"/>
  <c r="W34" i="17" s="1"/>
  <c r="Q72" i="17"/>
  <c r="W72" i="17" s="1"/>
  <c r="Q180" i="17"/>
  <c r="W180" i="17" s="1"/>
  <c r="Q40" i="17"/>
  <c r="W40" i="17" s="1"/>
  <c r="Q53" i="17"/>
  <c r="W53" i="17" s="1"/>
  <c r="Q177" i="17"/>
  <c r="W177" i="17" s="1"/>
  <c r="Q115" i="17"/>
  <c r="W115" i="17" s="1"/>
  <c r="Q104" i="17"/>
  <c r="W104" i="17" s="1"/>
  <c r="Q138" i="17"/>
  <c r="W138" i="17" s="1"/>
  <c r="Q153" i="17"/>
  <c r="W153" i="17" s="1"/>
  <c r="Q2" i="17"/>
  <c r="W2" i="17" s="1"/>
  <c r="Q17" i="17"/>
  <c r="W17" i="17" s="1"/>
  <c r="Q147" i="17"/>
  <c r="W147" i="17" s="1"/>
  <c r="Q210" i="17"/>
  <c r="W210" i="17" s="1"/>
  <c r="Q59" i="17"/>
  <c r="W59" i="17" s="1"/>
  <c r="Q124" i="17"/>
  <c r="W124" i="17" s="1"/>
  <c r="Q79" i="17"/>
  <c r="W79" i="17" s="1"/>
  <c r="Q109" i="17"/>
  <c r="W109" i="17" s="1"/>
  <c r="Q54" i="17"/>
  <c r="W54" i="17" s="1"/>
  <c r="Q137" i="17"/>
  <c r="W137" i="17" s="1"/>
  <c r="Q66" i="17"/>
  <c r="W66" i="17" s="1"/>
  <c r="Q93" i="17"/>
  <c r="W93" i="17" s="1"/>
  <c r="Q204" i="17"/>
  <c r="W204" i="17" s="1"/>
  <c r="Q60" i="17"/>
  <c r="W60" i="17" s="1"/>
  <c r="Q194" i="17"/>
  <c r="W194" i="17" s="1"/>
  <c r="Q102" i="17"/>
  <c r="W102" i="17" s="1"/>
  <c r="Q139" i="17"/>
  <c r="W139" i="17" s="1"/>
  <c r="Q191" i="17"/>
  <c r="W191" i="17" s="1"/>
  <c r="Q101" i="17"/>
  <c r="W101" i="17" s="1"/>
  <c r="Q92" i="17"/>
  <c r="W92" i="17" s="1"/>
  <c r="Q38" i="17"/>
  <c r="W38" i="17" s="1"/>
  <c r="Q61" i="17"/>
  <c r="W61" i="17" s="1"/>
  <c r="Q120" i="17"/>
  <c r="W120" i="17" s="1"/>
  <c r="Q100" i="17"/>
  <c r="W100" i="17" s="1"/>
  <c r="Q129" i="17"/>
  <c r="W129" i="17" s="1"/>
  <c r="Q146" i="17"/>
  <c r="W146" i="17" s="1"/>
  <c r="Q188" i="17"/>
  <c r="W188" i="17" s="1"/>
  <c r="Q42" i="17"/>
  <c r="W42" i="17" s="1"/>
  <c r="Q45" i="17"/>
  <c r="W45" i="17" s="1"/>
  <c r="Q46" i="17"/>
  <c r="W46" i="17" s="1"/>
  <c r="Q200" i="17"/>
  <c r="W200" i="17" s="1"/>
  <c r="Q29" i="17"/>
  <c r="W29" i="17" s="1"/>
  <c r="Q148" i="17"/>
  <c r="W148" i="17" s="1"/>
  <c r="Q145" i="17"/>
  <c r="W145" i="17" s="1"/>
  <c r="Q90" i="17"/>
  <c r="W90" i="17" s="1"/>
  <c r="Q98" i="17"/>
  <c r="W98" i="17" s="1"/>
  <c r="Q8" i="17"/>
  <c r="W8" i="17" s="1"/>
  <c r="Q9" i="17"/>
  <c r="W9" i="17" s="1"/>
  <c r="Q143" i="17"/>
  <c r="W143" i="17" s="1"/>
  <c r="Q208" i="17"/>
  <c r="W208" i="17" s="1"/>
  <c r="Q167" i="17"/>
  <c r="W167" i="17" s="1"/>
  <c r="Q195" i="17"/>
  <c r="W195" i="17" s="1"/>
  <c r="Q201" i="17"/>
  <c r="W201" i="17" s="1"/>
  <c r="Q70" i="17"/>
  <c r="W70" i="17" s="1"/>
  <c r="Q119" i="17"/>
  <c r="W119" i="17" s="1"/>
  <c r="Q151" i="17"/>
  <c r="W151" i="17" s="1"/>
  <c r="Q127" i="17"/>
  <c r="W127" i="17" s="1"/>
  <c r="Q110" i="17"/>
  <c r="W110" i="17" s="1"/>
  <c r="Q62" i="17"/>
  <c r="W62" i="17" s="1"/>
  <c r="Q31" i="17"/>
  <c r="W31" i="17" s="1"/>
  <c r="Q84" i="17"/>
  <c r="W84" i="17" s="1"/>
  <c r="Q161" i="17"/>
  <c r="W161" i="17" s="1"/>
  <c r="Q173" i="17"/>
  <c r="W173" i="17" s="1"/>
  <c r="Q130" i="17"/>
  <c r="W130" i="17" s="1"/>
  <c r="Q47" i="17"/>
  <c r="W47" i="17" s="1"/>
  <c r="Q202" i="17"/>
  <c r="W202" i="17" s="1"/>
  <c r="Q209" i="17"/>
  <c r="W209" i="17" s="1"/>
  <c r="Q186" i="17"/>
  <c r="W186" i="17" s="1"/>
  <c r="Q43" i="17"/>
  <c r="W43" i="17" s="1"/>
  <c r="Q176" i="17"/>
  <c r="W176" i="17" s="1"/>
  <c r="Q170" i="17"/>
  <c r="W170" i="17" s="1"/>
  <c r="Q179" i="17"/>
  <c r="W179" i="17" s="1"/>
  <c r="Q174" i="17"/>
  <c r="W174" i="17" s="1"/>
  <c r="Q142" i="17"/>
  <c r="W142" i="17" s="1"/>
  <c r="Q198" i="17"/>
  <c r="W198" i="17" s="1"/>
  <c r="Q166" i="17"/>
  <c r="W16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<sst xmlns="http://schemas.openxmlformats.org/spreadsheetml/2006/main" count="3064" uniqueCount="102">
  <si>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</si>
  <si>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</si>
  <si>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</si>
  <si>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</si>
  <si>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</si>
  <si>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</si>
  <si>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</si>
  <si>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</si>
  <si>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</si>
  <si>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</si>
  <si>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</si>
  <si>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</si>
  <si>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</si>
  <si>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</si>
  <si>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</si>
  <si>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</si>
  <si>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</si>
  <si>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</si>
  <si>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</si>
  <si>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</si>
  <si>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</si>
  <si>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</si>
  <si>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</si>
  <si>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</si>
  <si>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</si>
  <si>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</si>
  <si>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</si>
  <si>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</si>
  <si>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</si>
  <si>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</si>
  <si>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</si>
  <si>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</si>
  <si>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</si>
  <si>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</si>
  <si>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</si>
  <si>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</si>
  <si>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</si>
  <si>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</si>
  <si>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</si>
  <si>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</si>
  <si>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</si>
  <si>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</si>
  <si>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</si>
  <si>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</si>
  <si>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</si>
  <si>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</si>
  <si>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</si>
  <si>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</si>
  <si>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</si>
  <si>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</si>
  <si>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</si>
  <si>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</si>
  <si>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</si>
  <si>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</si>
  <si>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</si>
  <si>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</si>
  <si>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</si>
  <si>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</si>
  <si>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</si>
  <si>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</si>
  <si>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</si>
  <si>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</si>
  <si>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</si>
  <si>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</si>
  <si>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</si>
  <si>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</si>
  <si>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</si>
  <si>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</si>
  <si>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23:47:45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</si>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</sst>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1627083335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6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1.6598352195681718E-2" maxValue="3"/>
    </cacheField>
    <cacheField name="StDevOfAverage" numFmtId="0">
      <sharedItems containsSemiMixedTypes="0" containsString="0" containsNumber="1" minValue="0" maxValue="0.178303263289679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6579532716361495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6.6344065089941603E-2" maxValue="3"/>
    </cacheField>
    <cacheField name="SummaryHalfWidth" numFmtId="0">
      <sharedItems containsSemiMixedTypes="0" containsString="0" containsNumber="1" minValue="0" maxValue="6.657953271636149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1627083335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1627199073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884807358458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5481228642591396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7" maxValue="6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3464255853487579"/>
    </cacheField>
    <cacheField name="StDevOfAverage" numFmtId="0">
      <sharedItems containsSemiMixedTypes="0" containsString="0" containsNumber="1" minValue="0" maxValue="1.225246622595058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5751460791913051"/>
    </cacheField>
    <cacheField name="MinimumAverage" numFmtId="0">
      <sharedItems containsSemiMixedTypes="0" containsString="0" containsNumber="1" minValue="0" maxValue="6.3293706197753199"/>
    </cacheField>
    <cacheField name="MaximumAverage" numFmtId="0">
      <sharedItems containsSemiMixedTypes="0" containsString="0" containsNumber="1" minValue="0" maxValue="10.8848073584589"/>
    </cacheField>
    <cacheField name="OverallMinimum" numFmtId="0">
      <sharedItems containsSemiMixedTypes="0" containsString="0" containsNumber="1" minValue="0" maxValue="6.4063890553143201E-3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53.7" maxValue="54.43333333333333"/>
    </cacheField>
    <cacheField name="SummaryHalfWidth" numFmtId="0">
      <sharedItems containsSemiMixedTypes="0" containsString="0" containsNumber="1" minValue="0" maxValue="0.45751460791913051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1627430558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17429991311555901" maxValue="6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27413207792969679" maxValue="54.43333333333333"/>
    </cacheField>
    <cacheField name="StandardDeviation" numFmtId="0">
      <sharedItems containsSemiMixedTypes="0" containsString="0" containsNumber="1" minValue="5.6064597781178692E-2" maxValue="8.058764059142047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0934864866366681E-2" maxValue="3.009191954369256"/>
    </cacheField>
    <cacheField name="Minimum" numFmtId="0">
      <sharedItems containsSemiMixedTypes="0" containsString="0" containsNumber="1" minValue="0.17429991311555901" maxValue="37"/>
    </cacheField>
    <cacheField name="Maximum" numFmtId="0">
      <sharedItems containsSemiMixedTypes="0" containsString="0" containsNumber="1" minValue="0.39832749227786501" maxValue="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1627430558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6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46666666666666667" maxValue="53.7"/>
    </cacheField>
    <cacheField name="StandardDeviation" numFmtId="0">
      <sharedItems containsSemiMixedTypes="0" containsString="0" containsNumber="1" minValue="0.89955289021760731" maxValue="8.022167563308135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33589856954573999" maxValue="2.9955265982410313"/>
    </cacheField>
    <cacheField name="Minimum" numFmtId="0">
      <sharedItems containsSemiMixedTypes="0" containsString="0" containsNumber="1" containsInteger="1" minValue="0" maxValue="37"/>
    </cacheField>
    <cacheField name="Maximum" numFmtId="0">
      <sharedItems containsSemiMixedTypes="0" containsString="0" containsNumber="1" containsInteger="1" minValue="4" maxValue="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7:45"/>
    <n v="1"/>
    <x v="0"/>
    <x v="0"/>
    <x v="0"/>
    <n v="0.75964372132404401"/>
    <n v="2E+20"/>
    <n v="0"/>
    <n v="4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"/>
    <x v="1"/>
    <x v="1"/>
    <x v="1"/>
    <n v="0.25009597597844402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"/>
    <x v="1"/>
    <x v="2"/>
    <x v="1"/>
    <n v="0.75028792793533405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"/>
    <x v="2"/>
    <x v="4"/>
    <x v="2"/>
    <n v="9.3557933887100098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"/>
    <x v="0"/>
    <x v="0"/>
    <x v="0"/>
    <n v="1.04330277516688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"/>
    <x v="1"/>
    <x v="1"/>
    <x v="1"/>
    <n v="0.34141855054228798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"/>
    <x v="1"/>
    <x v="2"/>
    <x v="1"/>
    <n v="1.0242556516268599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"/>
    <x v="2"/>
    <x v="4"/>
    <x v="2"/>
    <n v="1.9047123540021499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3"/>
    <x v="0"/>
    <x v="0"/>
    <x v="0"/>
    <n v="1.0117518531415799"/>
    <n v="2E+20"/>
    <n v="0"/>
    <n v="6"/>
    <n v="2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3"/>
    <x v="1"/>
    <x v="1"/>
    <x v="1"/>
    <n v="0.31513592935054802"/>
    <n v="2E+20"/>
    <n v="0"/>
    <n v="1"/>
    <n v="0.66666666666666696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3"/>
    <x v="1"/>
    <x v="2"/>
    <x v="1"/>
    <n v="0.94540778805164305"/>
    <n v="2E+20"/>
    <n v="0"/>
    <n v="3"/>
    <n v="2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3"/>
    <x v="2"/>
    <x v="4"/>
    <x v="2"/>
    <n v="6.6344065089941603E-2"/>
    <n v="2E+20"/>
    <n v="0"/>
    <n v="3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4"/>
    <x v="0"/>
    <x v="0"/>
    <x v="0"/>
    <n v="1.07169835836294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4"/>
    <x v="1"/>
    <x v="1"/>
    <x v="1"/>
    <n v="0.35434609517367499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4"/>
    <x v="1"/>
    <x v="2"/>
    <x v="1"/>
    <n v="1.0630382855210201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4"/>
    <x v="2"/>
    <x v="4"/>
    <x v="2"/>
    <n v="8.6600728419191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5"/>
    <x v="0"/>
    <x v="0"/>
    <x v="0"/>
    <n v="0.682790880546574"/>
    <n v="2E+20"/>
    <n v="0"/>
    <n v="4"/>
    <n v="2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5"/>
    <x v="1"/>
    <x v="1"/>
    <x v="1"/>
    <n v="0.221126211307141"/>
    <n v="2E+20"/>
    <n v="0"/>
    <n v="1"/>
    <n v="0.66666666666666696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5"/>
    <x v="1"/>
    <x v="2"/>
    <x v="1"/>
    <n v="0.66337863392142304"/>
    <n v="2E+20"/>
    <n v="0"/>
    <n v="3"/>
    <n v="2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5"/>
    <x v="2"/>
    <x v="4"/>
    <x v="2"/>
    <n v="1.9412246625151602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6"/>
    <x v="0"/>
    <x v="0"/>
    <x v="0"/>
    <n v="0.83793645993433996"/>
    <n v="2E+20"/>
    <n v="0"/>
    <n v="5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6"/>
    <x v="1"/>
    <x v="1"/>
    <x v="1"/>
    <n v="0.27540467672575403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6"/>
    <x v="1"/>
    <x v="2"/>
    <x v="1"/>
    <n v="0.82621403017726402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6"/>
    <x v="2"/>
    <x v="4"/>
    <x v="2"/>
    <n v="1.1722429757076601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7"/>
    <x v="0"/>
    <x v="0"/>
    <x v="0"/>
    <n v="0.79964843826308296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7"/>
    <x v="1"/>
    <x v="1"/>
    <x v="1"/>
    <n v="0.263038717038518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7"/>
    <x v="1"/>
    <x v="2"/>
    <x v="1"/>
    <n v="0.789116151115553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7"/>
    <x v="2"/>
    <x v="4"/>
    <x v="2"/>
    <n v="1.05322871475305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8"/>
    <x v="0"/>
    <x v="0"/>
    <x v="0"/>
    <n v="0.71344646806221901"/>
    <n v="2E+20"/>
    <n v="0"/>
    <n v="3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8"/>
    <x v="1"/>
    <x v="1"/>
    <x v="1"/>
    <n v="0.23781548935407301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8"/>
    <x v="1"/>
    <x v="2"/>
    <x v="1"/>
    <n v="0.71344646806221901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8"/>
    <x v="2"/>
    <x v="4"/>
    <x v="2"/>
    <n v="0"/>
    <n v="2E+20"/>
    <n v="0"/>
    <n v="0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9"/>
    <x v="0"/>
    <x v="0"/>
    <x v="0"/>
    <n v="0.80597110413918405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9"/>
    <x v="1"/>
    <x v="1"/>
    <x v="1"/>
    <n v="0.26804577488452702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9"/>
    <x v="1"/>
    <x v="2"/>
    <x v="1"/>
    <n v="0.80413732465358101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9"/>
    <x v="2"/>
    <x v="4"/>
    <x v="2"/>
    <n v="1.8337794856036101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0"/>
    <x v="0"/>
    <x v="0"/>
    <x v="0"/>
    <n v="0.60731988328015696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0"/>
    <x v="1"/>
    <x v="1"/>
    <x v="1"/>
    <n v="0.20076879964266101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0"/>
    <x v="1"/>
    <x v="2"/>
    <x v="1"/>
    <n v="0.60230639892798199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0"/>
    <x v="2"/>
    <x v="4"/>
    <x v="2"/>
    <n v="5.0134843521743898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1"/>
    <x v="0"/>
    <x v="0"/>
    <x v="0"/>
    <n v="0.88534825126078198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1"/>
    <x v="1"/>
    <x v="1"/>
    <x v="1"/>
    <n v="0.28888565825919899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1"/>
    <x v="1"/>
    <x v="2"/>
    <x v="1"/>
    <n v="0.86665697477759596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1"/>
    <x v="2"/>
    <x v="4"/>
    <x v="2"/>
    <n v="1.8691276483186602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2"/>
    <x v="0"/>
    <x v="0"/>
    <x v="0"/>
    <n v="0.54856553432884603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2"/>
    <x v="1"/>
    <x v="1"/>
    <x v="1"/>
    <n v="0.18220951803083901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2"/>
    <x v="1"/>
    <x v="2"/>
    <x v="1"/>
    <n v="0.54662855409251798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2"/>
    <x v="2"/>
    <x v="4"/>
    <x v="2"/>
    <n v="1.93698023632772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3"/>
    <x v="0"/>
    <x v="0"/>
    <x v="0"/>
    <n v="0.71379922537066298"/>
    <n v="2E+20"/>
    <n v="0"/>
    <n v="4"/>
    <n v="3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3"/>
    <x v="1"/>
    <x v="1"/>
    <x v="1"/>
    <n v="0.235116679147405"/>
    <n v="2E+20"/>
    <n v="0"/>
    <n v="1"/>
    <n v="1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3"/>
    <x v="1"/>
    <x v="2"/>
    <x v="1"/>
    <n v="0.70535003744221603"/>
    <n v="2E+20"/>
    <n v="0"/>
    <n v="3"/>
    <n v="3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3"/>
    <x v="2"/>
    <x v="4"/>
    <x v="2"/>
    <n v="8.4491879284464295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4"/>
    <x v="0"/>
    <x v="0"/>
    <x v="0"/>
    <n v="0.82785311476844503"/>
    <n v="2E+20"/>
    <n v="0"/>
    <n v="5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4"/>
    <x v="1"/>
    <x v="1"/>
    <x v="1"/>
    <n v="0.26643202112061798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4"/>
    <x v="1"/>
    <x v="2"/>
    <x v="1"/>
    <n v="0.79929606336185399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4"/>
    <x v="2"/>
    <x v="4"/>
    <x v="2"/>
    <n v="2.8557051406590601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5"/>
    <x v="0"/>
    <x v="0"/>
    <x v="0"/>
    <n v="0.70993764612086396"/>
    <n v="2E+20"/>
    <n v="0"/>
    <n v="4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5"/>
    <x v="1"/>
    <x v="1"/>
    <x v="1"/>
    <n v="0.23466760122233199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5"/>
    <x v="1"/>
    <x v="2"/>
    <x v="1"/>
    <n v="0.70400280366699497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5"/>
    <x v="2"/>
    <x v="4"/>
    <x v="2"/>
    <n v="5.9348424538696997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6"/>
    <x v="0"/>
    <x v="0"/>
    <x v="0"/>
    <n v="1.2354140404927401"/>
    <n v="2E+20"/>
    <n v="0"/>
    <n v="5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6"/>
    <x v="1"/>
    <x v="1"/>
    <x v="1"/>
    <n v="0.39832749227786501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6"/>
    <x v="1"/>
    <x v="2"/>
    <x v="1"/>
    <n v="1.1949824768335899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6"/>
    <x v="2"/>
    <x v="4"/>
    <x v="2"/>
    <n v="4.0431563659150002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7"/>
    <x v="0"/>
    <x v="0"/>
    <x v="0"/>
    <n v="0.52746518751150395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7"/>
    <x v="1"/>
    <x v="1"/>
    <x v="1"/>
    <n v="0.17429991311555901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7"/>
    <x v="1"/>
    <x v="2"/>
    <x v="1"/>
    <n v="0.52289973934667799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7"/>
    <x v="2"/>
    <x v="4"/>
    <x v="2"/>
    <n v="4.5654481648256797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8"/>
    <x v="0"/>
    <x v="0"/>
    <x v="0"/>
    <n v="1.2339964672146"/>
    <n v="2E+20"/>
    <n v="0"/>
    <n v="5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8"/>
    <x v="1"/>
    <x v="1"/>
    <x v="1"/>
    <n v="0.39640459086014501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8"/>
    <x v="1"/>
    <x v="2"/>
    <x v="1"/>
    <n v="1.1892137725804399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8"/>
    <x v="2"/>
    <x v="4"/>
    <x v="2"/>
    <n v="4.47826946341583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19"/>
    <x v="0"/>
    <x v="0"/>
    <x v="0"/>
    <n v="0.75536488413388803"/>
    <n v="2E+20"/>
    <n v="0"/>
    <n v="4"/>
    <n v="3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19"/>
    <x v="1"/>
    <x v="1"/>
    <x v="1"/>
    <n v="0.24816372450950999"/>
    <n v="2E+20"/>
    <n v="0"/>
    <n v="1"/>
    <n v="1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19"/>
    <x v="1"/>
    <x v="2"/>
    <x v="1"/>
    <n v="0.744491173528529"/>
    <n v="2E+20"/>
    <n v="0"/>
    <n v="3"/>
    <n v="3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19"/>
    <x v="2"/>
    <x v="4"/>
    <x v="2"/>
    <n v="1.0873710605358199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0"/>
    <x v="0"/>
    <x v="0"/>
    <x v="0"/>
    <n v="0.80211499433792299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0"/>
    <x v="1"/>
    <x v="1"/>
    <x v="1"/>
    <n v="0.267138930594635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0"/>
    <x v="1"/>
    <x v="2"/>
    <x v="1"/>
    <n v="0.80141679178390401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0"/>
    <x v="2"/>
    <x v="4"/>
    <x v="2"/>
    <n v="6.9820255401838096E-4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1"/>
    <x v="0"/>
    <x v="0"/>
    <x v="0"/>
    <n v="0.86376796365416297"/>
    <n v="2E+20"/>
    <n v="0"/>
    <n v="3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1"/>
    <x v="1"/>
    <x v="1"/>
    <x v="1"/>
    <n v="0.28792265455138799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1"/>
    <x v="1"/>
    <x v="2"/>
    <x v="1"/>
    <n v="0.86376796365416297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1"/>
    <x v="2"/>
    <x v="4"/>
    <x v="2"/>
    <n v="0"/>
    <n v="2E+20"/>
    <n v="0"/>
    <n v="0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2"/>
    <x v="0"/>
    <x v="0"/>
    <x v="0"/>
    <n v="0.94529308308219995"/>
    <n v="2E+20"/>
    <n v="0"/>
    <n v="4"/>
    <n v="2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2"/>
    <x v="1"/>
    <x v="1"/>
    <x v="1"/>
    <n v="0.30069447079282802"/>
    <n v="2E+20"/>
    <n v="0"/>
    <n v="1"/>
    <n v="0.66666666666666696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2"/>
    <x v="1"/>
    <x v="2"/>
    <x v="1"/>
    <n v="0.90208341237848499"/>
    <n v="2E+20"/>
    <n v="0"/>
    <n v="3"/>
    <n v="2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2"/>
    <x v="2"/>
    <x v="4"/>
    <x v="2"/>
    <n v="4.3209670703715501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3"/>
    <x v="0"/>
    <x v="0"/>
    <x v="0"/>
    <n v="0.87988746346624003"/>
    <n v="2E+20"/>
    <n v="0"/>
    <n v="5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3"/>
    <x v="1"/>
    <x v="1"/>
    <x v="1"/>
    <n v="0.28336527055612698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3"/>
    <x v="1"/>
    <x v="2"/>
    <x v="1"/>
    <n v="0.850095811668381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3"/>
    <x v="2"/>
    <x v="4"/>
    <x v="2"/>
    <n v="2.9791651797859298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4"/>
    <x v="0"/>
    <x v="0"/>
    <x v="0"/>
    <n v="0.55480274929256501"/>
    <n v="2E+20"/>
    <n v="0"/>
    <n v="4"/>
    <n v="2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4"/>
    <x v="1"/>
    <x v="1"/>
    <x v="1"/>
    <n v="0.18478023462363399"/>
    <n v="2E+20"/>
    <n v="0"/>
    <n v="1"/>
    <n v="0.66666666666666696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4"/>
    <x v="1"/>
    <x v="2"/>
    <x v="1"/>
    <n v="0.55434070387090195"/>
    <n v="2E+20"/>
    <n v="0"/>
    <n v="3"/>
    <n v="2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4"/>
    <x v="2"/>
    <x v="4"/>
    <x v="2"/>
    <n v="4.6204542166303003E-4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5"/>
    <x v="0"/>
    <x v="0"/>
    <x v="0"/>
    <n v="0.88677920049197201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5"/>
    <x v="1"/>
    <x v="1"/>
    <x v="1"/>
    <n v="0.29131508525064498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5"/>
    <x v="1"/>
    <x v="2"/>
    <x v="1"/>
    <n v="0.87394525575193505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5"/>
    <x v="2"/>
    <x v="4"/>
    <x v="2"/>
    <n v="1.28339447400373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6"/>
    <x v="0"/>
    <x v="0"/>
    <x v="0"/>
    <n v="0.76009713390719202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6"/>
    <x v="1"/>
    <x v="1"/>
    <x v="1"/>
    <n v="0.25274918729232698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6"/>
    <x v="1"/>
    <x v="2"/>
    <x v="1"/>
    <n v="0.75824756187697995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6"/>
    <x v="2"/>
    <x v="4"/>
    <x v="2"/>
    <n v="1.84957203021201E-3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7"/>
    <x v="0"/>
    <x v="0"/>
    <x v="0"/>
    <n v="0.86715679932732403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7"/>
    <x v="1"/>
    <x v="1"/>
    <x v="1"/>
    <n v="0.28535214419104199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7"/>
    <x v="1"/>
    <x v="2"/>
    <x v="1"/>
    <n v="0.85605643257312602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7"/>
    <x v="2"/>
    <x v="4"/>
    <x v="2"/>
    <n v="1.11003667541984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8"/>
    <x v="0"/>
    <x v="0"/>
    <x v="0"/>
    <n v="1.0547904972936699"/>
    <n v="2E+20"/>
    <n v="0"/>
    <n v="4"/>
    <n v="1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8"/>
    <x v="1"/>
    <x v="1"/>
    <x v="1"/>
    <n v="0.345225122832161"/>
    <n v="2E+20"/>
    <n v="0"/>
    <n v="1"/>
    <n v="0.33333333333333298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8"/>
    <x v="1"/>
    <x v="2"/>
    <x v="1"/>
    <n v="1.0356753684964799"/>
    <n v="2E+20"/>
    <n v="0"/>
    <n v="3"/>
    <n v="1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8"/>
    <x v="2"/>
    <x v="4"/>
    <x v="2"/>
    <n v="1.91151287971883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29"/>
    <x v="0"/>
    <x v="0"/>
    <x v="0"/>
    <n v="0.88480683439169105"/>
    <n v="2E+20"/>
    <n v="0"/>
    <n v="5"/>
    <n v="2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29"/>
    <x v="1"/>
    <x v="1"/>
    <x v="1"/>
    <n v="0.27768375310946303"/>
    <n v="2E+20"/>
    <n v="0"/>
    <n v="1"/>
    <n v="0.66666666666666696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29"/>
    <x v="1"/>
    <x v="2"/>
    <x v="1"/>
    <n v="0.83305125932838797"/>
    <n v="2E+20"/>
    <n v="0"/>
    <n v="3"/>
    <n v="2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29"/>
    <x v="2"/>
    <x v="4"/>
    <x v="2"/>
    <n v="5.1755575063302799E-2"/>
    <n v="2E+20"/>
    <n v="0"/>
    <n v="2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  <r>
    <x v="0"/>
    <s v="2025-02-11 23:47:45"/>
    <n v="30"/>
    <x v="0"/>
    <x v="0"/>
    <x v="0"/>
    <n v="0.89908656687486699"/>
    <n v="2E+20"/>
    <n v="0"/>
    <n v="4"/>
    <n v="0"/>
    <n v="0"/>
    <s v="Unnamed ProjectCustomerWIPEntity"/>
    <n v="30"/>
    <n v="0.83899458598477128"/>
    <n v="0.1783032632896793"/>
    <n v="0.95"/>
    <n v="6.6579532716361495E-2"/>
    <n v="0.52746518751150395"/>
    <n v="1.2354140404927401"/>
    <n v="6.6579532716361495E-2"/>
  </r>
  <r>
    <x v="0"/>
    <s v="2025-02-11 23:47:45"/>
    <n v="30"/>
    <x v="1"/>
    <x v="1"/>
    <x v="1"/>
    <n v="0.296032065555551"/>
    <n v="2E+20"/>
    <n v="0"/>
    <n v="1"/>
    <n v="0"/>
    <n v="0"/>
    <s v="Unnamed ProjectService CounterInstantaneous UtilizationResource"/>
    <n v="30"/>
    <n v="0.27413207792969679"/>
    <n v="5.6064597781178414E-2"/>
    <n v="0.95"/>
    <n v="2.0934864866366577E-2"/>
    <n v="0.17429991311555901"/>
    <n v="0.39832749227786501"/>
    <n v="2.0934864866366577E-2"/>
  </r>
  <r>
    <x v="0"/>
    <s v="2025-02-11 23:47:45"/>
    <n v="30"/>
    <x v="1"/>
    <x v="2"/>
    <x v="1"/>
    <n v="0.88809619666665196"/>
    <n v="2E+20"/>
    <n v="0"/>
    <n v="3"/>
    <n v="0"/>
    <n v="0"/>
    <s v="Unnamed ProjectService CounterNumber BusyResource"/>
    <n v="30"/>
    <n v="0.82239623378908988"/>
    <n v="0.16819379334353499"/>
    <n v="0.95"/>
    <n v="6.2804594599099622E-2"/>
    <n v="0.52289973934667799"/>
    <n v="1.1949824768335899"/>
    <n v="6.2804594599099622E-2"/>
  </r>
  <r>
    <x v="0"/>
    <s v="2025-02-11 23:47:45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7:45"/>
    <n v="30"/>
    <x v="2"/>
    <x v="4"/>
    <x v="2"/>
    <n v="1.09903702082144E-2"/>
    <n v="2E+20"/>
    <n v="0"/>
    <n v="1"/>
    <n v="0"/>
    <n v="0"/>
    <s v="Unnamed ProjectService Process.QueueNumber WaitingQueue"/>
    <n v="30"/>
    <n v="1.6598352195681718E-2"/>
    <n v="1.7202017266224459E-2"/>
    <n v="0.95"/>
    <n v="6.4233388118270073E-3"/>
    <n v="0"/>
    <n v="6.6344065089941603E-2"/>
    <n v="6.423338811827007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7:45"/>
    <n v="1"/>
    <x v="0"/>
    <x v="0"/>
    <x v="0"/>
    <n v="0"/>
    <n v="2E+20"/>
    <n v="0"/>
    <n v="0"/>
    <n v="45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"/>
    <x v="0"/>
    <x v="1"/>
    <x v="0"/>
    <n v="0"/>
    <n v="2E+20"/>
    <n v="0"/>
    <n v="0"/>
    <n v="45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"/>
    <x v="0"/>
    <x v="2"/>
    <x v="0"/>
    <n v="9.0738649494080494"/>
    <n v="2E+20"/>
    <n v="0.48137083002002301"/>
    <n v="29.223149731623899"/>
    <n v="45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"/>
    <x v="0"/>
    <x v="3"/>
    <x v="0"/>
    <n v="0"/>
    <n v="2E+20"/>
    <n v="0"/>
    <n v="0"/>
    <n v="45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"/>
    <x v="0"/>
    <x v="4"/>
    <x v="0"/>
    <n v="8.9615954287435304"/>
    <n v="2E+20"/>
    <n v="0.48137083002002301"/>
    <n v="29.223149731623899"/>
    <n v="45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"/>
    <x v="0"/>
    <x v="5"/>
    <x v="0"/>
    <n v="0.11226952066452001"/>
    <n v="2E+20"/>
    <n v="0"/>
    <n v="5.0521284299034104"/>
    <n v="45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"/>
    <x v="0"/>
    <x v="2"/>
    <x v="0"/>
    <n v="9.2357950588543893"/>
    <n v="2E+20"/>
    <n v="0.197049044181313"/>
    <n v="64.660524567664396"/>
    <n v="61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"/>
    <x v="0"/>
    <x v="4"/>
    <x v="0"/>
    <n v="9.0671811783361598"/>
    <n v="2E+20"/>
    <n v="0.14390288034951501"/>
    <n v="64.660524567664396"/>
    <n v="61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"/>
    <x v="0"/>
    <x v="5"/>
    <x v="0"/>
    <n v="0.16861388051822301"/>
    <n v="2E+20"/>
    <n v="0"/>
    <n v="3.5128059657716899"/>
    <n v="61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3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"/>
    <x v="0"/>
    <x v="2"/>
    <x v="0"/>
    <n v="8.2491249340121104"/>
    <n v="2E+20"/>
    <n v="3.2790565955491298E-2"/>
    <n v="27.1160739945995"/>
    <n v="65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3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"/>
    <x v="0"/>
    <x v="4"/>
    <x v="0"/>
    <n v="7.6979588548033604"/>
    <n v="2E+20"/>
    <n v="3.2790565955491298E-2"/>
    <n v="27.1160739945995"/>
    <n v="65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3"/>
    <x v="0"/>
    <x v="5"/>
    <x v="0"/>
    <n v="0.55116607920874505"/>
    <n v="2E+20"/>
    <n v="0"/>
    <n v="9.2504275806881004"/>
    <n v="65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4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4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4"/>
    <x v="0"/>
    <x v="2"/>
    <x v="0"/>
    <n v="9.8087646358642306"/>
    <n v="2E+20"/>
    <n v="0.110021986433765"/>
    <n v="41.836507549098798"/>
    <n v="59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4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4"/>
    <x v="0"/>
    <x v="4"/>
    <x v="0"/>
    <n v="9.7295029522263299"/>
    <n v="2E+20"/>
    <n v="0.110021986433765"/>
    <n v="41.836507549098798"/>
    <n v="59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4"/>
    <x v="0"/>
    <x v="5"/>
    <x v="0"/>
    <n v="7.9261683637903604E-2"/>
    <n v="2E+20"/>
    <n v="0"/>
    <n v="3.33080917299164"/>
    <n v="59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5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5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5"/>
    <x v="0"/>
    <x v="2"/>
    <x v="0"/>
    <n v="6.3293706197753199"/>
    <n v="2E+20"/>
    <n v="3.9970883785201701E-2"/>
    <n v="34.926464913258002"/>
    <n v="57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5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5"/>
    <x v="0"/>
    <x v="4"/>
    <x v="0"/>
    <n v="6.1454651254317803"/>
    <n v="2E+20"/>
    <n v="3.9970883785201701E-2"/>
    <n v="34.926464913258002"/>
    <n v="57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5"/>
    <x v="0"/>
    <x v="5"/>
    <x v="0"/>
    <n v="0.183905494343542"/>
    <n v="2E+20"/>
    <n v="0"/>
    <n v="7.9967908401371197"/>
    <n v="57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6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6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6"/>
    <x v="0"/>
    <x v="2"/>
    <x v="0"/>
    <n v="8.7016478531642996"/>
    <n v="2E+20"/>
    <n v="0.211751808790893"/>
    <n v="49.641521092688201"/>
    <n v="52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6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6"/>
    <x v="0"/>
    <x v="4"/>
    <x v="0"/>
    <n v="8.5799149287638894"/>
    <n v="2E+20"/>
    <n v="0.16649722516217499"/>
    <n v="49.641521092688201"/>
    <n v="52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6"/>
    <x v="0"/>
    <x v="5"/>
    <x v="0"/>
    <n v="0.121732924400411"/>
    <n v="2E+20"/>
    <n v="0"/>
    <n v="3.2088729022820099"/>
    <n v="52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7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7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7"/>
    <x v="0"/>
    <x v="2"/>
    <x v="0"/>
    <n v="9.8138671968651092"/>
    <n v="2E+20"/>
    <n v="0.31543115665590399"/>
    <n v="36.7587741085093"/>
    <n v="44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7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7"/>
    <x v="0"/>
    <x v="4"/>
    <x v="0"/>
    <n v="9.6846073091454201"/>
    <n v="2E+20"/>
    <n v="0.31543115665590399"/>
    <n v="36.7587741085093"/>
    <n v="44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7"/>
    <x v="0"/>
    <x v="5"/>
    <x v="0"/>
    <n v="0.12925988771969299"/>
    <n v="2E+20"/>
    <n v="0"/>
    <n v="5.6874350596664804"/>
    <n v="44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8"/>
    <x v="0"/>
    <x v="0"/>
    <x v="0"/>
    <n v="0"/>
    <n v="2E+20"/>
    <n v="0"/>
    <n v="0"/>
    <n v="4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8"/>
    <x v="0"/>
    <x v="1"/>
    <x v="0"/>
    <n v="0"/>
    <n v="2E+20"/>
    <n v="0"/>
    <n v="0"/>
    <n v="4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8"/>
    <x v="0"/>
    <x v="2"/>
    <x v="0"/>
    <n v="9.3966120183804502"/>
    <n v="2E+20"/>
    <n v="0.22223261531173899"/>
    <n v="58.488493769752203"/>
    <n v="41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8"/>
    <x v="0"/>
    <x v="3"/>
    <x v="0"/>
    <n v="0"/>
    <n v="2E+20"/>
    <n v="0"/>
    <n v="0"/>
    <n v="4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8"/>
    <x v="0"/>
    <x v="4"/>
    <x v="0"/>
    <n v="9.3966120183804502"/>
    <n v="2E+20"/>
    <n v="0.22223261531173899"/>
    <n v="58.488493769752203"/>
    <n v="41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8"/>
    <x v="0"/>
    <x v="5"/>
    <x v="0"/>
    <n v="0"/>
    <n v="2E+20"/>
    <n v="0"/>
    <n v="0"/>
    <n v="41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9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9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9"/>
    <x v="0"/>
    <x v="2"/>
    <x v="0"/>
    <n v="7.0197483263735396"/>
    <n v="2E+20"/>
    <n v="7.7823452125869594E-2"/>
    <n v="35.269038809934699"/>
    <n v="62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9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9"/>
    <x v="0"/>
    <x v="4"/>
    <x v="0"/>
    <n v="7.0037766985956997"/>
    <n v="2E+20"/>
    <n v="7.7823452125869594E-2"/>
    <n v="35.269038809934699"/>
    <n v="62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9"/>
    <x v="0"/>
    <x v="5"/>
    <x v="0"/>
    <n v="1.59716277778379E-2"/>
    <n v="2E+20"/>
    <n v="0"/>
    <n v="0.99024092222595095"/>
    <n v="62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0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0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0"/>
    <x v="0"/>
    <x v="2"/>
    <x v="0"/>
    <n v="6.5590547394256902"/>
    <n v="2E+20"/>
    <n v="9.76033319009844E-2"/>
    <n v="32.531605815939102"/>
    <n v="50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0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0"/>
    <x v="0"/>
    <x v="4"/>
    <x v="0"/>
    <n v="6.5049091084222104"/>
    <n v="2E+20"/>
    <n v="9.76033319009844E-2"/>
    <n v="32.531605815939102"/>
    <n v="50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0"/>
    <x v="0"/>
    <x v="5"/>
    <x v="0"/>
    <n v="5.4145631003483498E-2"/>
    <n v="2E+20"/>
    <n v="0"/>
    <n v="2.6755682904690201"/>
    <n v="50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1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1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1"/>
    <x v="0"/>
    <x v="2"/>
    <x v="0"/>
    <n v="7.7110976722713298"/>
    <n v="2E+20"/>
    <n v="2.6457518208204099E-2"/>
    <n v="31.827566203010601"/>
    <n v="62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1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1"/>
    <x v="0"/>
    <x v="4"/>
    <x v="0"/>
    <n v="7.5483026835468001"/>
    <n v="2E+20"/>
    <n v="2.6457518208204099E-2"/>
    <n v="31.827566203010601"/>
    <n v="62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1"/>
    <x v="0"/>
    <x v="5"/>
    <x v="0"/>
    <n v="0.16279498872452799"/>
    <n v="2E+20"/>
    <n v="0"/>
    <n v="8.6115976669027496"/>
    <n v="62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2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2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2"/>
    <x v="0"/>
    <x v="2"/>
    <x v="0"/>
    <n v="6.8889625241296901"/>
    <n v="2E+20"/>
    <n v="0.104027475047616"/>
    <n v="30.055336339401599"/>
    <n v="43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2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2"/>
    <x v="0"/>
    <x v="4"/>
    <x v="0"/>
    <n v="6.8646376560455797"/>
    <n v="2E+20"/>
    <n v="0.104027475047616"/>
    <n v="30.055336339401599"/>
    <n v="43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2"/>
    <x v="0"/>
    <x v="5"/>
    <x v="0"/>
    <n v="2.4324868084115499E-2"/>
    <n v="2E+20"/>
    <n v="0"/>
    <n v="0.66195961456931895"/>
    <n v="43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3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3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3"/>
    <x v="0"/>
    <x v="2"/>
    <x v="0"/>
    <n v="7.5435200731312397"/>
    <n v="2E+20"/>
    <n v="6.9634087496297098E-2"/>
    <n v="42.113635255078798"/>
    <n v="48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3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3"/>
    <x v="0"/>
    <x v="4"/>
    <x v="0"/>
    <n v="7.4484667089362198"/>
    <n v="2E+20"/>
    <n v="6.9634087496297098E-2"/>
    <n v="42.113635255078798"/>
    <n v="48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3"/>
    <x v="0"/>
    <x v="5"/>
    <x v="0"/>
    <n v="9.5053364195022305E-2"/>
    <n v="2E+20"/>
    <n v="0"/>
    <n v="3.6150540219432701"/>
    <n v="48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4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4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4"/>
    <x v="0"/>
    <x v="2"/>
    <x v="0"/>
    <n v="7.31589601077388"/>
    <n v="2E+20"/>
    <n v="0.19314470858736901"/>
    <n v="33.833082482125697"/>
    <n v="61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4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4"/>
    <x v="0"/>
    <x v="4"/>
    <x v="0"/>
    <n v="7.06309588356799"/>
    <n v="2E+20"/>
    <n v="0.15103101719501"/>
    <n v="33.362713334780402"/>
    <n v="61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4"/>
    <x v="0"/>
    <x v="5"/>
    <x v="0"/>
    <n v="0.25280012720588402"/>
    <n v="2E+20"/>
    <n v="0"/>
    <n v="6.1720852502292596"/>
    <n v="61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5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5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5"/>
    <x v="0"/>
    <x v="2"/>
    <x v="0"/>
    <n v="7.2129767645998797"/>
    <n v="2E+20"/>
    <n v="0.190139760605746"/>
    <n v="41.322930546652699"/>
    <n v="53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5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5"/>
    <x v="0"/>
    <x v="4"/>
    <x v="0"/>
    <n v="7.1525085584661099"/>
    <n v="2E+20"/>
    <n v="0.190139760605746"/>
    <n v="41.322930546652699"/>
    <n v="53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5"/>
    <x v="0"/>
    <x v="5"/>
    <x v="0"/>
    <n v="6.0468206133766703E-2"/>
    <n v="2E+20"/>
    <n v="0"/>
    <n v="2.6351670086038399"/>
    <n v="53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6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6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6"/>
    <x v="0"/>
    <x v="2"/>
    <x v="0"/>
    <n v="10.8848073584589"/>
    <n v="2E+20"/>
    <n v="0.55481228642591396"/>
    <n v="51.836035250993099"/>
    <n v="60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6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6"/>
    <x v="0"/>
    <x v="4"/>
    <x v="0"/>
    <n v="10.520923285526599"/>
    <n v="2E+20"/>
    <n v="0.55481228642591396"/>
    <n v="51.836035250993099"/>
    <n v="60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6"/>
    <x v="0"/>
    <x v="5"/>
    <x v="0"/>
    <n v="0.36388407293234998"/>
    <n v="2E+20"/>
    <n v="0"/>
    <n v="5.9738860003768703"/>
    <n v="60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7"/>
    <x v="0"/>
    <x v="0"/>
    <x v="0"/>
    <n v="0"/>
    <n v="2E+20"/>
    <n v="0"/>
    <n v="0"/>
    <n v="3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7"/>
    <x v="0"/>
    <x v="1"/>
    <x v="0"/>
    <n v="0"/>
    <n v="2E+20"/>
    <n v="0"/>
    <n v="0"/>
    <n v="3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7"/>
    <x v="0"/>
    <x v="2"/>
    <x v="0"/>
    <n v="7.6981405744922098"/>
    <n v="2E+20"/>
    <n v="0.36785896192196799"/>
    <n v="30.5640535683014"/>
    <n v="37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7"/>
    <x v="0"/>
    <x v="3"/>
    <x v="0"/>
    <n v="0"/>
    <n v="2E+20"/>
    <n v="0"/>
    <n v="0"/>
    <n v="3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7"/>
    <x v="0"/>
    <x v="4"/>
    <x v="0"/>
    <n v="7.6315097093839501"/>
    <n v="2E+20"/>
    <n v="0.36785896192196799"/>
    <n v="30.5640535683014"/>
    <n v="37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7"/>
    <x v="0"/>
    <x v="5"/>
    <x v="0"/>
    <n v="6.6630865108266699E-2"/>
    <n v="2E+20"/>
    <n v="0"/>
    <n v="2.46534200900587"/>
    <n v="37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8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8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8"/>
    <x v="0"/>
    <x v="2"/>
    <x v="0"/>
    <n v="10.498837587505299"/>
    <n v="2E+20"/>
    <n v="0.13528529806103501"/>
    <n v="42.771089742079702"/>
    <n v="62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8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8"/>
    <x v="0"/>
    <x v="4"/>
    <x v="0"/>
    <n v="10.1087947632724"/>
    <n v="2E+20"/>
    <n v="0.13528529806103501"/>
    <n v="42.771089742079702"/>
    <n v="62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8"/>
    <x v="0"/>
    <x v="5"/>
    <x v="0"/>
    <n v="0.39004282423299103"/>
    <n v="2E+20"/>
    <n v="0"/>
    <n v="4.6317284810656103"/>
    <n v="62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9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9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9"/>
    <x v="0"/>
    <x v="2"/>
    <x v="0"/>
    <n v="7.6509649519126102"/>
    <n v="2E+20"/>
    <n v="6.4063890553143201E-3"/>
    <n v="37.714677739965303"/>
    <n v="50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19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19"/>
    <x v="0"/>
    <x v="4"/>
    <x v="0"/>
    <n v="7.5335288773747404"/>
    <n v="2E+20"/>
    <n v="6.4063890553143201E-3"/>
    <n v="37.714677739965303"/>
    <n v="50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19"/>
    <x v="0"/>
    <x v="5"/>
    <x v="0"/>
    <n v="0.117436074537868"/>
    <n v="2E+20"/>
    <n v="0"/>
    <n v="3.52180235891166"/>
    <n v="50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0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0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0"/>
    <x v="0"/>
    <x v="2"/>
    <x v="0"/>
    <n v="7.8753108534995997"/>
    <n v="2E+20"/>
    <n v="0.20789231717026299"/>
    <n v="66.702859103432402"/>
    <n v="55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0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0"/>
    <x v="0"/>
    <x v="4"/>
    <x v="0"/>
    <n v="7.8684557738783303"/>
    <n v="2E+20"/>
    <n v="0.20789231717026299"/>
    <n v="66.702859103432402"/>
    <n v="55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0"/>
    <x v="0"/>
    <x v="5"/>
    <x v="0"/>
    <n v="6.8550796212713799E-3"/>
    <n v="2E+20"/>
    <n v="0"/>
    <n v="0.37702937916992602"/>
    <n v="55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1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1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1"/>
    <x v="0"/>
    <x v="2"/>
    <x v="0"/>
    <n v="7.2880421933320001"/>
    <n v="2E+20"/>
    <n v="6.5702714622375397E-2"/>
    <n v="33.829346636880601"/>
    <n v="64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1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1"/>
    <x v="0"/>
    <x v="4"/>
    <x v="0"/>
    <n v="7.2880421933320001"/>
    <n v="2E+20"/>
    <n v="6.5702714622375397E-2"/>
    <n v="33.829346636880601"/>
    <n v="64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1"/>
    <x v="0"/>
    <x v="5"/>
    <x v="0"/>
    <n v="0"/>
    <n v="2E+20"/>
    <n v="0"/>
    <n v="0"/>
    <n v="64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2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2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2"/>
    <x v="0"/>
    <x v="2"/>
    <x v="0"/>
    <n v="9.7552036344897495"/>
    <n v="2E+20"/>
    <n v="2.5144256069154401E-2"/>
    <n v="32.238673536365802"/>
    <n v="52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2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2"/>
    <x v="0"/>
    <x v="4"/>
    <x v="0"/>
    <n v="9.3064878233357895"/>
    <n v="2E+20"/>
    <n v="2.5144256069154401E-2"/>
    <n v="32.238673536365802"/>
    <n v="52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2"/>
    <x v="0"/>
    <x v="5"/>
    <x v="0"/>
    <n v="0.44871581115396902"/>
    <n v="2E+20"/>
    <n v="0"/>
    <n v="11.7870792168262"/>
    <n v="52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3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3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3"/>
    <x v="0"/>
    <x v="2"/>
    <x v="0"/>
    <n v="7.7891677093732703"/>
    <n v="2E+20"/>
    <n v="4.2561577457206602E-2"/>
    <n v="31.1790466583514"/>
    <n v="61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3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3"/>
    <x v="0"/>
    <x v="4"/>
    <x v="0"/>
    <n v="7.52543833280206"/>
    <n v="2E+20"/>
    <n v="4.2561577457206602E-2"/>
    <n v="31.1790466583514"/>
    <n v="61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3"/>
    <x v="0"/>
    <x v="5"/>
    <x v="0"/>
    <n v="0.26372937657121398"/>
    <n v="2E+20"/>
    <n v="0"/>
    <n v="8.2894737477306499"/>
    <n v="61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4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4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4"/>
    <x v="0"/>
    <x v="2"/>
    <x v="0"/>
    <n v="7.3612967857165401"/>
    <n v="2E+20"/>
    <n v="0.113476061281631"/>
    <n v="29.830664773086401"/>
    <n v="40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4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4"/>
    <x v="0"/>
    <x v="4"/>
    <x v="0"/>
    <n v="7.3550591725240899"/>
    <n v="2E+20"/>
    <n v="0.113476061281631"/>
    <n v="29.830664773086401"/>
    <n v="40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4"/>
    <x v="0"/>
    <x v="5"/>
    <x v="0"/>
    <n v="6.2376131924509097E-3"/>
    <n v="2E+20"/>
    <n v="0"/>
    <n v="0.24950452769803599"/>
    <n v="40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5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5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5"/>
    <x v="0"/>
    <x v="2"/>
    <x v="0"/>
    <n v="8.4010661099239492"/>
    <n v="2E+20"/>
    <n v="9.0271934226109404E-3"/>
    <n v="36.6592571995469"/>
    <n v="57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5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5"/>
    <x v="0"/>
    <x v="4"/>
    <x v="0"/>
    <n v="8.2794813702814896"/>
    <n v="2E+20"/>
    <n v="9.0271934226109404E-3"/>
    <n v="36.6592571995469"/>
    <n v="57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5"/>
    <x v="0"/>
    <x v="5"/>
    <x v="0"/>
    <n v="0.121584739642459"/>
    <n v="2E+20"/>
    <n v="0"/>
    <n v="6.1124597759242603"/>
    <n v="57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6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6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6"/>
    <x v="0"/>
    <x v="2"/>
    <x v="0"/>
    <n v="8.7330309002102897"/>
    <n v="2E+20"/>
    <n v="0.144175515342717"/>
    <n v="38.8938228204712"/>
    <n v="47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6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6"/>
    <x v="0"/>
    <x v="4"/>
    <x v="0"/>
    <n v="8.7117804981610494"/>
    <n v="2E+20"/>
    <n v="0.144175515342717"/>
    <n v="38.8938228204712"/>
    <n v="47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6"/>
    <x v="0"/>
    <x v="5"/>
    <x v="0"/>
    <n v="2.1250402049244398E-2"/>
    <n v="2E+20"/>
    <n v="0"/>
    <n v="0.88509295521092202"/>
    <n v="47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7"/>
    <x v="0"/>
    <x v="0"/>
    <x v="0"/>
    <n v="0"/>
    <n v="2E+20"/>
    <n v="0"/>
    <n v="0"/>
    <n v="46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7"/>
    <x v="0"/>
    <x v="1"/>
    <x v="0"/>
    <n v="0"/>
    <n v="2E+20"/>
    <n v="0"/>
    <n v="0"/>
    <n v="46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7"/>
    <x v="0"/>
    <x v="2"/>
    <x v="0"/>
    <n v="10.1796667747121"/>
    <n v="2E+20"/>
    <n v="0.181986718431006"/>
    <n v="63.340646498908697"/>
    <n v="46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7"/>
    <x v="0"/>
    <x v="3"/>
    <x v="0"/>
    <n v="0"/>
    <n v="2E+20"/>
    <n v="0"/>
    <n v="0"/>
    <n v="46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7"/>
    <x v="0"/>
    <x v="4"/>
    <x v="0"/>
    <n v="10.0493581215106"/>
    <n v="2E+20"/>
    <n v="0.181986718431006"/>
    <n v="60.5378249523392"/>
    <n v="46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7"/>
    <x v="0"/>
    <x v="5"/>
    <x v="0"/>
    <n v="0.13030865320146001"/>
    <n v="2E+20"/>
    <n v="0"/>
    <n v="3.19137650069769"/>
    <n v="46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8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8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8"/>
    <x v="0"/>
    <x v="2"/>
    <x v="0"/>
    <n v="9.6230142282230897"/>
    <n v="2E+20"/>
    <n v="0.197698357215984"/>
    <n v="63.392444108219102"/>
    <n v="59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8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8"/>
    <x v="0"/>
    <x v="4"/>
    <x v="0"/>
    <n v="9.4480622019437401"/>
    <n v="2E+20"/>
    <n v="0.197698357215984"/>
    <n v="63.392444108219102"/>
    <n v="59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8"/>
    <x v="0"/>
    <x v="5"/>
    <x v="0"/>
    <n v="0.174952026279351"/>
    <n v="2E+20"/>
    <n v="0"/>
    <n v="10.3221695504817"/>
    <n v="59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29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9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9"/>
    <x v="0"/>
    <x v="2"/>
    <x v="0"/>
    <n v="7.8347875361341899"/>
    <n v="2E+20"/>
    <n v="0.33624025002535501"/>
    <n v="20.030161537023599"/>
    <n v="57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29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29"/>
    <x v="0"/>
    <x v="4"/>
    <x v="0"/>
    <n v="7.3444715618502698"/>
    <n v="2E+20"/>
    <n v="0.33624025002535501"/>
    <n v="18.551188112889601"/>
    <n v="57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29"/>
    <x v="0"/>
    <x v="5"/>
    <x v="0"/>
    <n v="0.49031597428392099"/>
    <n v="2E+20"/>
    <n v="0"/>
    <n v="7.2506916590024799"/>
    <n v="57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30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0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0"/>
    <x v="0"/>
    <x v="2"/>
    <x v="0"/>
    <n v="7.9591269854496396"/>
    <n v="2E+20"/>
    <n v="6.4147843096918705E-2"/>
    <n v="32.655373049519099"/>
    <n v="61"/>
    <s v="Unnamed ProjectCustomerTotal TimeEntity"/>
    <n v="30"/>
    <n v="8.3464255853487579"/>
    <n v="1.2252466225950585"/>
    <n v="0.95"/>
    <n v="0.45751460791913051"/>
    <n v="6.3293706197753199"/>
    <n v="10.8848073584589"/>
    <n v="6.4063890553143201E-3"/>
    <n v="66.702859103432402"/>
    <n v="53.7"/>
    <n v="0.45751460791913051"/>
    <n v="30"/>
    <n v="1"/>
  </r>
  <r>
    <x v="0"/>
    <s v="2025-02-11 23:47:45"/>
    <n v="30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7:45"/>
    <n v="30"/>
    <x v="0"/>
    <x v="4"/>
    <x v="0"/>
    <n v="7.8618351836064297"/>
    <n v="2E+20"/>
    <n v="6.4147843096918705E-2"/>
    <n v="32.357547642411902"/>
    <n v="61"/>
    <s v="Unnamed ProjectCustomerVA TimeEntity"/>
    <n v="30"/>
    <n v="8.18939213207317"/>
    <n v="1.1834047877948413"/>
    <n v="0.95"/>
    <n v="0.44189061003151081"/>
    <n v="6.1454651254317803"/>
    <n v="10.520923285526599"/>
    <n v="6.4063890553143201E-3"/>
    <n v="66.702859103432402"/>
    <n v="53.7"/>
    <n v="0.44189061003151081"/>
    <n v="30"/>
    <n v="1"/>
  </r>
  <r>
    <x v="0"/>
    <s v="2025-02-11 23:47:45"/>
    <n v="30"/>
    <x v="0"/>
    <x v="5"/>
    <x v="0"/>
    <n v="9.7291801843209805E-2"/>
    <n v="2E+20"/>
    <n v="0"/>
    <n v="2.6993390493705198"/>
    <n v="61"/>
    <s v="Unnamed ProjectCustomerWait TimeEntity"/>
    <n v="30"/>
    <n v="0.15703345327559007"/>
    <n v="0.15199865732398293"/>
    <n v="0.95"/>
    <n v="5.6757231423766749E-2"/>
    <n v="0"/>
    <n v="0.55116607920874505"/>
    <n v="0"/>
    <n v="11.7870792168262"/>
    <n v="53.7"/>
    <n v="5.6757231423766749E-2"/>
    <n v="30"/>
    <n v="1"/>
  </r>
  <r>
    <x v="0"/>
    <s v="2025-02-11 23:47:45"/>
    <n v="1"/>
    <x v="1"/>
    <x v="6"/>
    <x v="1"/>
    <n v="0.10982887891094401"/>
    <n v="2E+20"/>
    <n v="0"/>
    <n v="5.0521284299034104"/>
    <n v="46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"/>
    <x v="1"/>
    <x v="6"/>
    <x v="1"/>
    <n v="0.16861388051822301"/>
    <n v="2E+20"/>
    <n v="0"/>
    <n v="3.5128059657716899"/>
    <n v="6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3"/>
    <x v="1"/>
    <x v="6"/>
    <x v="1"/>
    <n v="0.53471336042639495"/>
    <n v="2E+20"/>
    <n v="0"/>
    <n v="9.2504275806881004"/>
    <n v="67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4"/>
    <x v="1"/>
    <x v="6"/>
    <x v="1"/>
    <n v="7.9261683637903604E-2"/>
    <n v="2E+20"/>
    <n v="0"/>
    <n v="3.33080917299164"/>
    <n v="59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5"/>
    <x v="1"/>
    <x v="6"/>
    <x v="1"/>
    <n v="0.177671409789523"/>
    <n v="2E+20"/>
    <n v="0"/>
    <n v="7.9967908401371197"/>
    <n v="59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6"/>
    <x v="1"/>
    <x v="6"/>
    <x v="1"/>
    <n v="0.121732924400411"/>
    <n v="2E+20"/>
    <n v="0"/>
    <n v="3.2088729022820099"/>
    <n v="52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7"/>
    <x v="1"/>
    <x v="6"/>
    <x v="1"/>
    <n v="0.12925988771969299"/>
    <n v="2E+20"/>
    <n v="0"/>
    <n v="5.6874350596664804"/>
    <n v="44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8"/>
    <x v="1"/>
    <x v="6"/>
    <x v="1"/>
    <n v="0"/>
    <n v="2E+20"/>
    <n v="0"/>
    <n v="0"/>
    <n v="4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9"/>
    <x v="1"/>
    <x v="6"/>
    <x v="1"/>
    <n v="1.59716277778379E-2"/>
    <n v="2E+20"/>
    <n v="0"/>
    <n v="0.99024092222595095"/>
    <n v="62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0"/>
    <x v="1"/>
    <x v="6"/>
    <x v="1"/>
    <n v="5.4145631003483498E-2"/>
    <n v="2E+20"/>
    <n v="0"/>
    <n v="2.6755682904690201"/>
    <n v="50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1"/>
    <x v="1"/>
    <x v="6"/>
    <x v="1"/>
    <n v="0.16279498872452799"/>
    <n v="2E+20"/>
    <n v="0"/>
    <n v="8.6115976669027496"/>
    <n v="62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2"/>
    <x v="1"/>
    <x v="6"/>
    <x v="1"/>
    <n v="2.4324868084115499E-2"/>
    <n v="2E+20"/>
    <n v="0"/>
    <n v="0.66195961456931895"/>
    <n v="43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3"/>
    <x v="1"/>
    <x v="6"/>
    <x v="1"/>
    <n v="8.9461989830609198E-2"/>
    <n v="2E+20"/>
    <n v="0"/>
    <n v="3.6150540219432701"/>
    <n v="5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4"/>
    <x v="1"/>
    <x v="6"/>
    <x v="1"/>
    <n v="0.248722705799337"/>
    <n v="2E+20"/>
    <n v="0"/>
    <n v="6.1720852502292596"/>
    <n v="62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5"/>
    <x v="1"/>
    <x v="6"/>
    <x v="1"/>
    <n v="5.9348424538697001E-2"/>
    <n v="2E+20"/>
    <n v="0"/>
    <n v="2.6351670086038399"/>
    <n v="54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6"/>
    <x v="1"/>
    <x v="6"/>
    <x v="1"/>
    <n v="0.35791876026132802"/>
    <n v="2E+20"/>
    <n v="0"/>
    <n v="5.9738860003768703"/>
    <n v="6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7"/>
    <x v="1"/>
    <x v="6"/>
    <x v="1"/>
    <n v="6.6630865108266699E-2"/>
    <n v="2E+20"/>
    <n v="0"/>
    <n v="2.46534200900587"/>
    <n v="37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8"/>
    <x v="1"/>
    <x v="6"/>
    <x v="1"/>
    <n v="0.383851668292785"/>
    <n v="2E+20"/>
    <n v="0"/>
    <n v="4.6317284810656103"/>
    <n v="63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19"/>
    <x v="1"/>
    <x v="6"/>
    <x v="1"/>
    <n v="0.110788749564026"/>
    <n v="2E+20"/>
    <n v="0"/>
    <n v="3.52180235891166"/>
    <n v="53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0"/>
    <x v="1"/>
    <x v="6"/>
    <x v="1"/>
    <n v="6.8550796212713799E-3"/>
    <n v="2E+20"/>
    <n v="0"/>
    <n v="0.37702937916992602"/>
    <n v="55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1"/>
    <x v="1"/>
    <x v="6"/>
    <x v="1"/>
    <n v="0"/>
    <n v="2E+20"/>
    <n v="0"/>
    <n v="0"/>
    <n v="64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2"/>
    <x v="1"/>
    <x v="6"/>
    <x v="1"/>
    <n v="0.43209670703715503"/>
    <n v="2E+20"/>
    <n v="0"/>
    <n v="11.7870792168262"/>
    <n v="54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3"/>
    <x v="1"/>
    <x v="6"/>
    <x v="1"/>
    <n v="0.26372937657121398"/>
    <n v="2E+20"/>
    <n v="0"/>
    <n v="8.2894737477306499"/>
    <n v="6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4"/>
    <x v="1"/>
    <x v="6"/>
    <x v="1"/>
    <n v="5.9405839928103896E-3"/>
    <n v="2E+20"/>
    <n v="0"/>
    <n v="0.24950452769803599"/>
    <n v="42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5"/>
    <x v="1"/>
    <x v="6"/>
    <x v="1"/>
    <n v="0.121584739642459"/>
    <n v="2E+20"/>
    <n v="0"/>
    <n v="6.1124597759242603"/>
    <n v="57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6"/>
    <x v="1"/>
    <x v="6"/>
    <x v="1"/>
    <n v="2.1250402049244398E-2"/>
    <n v="2E+20"/>
    <n v="0"/>
    <n v="0.88509295521092202"/>
    <n v="47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7"/>
    <x v="1"/>
    <x v="6"/>
    <x v="1"/>
    <n v="0.13030865320146001"/>
    <n v="2E+20"/>
    <n v="0"/>
    <n v="3.19137650069769"/>
    <n v="46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8"/>
    <x v="1"/>
    <x v="6"/>
    <x v="1"/>
    <n v="0.172036159174695"/>
    <n v="2E+20"/>
    <n v="0"/>
    <n v="10.3221695504817"/>
    <n v="60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29"/>
    <x v="1"/>
    <x v="6"/>
    <x v="1"/>
    <n v="0.47369509379972102"/>
    <n v="2E+20"/>
    <n v="0"/>
    <n v="7.2506916590024799"/>
    <n v="59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  <r>
    <x v="0"/>
    <s v="2025-02-11 23:47:45"/>
    <n v="30"/>
    <x v="1"/>
    <x v="6"/>
    <x v="1"/>
    <n v="9.7291801843209805E-2"/>
    <n v="2E+20"/>
    <n v="0"/>
    <n v="2.6993390493705198"/>
    <n v="61"/>
    <s v="Unnamed ProjectService Process.QueueWaiting TimeQueue"/>
    <n v="30"/>
    <n v="0.15399436337737821"/>
    <n v="0.14764802161863902"/>
    <n v="0.95"/>
    <n v="5.5132677352592425E-2"/>
    <n v="0"/>
    <n v="0.53471336042639495"/>
    <n v="0"/>
    <n v="11.7870792168262"/>
    <n v="54.43333333333333"/>
    <n v="5.5132677352592425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7:45"/>
    <n v="1"/>
    <x v="0"/>
    <x v="0"/>
    <x v="0"/>
    <n v="46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"/>
    <x v="1"/>
    <x v="1"/>
    <x v="0"/>
    <n v="45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"/>
    <x v="2"/>
    <x v="2"/>
    <x v="1"/>
    <n v="46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"/>
    <x v="3"/>
    <x v="3"/>
    <x v="1"/>
    <n v="0.25009597597844502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"/>
    <x v="4"/>
    <x v="1"/>
    <x v="2"/>
    <n v="45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"/>
    <x v="0"/>
    <x v="0"/>
    <x v="0"/>
    <n v="6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"/>
    <x v="1"/>
    <x v="1"/>
    <x v="0"/>
    <n v="61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"/>
    <x v="2"/>
    <x v="2"/>
    <x v="1"/>
    <n v="6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"/>
    <x v="3"/>
    <x v="3"/>
    <x v="1"/>
    <n v="0.34141855054228798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"/>
    <x v="4"/>
    <x v="1"/>
    <x v="2"/>
    <n v="61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3"/>
    <x v="0"/>
    <x v="0"/>
    <x v="0"/>
    <n v="67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3"/>
    <x v="1"/>
    <x v="1"/>
    <x v="0"/>
    <n v="65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3"/>
    <x v="2"/>
    <x v="2"/>
    <x v="1"/>
    <n v="67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3"/>
    <x v="3"/>
    <x v="3"/>
    <x v="1"/>
    <n v="0.31513592935054802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3"/>
    <x v="4"/>
    <x v="1"/>
    <x v="2"/>
    <n v="65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4"/>
    <x v="0"/>
    <x v="0"/>
    <x v="0"/>
    <n v="59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4"/>
    <x v="1"/>
    <x v="1"/>
    <x v="0"/>
    <n v="59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4"/>
    <x v="2"/>
    <x v="2"/>
    <x v="1"/>
    <n v="59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4"/>
    <x v="3"/>
    <x v="3"/>
    <x v="1"/>
    <n v="0.354346095173674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4"/>
    <x v="4"/>
    <x v="1"/>
    <x v="2"/>
    <n v="59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5"/>
    <x v="0"/>
    <x v="0"/>
    <x v="0"/>
    <n v="59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5"/>
    <x v="1"/>
    <x v="1"/>
    <x v="0"/>
    <n v="57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5"/>
    <x v="2"/>
    <x v="2"/>
    <x v="1"/>
    <n v="59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5"/>
    <x v="3"/>
    <x v="3"/>
    <x v="1"/>
    <n v="0.22112621130714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5"/>
    <x v="4"/>
    <x v="1"/>
    <x v="2"/>
    <n v="57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6"/>
    <x v="0"/>
    <x v="0"/>
    <x v="0"/>
    <n v="52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6"/>
    <x v="1"/>
    <x v="1"/>
    <x v="0"/>
    <n v="52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6"/>
    <x v="2"/>
    <x v="2"/>
    <x v="1"/>
    <n v="52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6"/>
    <x v="3"/>
    <x v="3"/>
    <x v="1"/>
    <n v="0.27540467672575503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6"/>
    <x v="4"/>
    <x v="1"/>
    <x v="2"/>
    <n v="52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7"/>
    <x v="0"/>
    <x v="0"/>
    <x v="0"/>
    <n v="44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7"/>
    <x v="1"/>
    <x v="1"/>
    <x v="0"/>
    <n v="44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7"/>
    <x v="2"/>
    <x v="2"/>
    <x v="1"/>
    <n v="44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7"/>
    <x v="3"/>
    <x v="3"/>
    <x v="1"/>
    <n v="0.263038717038517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7"/>
    <x v="4"/>
    <x v="1"/>
    <x v="2"/>
    <n v="44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8"/>
    <x v="0"/>
    <x v="0"/>
    <x v="0"/>
    <n v="4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8"/>
    <x v="1"/>
    <x v="1"/>
    <x v="0"/>
    <n v="41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8"/>
    <x v="2"/>
    <x v="2"/>
    <x v="1"/>
    <n v="4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8"/>
    <x v="3"/>
    <x v="3"/>
    <x v="1"/>
    <n v="0.237815489354073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8"/>
    <x v="4"/>
    <x v="1"/>
    <x v="2"/>
    <n v="41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9"/>
    <x v="0"/>
    <x v="0"/>
    <x v="0"/>
    <n v="62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9"/>
    <x v="1"/>
    <x v="1"/>
    <x v="0"/>
    <n v="62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9"/>
    <x v="2"/>
    <x v="2"/>
    <x v="1"/>
    <n v="62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9"/>
    <x v="3"/>
    <x v="3"/>
    <x v="1"/>
    <n v="0.26804577488452702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9"/>
    <x v="4"/>
    <x v="1"/>
    <x v="2"/>
    <n v="62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0"/>
    <x v="0"/>
    <x v="0"/>
    <x v="0"/>
    <n v="50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0"/>
    <x v="1"/>
    <x v="1"/>
    <x v="0"/>
    <n v="50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0"/>
    <x v="2"/>
    <x v="2"/>
    <x v="1"/>
    <n v="50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0"/>
    <x v="3"/>
    <x v="3"/>
    <x v="1"/>
    <n v="0.200768799642661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0"/>
    <x v="4"/>
    <x v="1"/>
    <x v="2"/>
    <n v="50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1"/>
    <x v="0"/>
    <x v="0"/>
    <x v="0"/>
    <n v="62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1"/>
    <x v="1"/>
    <x v="1"/>
    <x v="0"/>
    <n v="62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1"/>
    <x v="2"/>
    <x v="2"/>
    <x v="1"/>
    <n v="62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1"/>
    <x v="3"/>
    <x v="3"/>
    <x v="1"/>
    <n v="0.288885658259197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1"/>
    <x v="4"/>
    <x v="1"/>
    <x v="2"/>
    <n v="62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2"/>
    <x v="0"/>
    <x v="0"/>
    <x v="0"/>
    <n v="43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2"/>
    <x v="1"/>
    <x v="1"/>
    <x v="0"/>
    <n v="43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2"/>
    <x v="2"/>
    <x v="2"/>
    <x v="1"/>
    <n v="43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2"/>
    <x v="3"/>
    <x v="3"/>
    <x v="1"/>
    <n v="0.182209518030839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2"/>
    <x v="4"/>
    <x v="1"/>
    <x v="2"/>
    <n v="43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3"/>
    <x v="0"/>
    <x v="0"/>
    <x v="0"/>
    <n v="5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3"/>
    <x v="1"/>
    <x v="1"/>
    <x v="0"/>
    <n v="48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3"/>
    <x v="2"/>
    <x v="2"/>
    <x v="1"/>
    <n v="5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3"/>
    <x v="3"/>
    <x v="3"/>
    <x v="1"/>
    <n v="0.235116679147405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3"/>
    <x v="4"/>
    <x v="1"/>
    <x v="2"/>
    <n v="48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4"/>
    <x v="0"/>
    <x v="0"/>
    <x v="0"/>
    <n v="62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4"/>
    <x v="1"/>
    <x v="1"/>
    <x v="0"/>
    <n v="61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4"/>
    <x v="2"/>
    <x v="2"/>
    <x v="1"/>
    <n v="62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4"/>
    <x v="3"/>
    <x v="3"/>
    <x v="1"/>
    <n v="0.26643202112061798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4"/>
    <x v="4"/>
    <x v="1"/>
    <x v="2"/>
    <n v="61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5"/>
    <x v="0"/>
    <x v="0"/>
    <x v="0"/>
    <n v="54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5"/>
    <x v="1"/>
    <x v="1"/>
    <x v="0"/>
    <n v="53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5"/>
    <x v="2"/>
    <x v="2"/>
    <x v="1"/>
    <n v="54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5"/>
    <x v="3"/>
    <x v="3"/>
    <x v="1"/>
    <n v="0.234667601222331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5"/>
    <x v="4"/>
    <x v="1"/>
    <x v="2"/>
    <n v="53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6"/>
    <x v="0"/>
    <x v="0"/>
    <x v="0"/>
    <n v="6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6"/>
    <x v="1"/>
    <x v="1"/>
    <x v="0"/>
    <n v="60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6"/>
    <x v="2"/>
    <x v="2"/>
    <x v="1"/>
    <n v="6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6"/>
    <x v="3"/>
    <x v="3"/>
    <x v="1"/>
    <n v="0.398327492277865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6"/>
    <x v="4"/>
    <x v="1"/>
    <x v="2"/>
    <n v="60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7"/>
    <x v="0"/>
    <x v="0"/>
    <x v="0"/>
    <n v="37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7"/>
    <x v="1"/>
    <x v="1"/>
    <x v="0"/>
    <n v="37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7"/>
    <x v="2"/>
    <x v="2"/>
    <x v="1"/>
    <n v="37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7"/>
    <x v="3"/>
    <x v="3"/>
    <x v="1"/>
    <n v="0.174299913115559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7"/>
    <x v="4"/>
    <x v="1"/>
    <x v="2"/>
    <n v="37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8"/>
    <x v="0"/>
    <x v="0"/>
    <x v="0"/>
    <n v="63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8"/>
    <x v="1"/>
    <x v="1"/>
    <x v="0"/>
    <n v="62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8"/>
    <x v="2"/>
    <x v="2"/>
    <x v="1"/>
    <n v="63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8"/>
    <x v="3"/>
    <x v="3"/>
    <x v="1"/>
    <n v="0.3964045908601460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8"/>
    <x v="4"/>
    <x v="1"/>
    <x v="2"/>
    <n v="62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19"/>
    <x v="0"/>
    <x v="0"/>
    <x v="0"/>
    <n v="53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19"/>
    <x v="1"/>
    <x v="1"/>
    <x v="0"/>
    <n v="50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19"/>
    <x v="2"/>
    <x v="2"/>
    <x v="1"/>
    <n v="53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19"/>
    <x v="3"/>
    <x v="3"/>
    <x v="1"/>
    <n v="0.248163724509509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19"/>
    <x v="4"/>
    <x v="1"/>
    <x v="2"/>
    <n v="50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0"/>
    <x v="0"/>
    <x v="0"/>
    <x v="0"/>
    <n v="55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0"/>
    <x v="1"/>
    <x v="1"/>
    <x v="0"/>
    <n v="55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0"/>
    <x v="2"/>
    <x v="2"/>
    <x v="1"/>
    <n v="55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0"/>
    <x v="3"/>
    <x v="3"/>
    <x v="1"/>
    <n v="0.267138930594635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0"/>
    <x v="4"/>
    <x v="1"/>
    <x v="2"/>
    <n v="55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1"/>
    <x v="0"/>
    <x v="0"/>
    <x v="0"/>
    <n v="64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1"/>
    <x v="1"/>
    <x v="1"/>
    <x v="0"/>
    <n v="64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1"/>
    <x v="2"/>
    <x v="2"/>
    <x v="1"/>
    <n v="64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1"/>
    <x v="3"/>
    <x v="3"/>
    <x v="1"/>
    <n v="0.287922654551387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1"/>
    <x v="4"/>
    <x v="1"/>
    <x v="2"/>
    <n v="64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2"/>
    <x v="0"/>
    <x v="0"/>
    <x v="0"/>
    <n v="54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2"/>
    <x v="1"/>
    <x v="1"/>
    <x v="0"/>
    <n v="52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2"/>
    <x v="2"/>
    <x v="2"/>
    <x v="1"/>
    <n v="54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2"/>
    <x v="3"/>
    <x v="3"/>
    <x v="1"/>
    <n v="0.30069447079282802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2"/>
    <x v="4"/>
    <x v="1"/>
    <x v="2"/>
    <n v="52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3"/>
    <x v="0"/>
    <x v="0"/>
    <x v="0"/>
    <n v="6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3"/>
    <x v="1"/>
    <x v="1"/>
    <x v="0"/>
    <n v="61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3"/>
    <x v="2"/>
    <x v="2"/>
    <x v="1"/>
    <n v="6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3"/>
    <x v="3"/>
    <x v="3"/>
    <x v="1"/>
    <n v="0.28336527055612698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3"/>
    <x v="4"/>
    <x v="1"/>
    <x v="2"/>
    <n v="61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4"/>
    <x v="0"/>
    <x v="0"/>
    <x v="0"/>
    <n v="42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4"/>
    <x v="1"/>
    <x v="1"/>
    <x v="0"/>
    <n v="40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4"/>
    <x v="2"/>
    <x v="2"/>
    <x v="1"/>
    <n v="42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4"/>
    <x v="3"/>
    <x v="3"/>
    <x v="1"/>
    <n v="0.184780234623633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4"/>
    <x v="4"/>
    <x v="1"/>
    <x v="2"/>
    <n v="40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5"/>
    <x v="0"/>
    <x v="0"/>
    <x v="0"/>
    <n v="57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5"/>
    <x v="1"/>
    <x v="1"/>
    <x v="0"/>
    <n v="57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5"/>
    <x v="2"/>
    <x v="2"/>
    <x v="1"/>
    <n v="57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5"/>
    <x v="3"/>
    <x v="3"/>
    <x v="1"/>
    <n v="0.29131508525064498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5"/>
    <x v="4"/>
    <x v="1"/>
    <x v="2"/>
    <n v="57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6"/>
    <x v="0"/>
    <x v="0"/>
    <x v="0"/>
    <n v="47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6"/>
    <x v="1"/>
    <x v="1"/>
    <x v="0"/>
    <n v="47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6"/>
    <x v="2"/>
    <x v="2"/>
    <x v="1"/>
    <n v="47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6"/>
    <x v="3"/>
    <x v="3"/>
    <x v="1"/>
    <n v="0.25274918729232698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6"/>
    <x v="4"/>
    <x v="1"/>
    <x v="2"/>
    <n v="47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7"/>
    <x v="0"/>
    <x v="0"/>
    <x v="0"/>
    <n v="46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7"/>
    <x v="1"/>
    <x v="1"/>
    <x v="0"/>
    <n v="46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7"/>
    <x v="2"/>
    <x v="2"/>
    <x v="1"/>
    <n v="46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7"/>
    <x v="3"/>
    <x v="3"/>
    <x v="1"/>
    <n v="0.28535214419104199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7"/>
    <x v="4"/>
    <x v="1"/>
    <x v="2"/>
    <n v="46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8"/>
    <x v="0"/>
    <x v="0"/>
    <x v="0"/>
    <n v="60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8"/>
    <x v="1"/>
    <x v="1"/>
    <x v="0"/>
    <n v="59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8"/>
    <x v="2"/>
    <x v="2"/>
    <x v="1"/>
    <n v="60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8"/>
    <x v="3"/>
    <x v="3"/>
    <x v="1"/>
    <n v="0.34522512283216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8"/>
    <x v="4"/>
    <x v="1"/>
    <x v="2"/>
    <n v="59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29"/>
    <x v="0"/>
    <x v="0"/>
    <x v="0"/>
    <n v="59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29"/>
    <x v="1"/>
    <x v="1"/>
    <x v="0"/>
    <n v="57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29"/>
    <x v="2"/>
    <x v="2"/>
    <x v="1"/>
    <n v="59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29"/>
    <x v="3"/>
    <x v="3"/>
    <x v="1"/>
    <n v="0.27768375310946303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29"/>
    <x v="4"/>
    <x v="1"/>
    <x v="2"/>
    <n v="57"/>
    <n v="0"/>
    <s v="Unnamed ProjectSystem.NumberOutNumber OutSystem"/>
    <n v="30"/>
    <n v="53.7"/>
    <n v="8.0221675633081357"/>
    <n v="0.95"/>
    <n v="2.9955265982410313"/>
    <n v="37"/>
    <n v="65"/>
  </r>
  <r>
    <x v="0"/>
    <s v="2025-02-11 23:47:45"/>
    <n v="30"/>
    <x v="0"/>
    <x v="0"/>
    <x v="0"/>
    <n v="61"/>
    <n v="0"/>
    <s v="Unnamed ProjectCustomer.NumberInNumber InEntity"/>
    <n v="30"/>
    <n v="54.43333333333333"/>
    <n v="8.0587640591420477"/>
    <n v="0.95"/>
    <n v="3.009191954369256"/>
    <n v="37"/>
    <n v="67"/>
  </r>
  <r>
    <x v="0"/>
    <s v="2025-02-11 23:47:45"/>
    <n v="30"/>
    <x v="1"/>
    <x v="1"/>
    <x v="0"/>
    <n v="61"/>
    <n v="0"/>
    <s v="Unnamed ProjectCustomer.NumberOutNumber OutEntity"/>
    <n v="30"/>
    <n v="53.7"/>
    <n v="8.0221675633081357"/>
    <n v="0.95"/>
    <n v="2.9955265982410313"/>
    <n v="37"/>
    <n v="65"/>
  </r>
  <r>
    <x v="0"/>
    <s v="2025-02-11 23:47:45"/>
    <n v="30"/>
    <x v="2"/>
    <x v="2"/>
    <x v="1"/>
    <n v="61"/>
    <n v="0"/>
    <s v="Unnamed ProjectService Counter.NumberSeizedTotal Number SeizedResource"/>
    <n v="30"/>
    <n v="54.43333333333333"/>
    <n v="8.0587640591420477"/>
    <n v="0.95"/>
    <n v="3.009191954369256"/>
    <n v="37"/>
    <n v="67"/>
  </r>
  <r>
    <x v="0"/>
    <s v="2025-02-11 23:47:45"/>
    <n v="30"/>
    <x v="3"/>
    <x v="3"/>
    <x v="1"/>
    <n v="0.296032065555551"/>
    <n v="0"/>
    <s v="Unnamed ProjectService Counter.ScheduledUtilizationScheduled UtilizationResource"/>
    <n v="30"/>
    <n v="0.27413207792969679"/>
    <n v="5.6064597781178692E-2"/>
    <n v="0.95"/>
    <n v="2.0934864866366681E-2"/>
    <n v="0.17429991311555901"/>
    <n v="0.39832749227786501"/>
  </r>
  <r>
    <x v="0"/>
    <s v="2025-02-11 23:47:45"/>
    <n v="30"/>
    <x v="4"/>
    <x v="1"/>
    <x v="2"/>
    <n v="61"/>
    <n v="0"/>
    <s v="Unnamed ProjectSystem.NumberOutNumber OutSystem"/>
    <n v="30"/>
    <n v="53.7"/>
    <n v="8.0221675633081357"/>
    <n v="0.95"/>
    <n v="2.9955265982410313"/>
    <n v="37"/>
    <n v="6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7:45"/>
    <n v="1"/>
    <x v="0"/>
    <x v="0"/>
    <x v="0"/>
    <n v="45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"/>
    <x v="0"/>
    <x v="0"/>
    <x v="0"/>
    <n v="61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3"/>
    <x v="0"/>
    <x v="0"/>
    <x v="0"/>
    <n v="65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3"/>
    <x v="1"/>
    <x v="0"/>
    <x v="0"/>
    <n v="4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4"/>
    <x v="0"/>
    <x v="0"/>
    <x v="0"/>
    <n v="59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4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5"/>
    <x v="0"/>
    <x v="0"/>
    <x v="0"/>
    <n v="57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5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6"/>
    <x v="0"/>
    <x v="0"/>
    <x v="0"/>
    <n v="52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6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7"/>
    <x v="0"/>
    <x v="0"/>
    <x v="0"/>
    <n v="44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7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8"/>
    <x v="0"/>
    <x v="0"/>
    <x v="0"/>
    <n v="41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8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9"/>
    <x v="0"/>
    <x v="0"/>
    <x v="0"/>
    <n v="62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9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0"/>
    <x v="0"/>
    <x v="0"/>
    <x v="0"/>
    <n v="50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0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1"/>
    <x v="0"/>
    <x v="0"/>
    <x v="0"/>
    <n v="62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1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2"/>
    <x v="0"/>
    <x v="0"/>
    <x v="0"/>
    <n v="43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2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3"/>
    <x v="0"/>
    <x v="0"/>
    <x v="0"/>
    <n v="48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3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4"/>
    <x v="0"/>
    <x v="0"/>
    <x v="0"/>
    <n v="61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4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5"/>
    <x v="0"/>
    <x v="0"/>
    <x v="0"/>
    <n v="53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5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6"/>
    <x v="0"/>
    <x v="0"/>
    <x v="0"/>
    <n v="60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6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7"/>
    <x v="0"/>
    <x v="0"/>
    <x v="0"/>
    <n v="37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7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8"/>
    <x v="0"/>
    <x v="0"/>
    <x v="0"/>
    <n v="62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8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19"/>
    <x v="0"/>
    <x v="0"/>
    <x v="0"/>
    <n v="50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19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0"/>
    <x v="0"/>
    <x v="0"/>
    <x v="0"/>
    <n v="55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0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1"/>
    <x v="0"/>
    <x v="0"/>
    <x v="0"/>
    <n v="64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1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2"/>
    <x v="0"/>
    <x v="0"/>
    <x v="0"/>
    <n v="52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2"/>
    <x v="1"/>
    <x v="0"/>
    <x v="0"/>
    <n v="2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3"/>
    <x v="0"/>
    <x v="0"/>
    <x v="0"/>
    <n v="61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3"/>
    <x v="1"/>
    <x v="0"/>
    <x v="0"/>
    <n v="2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4"/>
    <x v="0"/>
    <x v="0"/>
    <x v="0"/>
    <n v="40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4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5"/>
    <x v="0"/>
    <x v="0"/>
    <x v="0"/>
    <n v="57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5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6"/>
    <x v="0"/>
    <x v="0"/>
    <x v="0"/>
    <n v="47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6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7"/>
    <x v="0"/>
    <x v="0"/>
    <x v="0"/>
    <n v="46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7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8"/>
    <x v="0"/>
    <x v="0"/>
    <x v="0"/>
    <n v="59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8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29"/>
    <x v="0"/>
    <x v="0"/>
    <x v="0"/>
    <n v="57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29"/>
    <x v="1"/>
    <x v="0"/>
    <x v="0"/>
    <n v="1"/>
    <s v="Unnamed Projectwaiting time over 6minsCountUser Specified"/>
    <n v="30"/>
    <n v="0.46666666666666667"/>
    <n v="0.89955289021760731"/>
    <n v="0.95"/>
    <n v="0.33589856954573999"/>
    <n v="0"/>
    <n v="4"/>
  </r>
  <r>
    <x v="0"/>
    <s v="2025-02-11 23:47:45"/>
    <n v="30"/>
    <x v="0"/>
    <x v="0"/>
    <x v="0"/>
    <n v="61"/>
    <s v="Unnamed Projectcustomer servedCountUser Specified"/>
    <n v="30"/>
    <n v="53.7"/>
    <n v="8.0221675633081357"/>
    <n v="0.95"/>
    <n v="2.9955265982410313"/>
    <n v="37"/>
    <n v="65"/>
  </r>
  <r>
    <x v="0"/>
    <s v="2025-02-11 23:47:45"/>
    <n v="30"/>
    <x v="1"/>
    <x v="0"/>
    <x v="0"/>
    <n v="0"/>
    <s v="Unnamed Projectwaiting time over 6minsCountUser Specified"/>
    <n v="30"/>
    <n v="0.46666666666666667"/>
    <n v="0.89955289021760731"/>
    <n v="0.95"/>
    <n v="0.33589856954573999"/>
    <n v="0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X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53.7</v>
      </c>
      <c r="O3" t="s">
        <v>66</v>
      </c>
      <c r="P3" t="s">
        <v>69</v>
      </c>
      <c r="Q3" t="s">
        <v>80</v>
      </c>
      <c r="R3" t="s">
        <v>71</v>
      </c>
      <c r="S3" s="5">
        <v>0.83899458598477128</v>
      </c>
      <c r="T3" s="5">
        <v>6.6579532716361495E-2</v>
      </c>
      <c r="U3" s="5">
        <v>0.1783032632896793</v>
      </c>
      <c r="V3" s="5">
        <v>0.52746518751150395</v>
      </c>
      <c r="W3" s="5">
        <v>1.2354140404927401</v>
      </c>
      <c r="X3" s="5">
        <v>0</v>
      </c>
      <c r="Y3" s="5">
        <v>6</v>
      </c>
      <c r="AA3" t="s">
        <v>66</v>
      </c>
      <c r="AB3" t="s">
        <v>87</v>
      </c>
      <c r="AC3" t="s">
        <v>88</v>
      </c>
      <c r="AD3" t="s">
        <v>89</v>
      </c>
      <c r="AE3" s="5">
        <v>53.7</v>
      </c>
      <c r="AF3" s="5">
        <v>2.9955265982410313</v>
      </c>
      <c r="AG3" s="5">
        <v>8.0221675633081357</v>
      </c>
      <c r="AH3" s="5">
        <v>37</v>
      </c>
      <c r="AI3" s="5">
        <v>65</v>
      </c>
      <c r="AK3" t="s">
        <v>66</v>
      </c>
      <c r="AL3" t="s">
        <v>99</v>
      </c>
      <c r="AM3" t="s">
        <v>94</v>
      </c>
      <c r="AN3" t="s">
        <v>100</v>
      </c>
      <c r="AO3" s="5">
        <v>53.7</v>
      </c>
      <c r="AP3" s="5">
        <v>2.9955265982410313</v>
      </c>
      <c r="AQ3" s="5">
        <v>8.0221675633081357</v>
      </c>
      <c r="AR3" s="5">
        <v>37</v>
      </c>
      <c r="AS3" s="5">
        <v>65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53.7</v>
      </c>
      <c r="P4" t="s">
        <v>81</v>
      </c>
      <c r="Q4" t="s">
        <v>82</v>
      </c>
      <c r="R4" t="s">
        <v>83</v>
      </c>
      <c r="S4" s="5">
        <v>0.27413207792969679</v>
      </c>
      <c r="T4" s="5">
        <v>2.0934864866366577E-2</v>
      </c>
      <c r="U4" s="5">
        <v>5.6064597781178414E-2</v>
      </c>
      <c r="V4" s="5">
        <v>0.17429991311555901</v>
      </c>
      <c r="W4" s="5">
        <v>0.39832749227786501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0.46666666666666667</v>
      </c>
      <c r="AF4" s="5">
        <v>0.33589856954573999</v>
      </c>
      <c r="AG4" s="5">
        <v>0.89955289021760731</v>
      </c>
      <c r="AH4" s="5">
        <v>0</v>
      </c>
      <c r="AI4" s="5">
        <v>4</v>
      </c>
      <c r="AL4" t="s">
        <v>91</v>
      </c>
      <c r="AM4" t="s">
        <v>92</v>
      </c>
      <c r="AN4" t="s">
        <v>71</v>
      </c>
      <c r="AO4" s="5">
        <v>54.43333333333333</v>
      </c>
      <c r="AP4" s="5">
        <v>3.009191954369256</v>
      </c>
      <c r="AQ4" s="5">
        <v>8.0587640591420477</v>
      </c>
      <c r="AR4" s="5">
        <v>37</v>
      </c>
      <c r="AS4" s="5">
        <v>67</v>
      </c>
    </row>
    <row r="5" spans="1:52" x14ac:dyDescent="0.3">
      <c r="C5" t="s">
        <v>73</v>
      </c>
      <c r="D5" t="s">
        <v>71</v>
      </c>
      <c r="E5" s="5">
        <v>8.3464255853487579</v>
      </c>
      <c r="F5" s="5">
        <v>1</v>
      </c>
      <c r="G5" s="5">
        <v>0.45751460791913051</v>
      </c>
      <c r="H5" s="5">
        <v>1.2252466225950585</v>
      </c>
      <c r="I5" s="5">
        <v>6.3293706197753199</v>
      </c>
      <c r="J5" s="5">
        <v>10.8848073584589</v>
      </c>
      <c r="K5" s="5">
        <v>6.4063890553143201E-3</v>
      </c>
      <c r="L5" s="5">
        <v>66.702859103432402</v>
      </c>
      <c r="M5" s="5">
        <v>53.7</v>
      </c>
      <c r="Q5" t="s">
        <v>84</v>
      </c>
      <c r="R5" t="s">
        <v>83</v>
      </c>
      <c r="S5" s="5">
        <v>0.82239623378908988</v>
      </c>
      <c r="T5" s="5">
        <v>6.2804594599099622E-2</v>
      </c>
      <c r="U5" s="5">
        <v>0.16819379334353499</v>
      </c>
      <c r="V5" s="5">
        <v>0.52289973934667799</v>
      </c>
      <c r="W5" s="5">
        <v>1.1949824768335899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53.7</v>
      </c>
      <c r="AP5" s="5">
        <v>2.9955265982410313</v>
      </c>
      <c r="AQ5" s="5">
        <v>8.0221675633081357</v>
      </c>
      <c r="AR5" s="5">
        <v>37</v>
      </c>
      <c r="AS5" s="5">
        <v>65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53.7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54.43333333333333</v>
      </c>
      <c r="AP6" s="5">
        <v>3.009191954369256</v>
      </c>
      <c r="AQ6" s="5">
        <v>8.0587640591420477</v>
      </c>
      <c r="AR6" s="5">
        <v>37</v>
      </c>
      <c r="AS6" s="5">
        <v>67</v>
      </c>
    </row>
    <row r="7" spans="1:52" x14ac:dyDescent="0.3">
      <c r="C7" t="s">
        <v>75</v>
      </c>
      <c r="D7" t="s">
        <v>71</v>
      </c>
      <c r="E7" s="5">
        <v>8.18939213207317</v>
      </c>
      <c r="F7" s="5">
        <v>1</v>
      </c>
      <c r="G7" s="5">
        <v>0.44189061003151081</v>
      </c>
      <c r="H7" s="5">
        <v>1.1834047877948413</v>
      </c>
      <c r="I7" s="5">
        <v>6.1454651254317803</v>
      </c>
      <c r="J7" s="5">
        <v>10.520923285526599</v>
      </c>
      <c r="K7" s="5">
        <v>6.4063890553143201E-3</v>
      </c>
      <c r="L7" s="5">
        <v>66.702859103432402</v>
      </c>
      <c r="M7" s="5">
        <v>53.7</v>
      </c>
      <c r="P7" t="s">
        <v>77</v>
      </c>
      <c r="Q7" t="s">
        <v>86</v>
      </c>
      <c r="R7" t="s">
        <v>79</v>
      </c>
      <c r="S7" s="5">
        <v>1.6598352195681718E-2</v>
      </c>
      <c r="T7" s="5">
        <v>6.4233388118270073E-3</v>
      </c>
      <c r="U7" s="5">
        <v>1.7202017266224459E-2</v>
      </c>
      <c r="V7" s="5">
        <v>0</v>
      </c>
      <c r="W7" s="5">
        <v>6.6344065089941603E-2</v>
      </c>
      <c r="X7" s="5">
        <v>0</v>
      </c>
      <c r="Y7" s="5">
        <v>3</v>
      </c>
      <c r="AL7" t="s">
        <v>97</v>
      </c>
      <c r="AM7" t="s">
        <v>98</v>
      </c>
      <c r="AN7" t="s">
        <v>83</v>
      </c>
      <c r="AO7" s="5">
        <v>0.27413207792969679</v>
      </c>
      <c r="AP7" s="5">
        <v>2.0934864866366681E-2</v>
      </c>
      <c r="AQ7" s="5">
        <v>5.6064597781178692E-2</v>
      </c>
      <c r="AR7" s="5">
        <v>0.17429991311555901</v>
      </c>
      <c r="AS7" s="5">
        <v>0.39832749227786501</v>
      </c>
    </row>
    <row r="8" spans="1:52" x14ac:dyDescent="0.3">
      <c r="C8" t="s">
        <v>76</v>
      </c>
      <c r="D8" t="s">
        <v>71</v>
      </c>
      <c r="E8" s="5">
        <v>0.15703345327559007</v>
      </c>
      <c r="F8" s="5">
        <v>1</v>
      </c>
      <c r="G8" s="5">
        <v>5.6757231423766749E-2</v>
      </c>
      <c r="H8" s="5">
        <v>0.15199865732398293</v>
      </c>
      <c r="I8" s="5">
        <v>0</v>
      </c>
      <c r="J8" s="5">
        <v>0.55116607920874505</v>
      </c>
      <c r="K8" s="5">
        <v>0</v>
      </c>
      <c r="L8" s="5">
        <v>11.7870792168262</v>
      </c>
      <c r="M8" s="5">
        <v>53.7</v>
      </c>
    </row>
    <row r="9" spans="1:52" x14ac:dyDescent="0.3">
      <c r="B9" t="s">
        <v>77</v>
      </c>
      <c r="C9" t="s">
        <v>78</v>
      </c>
      <c r="D9" t="s">
        <v>79</v>
      </c>
      <c r="E9" s="5">
        <v>0.15399436337737821</v>
      </c>
      <c r="F9" s="5">
        <v>1</v>
      </c>
      <c r="G9" s="5">
        <v>5.5132677352592425E-2</v>
      </c>
      <c r="H9" s="5">
        <v>0.14764802161863902</v>
      </c>
      <c r="I9" s="5">
        <v>0</v>
      </c>
      <c r="J9" s="5">
        <v>0.53471336042639495</v>
      </c>
      <c r="K9" s="5">
        <v>0</v>
      </c>
      <c r="L9" s="5">
        <v>11.7870792168262</v>
      </c>
      <c r="M9" s="5">
        <v>54.43333333333333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45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53.7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45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53.7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9.0738649494080494</v>
      </c>
      <c r="H4">
        <v>2E+20</v>
      </c>
      <c r="I4">
        <v>0.48137083002002301</v>
      </c>
      <c r="J4">
        <v>29.223149731623899</v>
      </c>
      <c r="K4">
        <v>45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8.3464255853487579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1.2252466225950585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6.3293706197753199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10.8848073584589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6.4063890553143201E-3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53.7</v>
      </c>
      <c r="W4">
        <f>IF((DiscreteStatsTable[[#This Row],[RepsRequested]]&gt;1),DiscreteStatsTable[[#This Row],[HalfWidth]],DiscreteStatsTable[[#This Row],[BatchMeansHalfWidth]])</f>
        <v>0.45751460791913051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45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53.7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8.9615954287435304</v>
      </c>
      <c r="H6">
        <v>2E+20</v>
      </c>
      <c r="I6">
        <v>0.48137083002002301</v>
      </c>
      <c r="J6">
        <v>29.223149731623899</v>
      </c>
      <c r="K6">
        <v>45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8.18939213207317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1.1834047877948413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6.1454651254317803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10.520923285526599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6.4063890553143201E-3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53.7</v>
      </c>
      <c r="W6">
        <f>IF((DiscreteStatsTable[[#This Row],[RepsRequested]]&gt;1),DiscreteStatsTable[[#This Row],[HalfWidth]],DiscreteStatsTable[[#This Row],[BatchMeansHalfWidth]])</f>
        <v>0.44189061003151081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0.11226952066452001</v>
      </c>
      <c r="H7">
        <v>2E+20</v>
      </c>
      <c r="I7">
        <v>0</v>
      </c>
      <c r="J7">
        <v>5.0521284299034104</v>
      </c>
      <c r="K7">
        <v>45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0.15703345327559007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0.55116607920874505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11.7870792168262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53.7</v>
      </c>
      <c r="W7">
        <f>IF((DiscreteStatsTable[[#This Row],[RepsRequested]]&gt;1),DiscreteStatsTable[[#This Row],[HalfWidth]],DiscreteStatsTable[[#This Row],[BatchMeansHalfWidth]])</f>
        <v>5.6757231423766749E-2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61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53.7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61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53.7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9.2357950588543893</v>
      </c>
      <c r="H10">
        <v>2E+20</v>
      </c>
      <c r="I10">
        <v>0.197049044181313</v>
      </c>
      <c r="J10">
        <v>64.660524567664396</v>
      </c>
      <c r="K10">
        <v>61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8.3464255853487579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1.2252466225950585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6.3293706197753199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10.8848073584589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6.4063890553143201E-3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53.7</v>
      </c>
      <c r="W10">
        <f>IF((DiscreteStatsTable[[#This Row],[RepsRequested]]&gt;1),DiscreteStatsTable[[#This Row],[HalfWidth]],DiscreteStatsTable[[#This Row],[BatchMeansHalfWidth]])</f>
        <v>0.45751460791913051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61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53.7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9.0671811783361598</v>
      </c>
      <c r="H12">
        <v>2E+20</v>
      </c>
      <c r="I12">
        <v>0.14390288034951501</v>
      </c>
      <c r="J12">
        <v>64.660524567664396</v>
      </c>
      <c r="K12">
        <v>61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8.18939213207317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1.1834047877948413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6.1454651254317803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10.520923285526599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6.4063890553143201E-3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53.7</v>
      </c>
      <c r="W12">
        <f>IF((DiscreteStatsTable[[#This Row],[RepsRequested]]&gt;1),DiscreteStatsTable[[#This Row],[HalfWidth]],DiscreteStatsTable[[#This Row],[BatchMeansHalfWidth]])</f>
        <v>0.44189061003151081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0.16861388051822301</v>
      </c>
      <c r="H13">
        <v>2E+20</v>
      </c>
      <c r="I13">
        <v>0</v>
      </c>
      <c r="J13">
        <v>3.5128059657716899</v>
      </c>
      <c r="K13">
        <v>61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0.15703345327559007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0.55116607920874505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11.7870792168262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53.7</v>
      </c>
      <c r="W13">
        <f>IF((DiscreteStatsTable[[#This Row],[RepsRequested]]&gt;1),DiscreteStatsTable[[#This Row],[HalfWidth]],DiscreteStatsTable[[#This Row],[BatchMeansHalfWidth]])</f>
        <v>5.6757231423766749E-2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65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53.7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65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53.7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8.2491249340121104</v>
      </c>
      <c r="H16">
        <v>2E+20</v>
      </c>
      <c r="I16">
        <v>3.2790565955491298E-2</v>
      </c>
      <c r="J16">
        <v>27.1160739945995</v>
      </c>
      <c r="K16">
        <v>65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8.3464255853487579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1.2252466225950585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6.3293706197753199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10.8848073584589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6.4063890553143201E-3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53.7</v>
      </c>
      <c r="W16">
        <f>IF((DiscreteStatsTable[[#This Row],[RepsRequested]]&gt;1),DiscreteStatsTable[[#This Row],[HalfWidth]],DiscreteStatsTable[[#This Row],[BatchMeansHalfWidth]])</f>
        <v>0.45751460791913051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65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53.7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7.6979588548033604</v>
      </c>
      <c r="H18">
        <v>2E+20</v>
      </c>
      <c r="I18">
        <v>3.2790565955491298E-2</v>
      </c>
      <c r="J18">
        <v>27.1160739945995</v>
      </c>
      <c r="K18">
        <v>65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8.18939213207317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1.1834047877948413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6.1454651254317803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10.520923285526599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6.4063890553143201E-3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53.7</v>
      </c>
      <c r="W18">
        <f>IF((DiscreteStatsTable[[#This Row],[RepsRequested]]&gt;1),DiscreteStatsTable[[#This Row],[HalfWidth]],DiscreteStatsTable[[#This Row],[BatchMeansHalfWidth]])</f>
        <v>0.44189061003151081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0.55116607920874505</v>
      </c>
      <c r="H19">
        <v>2E+20</v>
      </c>
      <c r="I19">
        <v>0</v>
      </c>
      <c r="J19">
        <v>9.2504275806881004</v>
      </c>
      <c r="K19">
        <v>65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0.15703345327559007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0.55116607920874505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11.7870792168262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53.7</v>
      </c>
      <c r="W19">
        <f>IF((DiscreteStatsTable[[#This Row],[RepsRequested]]&gt;1),DiscreteStatsTable[[#This Row],[HalfWidth]],DiscreteStatsTable[[#This Row],[BatchMeansHalfWidth]])</f>
        <v>5.6757231423766749E-2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59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53.7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59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53.7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9.8087646358642306</v>
      </c>
      <c r="H22">
        <v>2E+20</v>
      </c>
      <c r="I22">
        <v>0.110021986433765</v>
      </c>
      <c r="J22">
        <v>41.836507549098798</v>
      </c>
      <c r="K22">
        <v>59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8.3464255853487579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1.2252466225950585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6.3293706197753199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10.8848073584589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6.4063890553143201E-3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53.7</v>
      </c>
      <c r="W22">
        <f>IF((DiscreteStatsTable[[#This Row],[RepsRequested]]&gt;1),DiscreteStatsTable[[#This Row],[HalfWidth]],DiscreteStatsTable[[#This Row],[BatchMeansHalfWidth]])</f>
        <v>0.45751460791913051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59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53.7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9.7295029522263299</v>
      </c>
      <c r="H24">
        <v>2E+20</v>
      </c>
      <c r="I24">
        <v>0.110021986433765</v>
      </c>
      <c r="J24">
        <v>41.836507549098798</v>
      </c>
      <c r="K24">
        <v>59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8.18939213207317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1.1834047877948413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6.1454651254317803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10.520923285526599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6.4063890553143201E-3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53.7</v>
      </c>
      <c r="W24">
        <f>IF((DiscreteStatsTable[[#This Row],[RepsRequested]]&gt;1),DiscreteStatsTable[[#This Row],[HalfWidth]],DiscreteStatsTable[[#This Row],[BatchMeansHalfWidth]])</f>
        <v>0.44189061003151081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7.9261683637903604E-2</v>
      </c>
      <c r="H25">
        <v>2E+20</v>
      </c>
      <c r="I25">
        <v>0</v>
      </c>
      <c r="J25">
        <v>3.33080917299164</v>
      </c>
      <c r="K25">
        <v>59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0.15703345327559007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0.55116607920874505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11.7870792168262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53.7</v>
      </c>
      <c r="W25">
        <f>IF((DiscreteStatsTable[[#This Row],[RepsRequested]]&gt;1),DiscreteStatsTable[[#This Row],[HalfWidth]],DiscreteStatsTable[[#This Row],[BatchMeansHalfWidth]])</f>
        <v>5.6757231423766749E-2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57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53.7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57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53.7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6.3293706197753199</v>
      </c>
      <c r="H28">
        <v>2E+20</v>
      </c>
      <c r="I28">
        <v>3.9970883785201701E-2</v>
      </c>
      <c r="J28">
        <v>34.926464913258002</v>
      </c>
      <c r="K28">
        <v>57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8.3464255853487579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1.2252466225950585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6.3293706197753199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10.8848073584589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6.4063890553143201E-3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53.7</v>
      </c>
      <c r="W28">
        <f>IF((DiscreteStatsTable[[#This Row],[RepsRequested]]&gt;1),DiscreteStatsTable[[#This Row],[HalfWidth]],DiscreteStatsTable[[#This Row],[BatchMeansHalfWidth]])</f>
        <v>0.45751460791913051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57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53.7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6.1454651254317803</v>
      </c>
      <c r="H30">
        <v>2E+20</v>
      </c>
      <c r="I30">
        <v>3.9970883785201701E-2</v>
      </c>
      <c r="J30">
        <v>34.926464913258002</v>
      </c>
      <c r="K30">
        <v>57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8.18939213207317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1.1834047877948413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6.1454651254317803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10.520923285526599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6.4063890553143201E-3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53.7</v>
      </c>
      <c r="W30">
        <f>IF((DiscreteStatsTable[[#This Row],[RepsRequested]]&gt;1),DiscreteStatsTable[[#This Row],[HalfWidth]],DiscreteStatsTable[[#This Row],[BatchMeansHalfWidth]])</f>
        <v>0.44189061003151081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0.183905494343542</v>
      </c>
      <c r="H31">
        <v>2E+20</v>
      </c>
      <c r="I31">
        <v>0</v>
      </c>
      <c r="J31">
        <v>7.9967908401371197</v>
      </c>
      <c r="K31">
        <v>57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0.15703345327559007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0.55116607920874505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11.7870792168262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53.7</v>
      </c>
      <c r="W31">
        <f>IF((DiscreteStatsTable[[#This Row],[RepsRequested]]&gt;1),DiscreteStatsTable[[#This Row],[HalfWidth]],DiscreteStatsTable[[#This Row],[BatchMeansHalfWidth]])</f>
        <v>5.6757231423766749E-2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52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53.7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52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53.7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8.7016478531642996</v>
      </c>
      <c r="H34">
        <v>2E+20</v>
      </c>
      <c r="I34">
        <v>0.211751808790893</v>
      </c>
      <c r="J34">
        <v>49.641521092688201</v>
      </c>
      <c r="K34">
        <v>52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8.3464255853487579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1.2252466225950585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6.3293706197753199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10.8848073584589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6.4063890553143201E-3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53.7</v>
      </c>
      <c r="W34">
        <f>IF((DiscreteStatsTable[[#This Row],[RepsRequested]]&gt;1),DiscreteStatsTable[[#This Row],[HalfWidth]],DiscreteStatsTable[[#This Row],[BatchMeansHalfWidth]])</f>
        <v>0.45751460791913051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52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53.7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8.5799149287638894</v>
      </c>
      <c r="H36">
        <v>2E+20</v>
      </c>
      <c r="I36">
        <v>0.16649722516217499</v>
      </c>
      <c r="J36">
        <v>49.641521092688201</v>
      </c>
      <c r="K36">
        <v>52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8.18939213207317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1.1834047877948413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6.1454651254317803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10.520923285526599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6.4063890553143201E-3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53.7</v>
      </c>
      <c r="W36">
        <f>IF((DiscreteStatsTable[[#This Row],[RepsRequested]]&gt;1),DiscreteStatsTable[[#This Row],[HalfWidth]],DiscreteStatsTable[[#This Row],[BatchMeansHalfWidth]])</f>
        <v>0.44189061003151081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0.121732924400411</v>
      </c>
      <c r="H37">
        <v>2E+20</v>
      </c>
      <c r="I37">
        <v>0</v>
      </c>
      <c r="J37">
        <v>3.2088729022820099</v>
      </c>
      <c r="K37">
        <v>52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0.15703345327559007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0.55116607920874505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11.7870792168262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53.7</v>
      </c>
      <c r="W37">
        <f>IF((DiscreteStatsTable[[#This Row],[RepsRequested]]&gt;1),DiscreteStatsTable[[#This Row],[HalfWidth]],DiscreteStatsTable[[#This Row],[BatchMeansHalfWidth]])</f>
        <v>5.6757231423766749E-2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44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53.7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44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53.7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9.8138671968651092</v>
      </c>
      <c r="H40">
        <v>2E+20</v>
      </c>
      <c r="I40">
        <v>0.31543115665590399</v>
      </c>
      <c r="J40">
        <v>36.7587741085093</v>
      </c>
      <c r="K40">
        <v>44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8.3464255853487579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1.2252466225950585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6.3293706197753199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10.8848073584589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6.4063890553143201E-3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53.7</v>
      </c>
      <c r="W40">
        <f>IF((DiscreteStatsTable[[#This Row],[RepsRequested]]&gt;1),DiscreteStatsTable[[#This Row],[HalfWidth]],DiscreteStatsTable[[#This Row],[BatchMeansHalfWidth]])</f>
        <v>0.45751460791913051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44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53.7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9.6846073091454201</v>
      </c>
      <c r="H42">
        <v>2E+20</v>
      </c>
      <c r="I42">
        <v>0.31543115665590399</v>
      </c>
      <c r="J42">
        <v>36.7587741085093</v>
      </c>
      <c r="K42">
        <v>44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8.18939213207317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1.1834047877948413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6.1454651254317803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10.520923285526599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6.4063890553143201E-3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53.7</v>
      </c>
      <c r="W42">
        <f>IF((DiscreteStatsTable[[#This Row],[RepsRequested]]&gt;1),DiscreteStatsTable[[#This Row],[HalfWidth]],DiscreteStatsTable[[#This Row],[BatchMeansHalfWidth]])</f>
        <v>0.44189061003151081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0.12925988771969299</v>
      </c>
      <c r="H43">
        <v>2E+20</v>
      </c>
      <c r="I43">
        <v>0</v>
      </c>
      <c r="J43">
        <v>5.6874350596664804</v>
      </c>
      <c r="K43">
        <v>44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0.15703345327559007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0.55116607920874505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11.7870792168262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53.7</v>
      </c>
      <c r="W43">
        <f>IF((DiscreteStatsTable[[#This Row],[RepsRequested]]&gt;1),DiscreteStatsTable[[#This Row],[HalfWidth]],DiscreteStatsTable[[#This Row],[BatchMeansHalfWidth]])</f>
        <v>5.6757231423766749E-2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41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53.7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41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53.7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9.3966120183804502</v>
      </c>
      <c r="H46">
        <v>2E+20</v>
      </c>
      <c r="I46">
        <v>0.22223261531173899</v>
      </c>
      <c r="J46">
        <v>58.488493769752203</v>
      </c>
      <c r="K46">
        <v>41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8.3464255853487579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1.2252466225950585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6.3293706197753199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10.8848073584589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6.4063890553143201E-3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53.7</v>
      </c>
      <c r="W46">
        <f>IF((DiscreteStatsTable[[#This Row],[RepsRequested]]&gt;1),DiscreteStatsTable[[#This Row],[HalfWidth]],DiscreteStatsTable[[#This Row],[BatchMeansHalfWidth]])</f>
        <v>0.45751460791913051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41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53.7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9.3966120183804502</v>
      </c>
      <c r="H48">
        <v>2E+20</v>
      </c>
      <c r="I48">
        <v>0.22223261531173899</v>
      </c>
      <c r="J48">
        <v>58.488493769752203</v>
      </c>
      <c r="K48">
        <v>41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8.18939213207317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1.1834047877948413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6.1454651254317803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10.520923285526599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6.4063890553143201E-3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53.7</v>
      </c>
      <c r="W48">
        <f>IF((DiscreteStatsTable[[#This Row],[RepsRequested]]&gt;1),DiscreteStatsTable[[#This Row],[HalfWidth]],DiscreteStatsTable[[#This Row],[BatchMeansHalfWidth]])</f>
        <v>0.44189061003151081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41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0.15703345327559007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0.55116607920874505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11.7870792168262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53.7</v>
      </c>
      <c r="W49">
        <f>IF((DiscreteStatsTable[[#This Row],[RepsRequested]]&gt;1),DiscreteStatsTable[[#This Row],[HalfWidth]],DiscreteStatsTable[[#This Row],[BatchMeansHalfWidth]])</f>
        <v>5.6757231423766749E-2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62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53.7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62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53.7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7.0197483263735396</v>
      </c>
      <c r="H52">
        <v>2E+20</v>
      </c>
      <c r="I52">
        <v>7.7823452125869594E-2</v>
      </c>
      <c r="J52">
        <v>35.269038809934699</v>
      </c>
      <c r="K52">
        <v>62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8.3464255853487579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1.2252466225950585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6.3293706197753199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10.8848073584589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6.4063890553143201E-3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53.7</v>
      </c>
      <c r="W52">
        <f>IF((DiscreteStatsTable[[#This Row],[RepsRequested]]&gt;1),DiscreteStatsTable[[#This Row],[HalfWidth]],DiscreteStatsTable[[#This Row],[BatchMeansHalfWidth]])</f>
        <v>0.45751460791913051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62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53.7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7.0037766985956997</v>
      </c>
      <c r="H54">
        <v>2E+20</v>
      </c>
      <c r="I54">
        <v>7.7823452125869594E-2</v>
      </c>
      <c r="J54">
        <v>35.269038809934699</v>
      </c>
      <c r="K54">
        <v>62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8.18939213207317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1.1834047877948413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6.1454651254317803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10.520923285526599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6.4063890553143201E-3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53.7</v>
      </c>
      <c r="W54">
        <f>IF((DiscreteStatsTable[[#This Row],[RepsRequested]]&gt;1),DiscreteStatsTable[[#This Row],[HalfWidth]],DiscreteStatsTable[[#This Row],[BatchMeansHalfWidth]])</f>
        <v>0.44189061003151081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1.59716277778379E-2</v>
      </c>
      <c r="H55">
        <v>2E+20</v>
      </c>
      <c r="I55">
        <v>0</v>
      </c>
      <c r="J55">
        <v>0.99024092222595095</v>
      </c>
      <c r="K55">
        <v>62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0.15703345327559007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0.55116607920874505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11.7870792168262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53.7</v>
      </c>
      <c r="W55">
        <f>IF((DiscreteStatsTable[[#This Row],[RepsRequested]]&gt;1),DiscreteStatsTable[[#This Row],[HalfWidth]],DiscreteStatsTable[[#This Row],[BatchMeansHalfWidth]])</f>
        <v>5.6757231423766749E-2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50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53.7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50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53.7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6.5590547394256902</v>
      </c>
      <c r="H58">
        <v>2E+20</v>
      </c>
      <c r="I58">
        <v>9.76033319009844E-2</v>
      </c>
      <c r="J58">
        <v>32.531605815939102</v>
      </c>
      <c r="K58">
        <v>50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8.3464255853487579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1.2252466225950585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6.3293706197753199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10.8848073584589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6.4063890553143201E-3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53.7</v>
      </c>
      <c r="W58">
        <f>IF((DiscreteStatsTable[[#This Row],[RepsRequested]]&gt;1),DiscreteStatsTable[[#This Row],[HalfWidth]],DiscreteStatsTable[[#This Row],[BatchMeansHalfWidth]])</f>
        <v>0.45751460791913051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50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53.7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6.5049091084222104</v>
      </c>
      <c r="H60">
        <v>2E+20</v>
      </c>
      <c r="I60">
        <v>9.76033319009844E-2</v>
      </c>
      <c r="J60">
        <v>32.531605815939102</v>
      </c>
      <c r="K60">
        <v>50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8.18939213207317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1.1834047877948413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6.1454651254317803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10.520923285526599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6.4063890553143201E-3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53.7</v>
      </c>
      <c r="W60">
        <f>IF((DiscreteStatsTable[[#This Row],[RepsRequested]]&gt;1),DiscreteStatsTable[[#This Row],[HalfWidth]],DiscreteStatsTable[[#This Row],[BatchMeansHalfWidth]])</f>
        <v>0.44189061003151081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5.4145631003483498E-2</v>
      </c>
      <c r="H61">
        <v>2E+20</v>
      </c>
      <c r="I61">
        <v>0</v>
      </c>
      <c r="J61">
        <v>2.6755682904690201</v>
      </c>
      <c r="K61">
        <v>50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0.15703345327559007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0.55116607920874505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11.7870792168262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53.7</v>
      </c>
      <c r="W61">
        <f>IF((DiscreteStatsTable[[#This Row],[RepsRequested]]&gt;1),DiscreteStatsTable[[#This Row],[HalfWidth]],DiscreteStatsTable[[#This Row],[BatchMeansHalfWidth]])</f>
        <v>5.6757231423766749E-2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62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53.7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62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53.7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7.7110976722713298</v>
      </c>
      <c r="H64">
        <v>2E+20</v>
      </c>
      <c r="I64">
        <v>2.6457518208204099E-2</v>
      </c>
      <c r="J64">
        <v>31.827566203010601</v>
      </c>
      <c r="K64">
        <v>62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8.3464255853487579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1.2252466225950585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6.3293706197753199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10.8848073584589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6.4063890553143201E-3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53.7</v>
      </c>
      <c r="W64">
        <f>IF((DiscreteStatsTable[[#This Row],[RepsRequested]]&gt;1),DiscreteStatsTable[[#This Row],[HalfWidth]],DiscreteStatsTable[[#This Row],[BatchMeansHalfWidth]])</f>
        <v>0.45751460791913051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62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53.7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7.5483026835468001</v>
      </c>
      <c r="H66">
        <v>2E+20</v>
      </c>
      <c r="I66">
        <v>2.6457518208204099E-2</v>
      </c>
      <c r="J66">
        <v>31.827566203010601</v>
      </c>
      <c r="K66">
        <v>62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8.18939213207317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1.1834047877948413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6.1454651254317803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10.520923285526599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6.4063890553143201E-3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53.7</v>
      </c>
      <c r="W66">
        <f>IF((DiscreteStatsTable[[#This Row],[RepsRequested]]&gt;1),DiscreteStatsTable[[#This Row],[HalfWidth]],DiscreteStatsTable[[#This Row],[BatchMeansHalfWidth]])</f>
        <v>0.44189061003151081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0.16279498872452799</v>
      </c>
      <c r="H67">
        <v>2E+20</v>
      </c>
      <c r="I67">
        <v>0</v>
      </c>
      <c r="J67">
        <v>8.6115976669027496</v>
      </c>
      <c r="K67">
        <v>62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0.15703345327559007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0.55116607920874505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11.7870792168262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53.7</v>
      </c>
      <c r="W67">
        <f>IF((DiscreteStatsTable[[#This Row],[RepsRequested]]&gt;1),DiscreteStatsTable[[#This Row],[HalfWidth]],DiscreteStatsTable[[#This Row],[BatchMeansHalfWidth]])</f>
        <v>5.6757231423766749E-2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43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53.7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43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53.7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6.8889625241296901</v>
      </c>
      <c r="H70">
        <v>2E+20</v>
      </c>
      <c r="I70">
        <v>0.104027475047616</v>
      </c>
      <c r="J70">
        <v>30.055336339401599</v>
      </c>
      <c r="K70">
        <v>43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8.3464255853487579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1.2252466225950585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6.3293706197753199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10.8848073584589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6.4063890553143201E-3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53.7</v>
      </c>
      <c r="W70">
        <f>IF((DiscreteStatsTable[[#This Row],[RepsRequested]]&gt;1),DiscreteStatsTable[[#This Row],[HalfWidth]],DiscreteStatsTable[[#This Row],[BatchMeansHalfWidth]])</f>
        <v>0.45751460791913051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43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53.7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6.8646376560455797</v>
      </c>
      <c r="H72">
        <v>2E+20</v>
      </c>
      <c r="I72">
        <v>0.104027475047616</v>
      </c>
      <c r="J72">
        <v>30.055336339401599</v>
      </c>
      <c r="K72">
        <v>43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8.18939213207317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1.1834047877948413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6.1454651254317803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10.520923285526599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6.4063890553143201E-3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53.7</v>
      </c>
      <c r="W72">
        <f>IF((DiscreteStatsTable[[#This Row],[RepsRequested]]&gt;1),DiscreteStatsTable[[#This Row],[HalfWidth]],DiscreteStatsTable[[#This Row],[BatchMeansHalfWidth]])</f>
        <v>0.44189061003151081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2.4324868084115499E-2</v>
      </c>
      <c r="H73">
        <v>2E+20</v>
      </c>
      <c r="I73">
        <v>0</v>
      </c>
      <c r="J73">
        <v>0.66195961456931895</v>
      </c>
      <c r="K73">
        <v>43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0.15703345327559007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0.55116607920874505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11.7870792168262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53.7</v>
      </c>
      <c r="W73">
        <f>IF((DiscreteStatsTable[[#This Row],[RepsRequested]]&gt;1),DiscreteStatsTable[[#This Row],[HalfWidth]],DiscreteStatsTable[[#This Row],[BatchMeansHalfWidth]])</f>
        <v>5.6757231423766749E-2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48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53.7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48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53.7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7.5435200731312397</v>
      </c>
      <c r="H76">
        <v>2E+20</v>
      </c>
      <c r="I76">
        <v>6.9634087496297098E-2</v>
      </c>
      <c r="J76">
        <v>42.113635255078798</v>
      </c>
      <c r="K76">
        <v>48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8.3464255853487579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1.2252466225950585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6.3293706197753199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10.8848073584589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6.4063890553143201E-3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53.7</v>
      </c>
      <c r="W76">
        <f>IF((DiscreteStatsTable[[#This Row],[RepsRequested]]&gt;1),DiscreteStatsTable[[#This Row],[HalfWidth]],DiscreteStatsTable[[#This Row],[BatchMeansHalfWidth]])</f>
        <v>0.45751460791913051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48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53.7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7.4484667089362198</v>
      </c>
      <c r="H78">
        <v>2E+20</v>
      </c>
      <c r="I78">
        <v>6.9634087496297098E-2</v>
      </c>
      <c r="J78">
        <v>42.113635255078798</v>
      </c>
      <c r="K78">
        <v>48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8.18939213207317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1.1834047877948413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6.1454651254317803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10.520923285526599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6.4063890553143201E-3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53.7</v>
      </c>
      <c r="W78">
        <f>IF((DiscreteStatsTable[[#This Row],[RepsRequested]]&gt;1),DiscreteStatsTable[[#This Row],[HalfWidth]],DiscreteStatsTable[[#This Row],[BatchMeansHalfWidth]])</f>
        <v>0.44189061003151081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9.5053364195022305E-2</v>
      </c>
      <c r="H79">
        <v>2E+20</v>
      </c>
      <c r="I79">
        <v>0</v>
      </c>
      <c r="J79">
        <v>3.6150540219432701</v>
      </c>
      <c r="K79">
        <v>48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0.15703345327559007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0.55116607920874505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11.7870792168262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53.7</v>
      </c>
      <c r="W79">
        <f>IF((DiscreteStatsTable[[#This Row],[RepsRequested]]&gt;1),DiscreteStatsTable[[#This Row],[HalfWidth]],DiscreteStatsTable[[#This Row],[BatchMeansHalfWidth]])</f>
        <v>5.6757231423766749E-2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61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53.7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61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53.7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7.31589601077388</v>
      </c>
      <c r="H82">
        <v>2E+20</v>
      </c>
      <c r="I82">
        <v>0.19314470858736901</v>
      </c>
      <c r="J82">
        <v>33.833082482125697</v>
      </c>
      <c r="K82">
        <v>61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8.3464255853487579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1.2252466225950585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6.3293706197753199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10.8848073584589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6.4063890553143201E-3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53.7</v>
      </c>
      <c r="W82">
        <f>IF((DiscreteStatsTable[[#This Row],[RepsRequested]]&gt;1),DiscreteStatsTable[[#This Row],[HalfWidth]],DiscreteStatsTable[[#This Row],[BatchMeansHalfWidth]])</f>
        <v>0.45751460791913051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61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53.7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7.06309588356799</v>
      </c>
      <c r="H84">
        <v>2E+20</v>
      </c>
      <c r="I84">
        <v>0.15103101719501</v>
      </c>
      <c r="J84">
        <v>33.362713334780402</v>
      </c>
      <c r="K84">
        <v>61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8.18939213207317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1.1834047877948413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6.1454651254317803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10.520923285526599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6.4063890553143201E-3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53.7</v>
      </c>
      <c r="W84">
        <f>IF((DiscreteStatsTable[[#This Row],[RepsRequested]]&gt;1),DiscreteStatsTable[[#This Row],[HalfWidth]],DiscreteStatsTable[[#This Row],[BatchMeansHalfWidth]])</f>
        <v>0.44189061003151081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0.25280012720588402</v>
      </c>
      <c r="H85">
        <v>2E+20</v>
      </c>
      <c r="I85">
        <v>0</v>
      </c>
      <c r="J85">
        <v>6.1720852502292596</v>
      </c>
      <c r="K85">
        <v>61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0.15703345327559007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0.55116607920874505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11.7870792168262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53.7</v>
      </c>
      <c r="W85">
        <f>IF((DiscreteStatsTable[[#This Row],[RepsRequested]]&gt;1),DiscreteStatsTable[[#This Row],[HalfWidth]],DiscreteStatsTable[[#This Row],[BatchMeansHalfWidth]])</f>
        <v>5.6757231423766749E-2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53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53.7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53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53.7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7.2129767645998797</v>
      </c>
      <c r="H88">
        <v>2E+20</v>
      </c>
      <c r="I88">
        <v>0.190139760605746</v>
      </c>
      <c r="J88">
        <v>41.322930546652699</v>
      </c>
      <c r="K88">
        <v>53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8.3464255853487579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1.2252466225950585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6.3293706197753199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10.8848073584589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6.4063890553143201E-3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53.7</v>
      </c>
      <c r="W88">
        <f>IF((DiscreteStatsTable[[#This Row],[RepsRequested]]&gt;1),DiscreteStatsTable[[#This Row],[HalfWidth]],DiscreteStatsTable[[#This Row],[BatchMeansHalfWidth]])</f>
        <v>0.45751460791913051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53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53.7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7.1525085584661099</v>
      </c>
      <c r="H90">
        <v>2E+20</v>
      </c>
      <c r="I90">
        <v>0.190139760605746</v>
      </c>
      <c r="J90">
        <v>41.322930546652699</v>
      </c>
      <c r="K90">
        <v>53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8.18939213207317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1.1834047877948413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6.1454651254317803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10.520923285526599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6.4063890553143201E-3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53.7</v>
      </c>
      <c r="W90">
        <f>IF((DiscreteStatsTable[[#This Row],[RepsRequested]]&gt;1),DiscreteStatsTable[[#This Row],[HalfWidth]],DiscreteStatsTable[[#This Row],[BatchMeansHalfWidth]])</f>
        <v>0.44189061003151081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6.0468206133766703E-2</v>
      </c>
      <c r="H91">
        <v>2E+20</v>
      </c>
      <c r="I91">
        <v>0</v>
      </c>
      <c r="J91">
        <v>2.6351670086038399</v>
      </c>
      <c r="K91">
        <v>53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0.15703345327559007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0.55116607920874505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11.7870792168262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53.7</v>
      </c>
      <c r="W91">
        <f>IF((DiscreteStatsTable[[#This Row],[RepsRequested]]&gt;1),DiscreteStatsTable[[#This Row],[HalfWidth]],DiscreteStatsTable[[#This Row],[BatchMeansHalfWidth]])</f>
        <v>5.6757231423766749E-2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60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53.7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60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53.7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10.8848073584589</v>
      </c>
      <c r="H94">
        <v>2E+20</v>
      </c>
      <c r="I94">
        <v>0.55481228642591396</v>
      </c>
      <c r="J94">
        <v>51.836035250993099</v>
      </c>
      <c r="K94">
        <v>60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8.3464255853487579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1.2252466225950585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6.3293706197753199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10.8848073584589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6.4063890553143201E-3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53.7</v>
      </c>
      <c r="W94">
        <f>IF((DiscreteStatsTable[[#This Row],[RepsRequested]]&gt;1),DiscreteStatsTable[[#This Row],[HalfWidth]],DiscreteStatsTable[[#This Row],[BatchMeansHalfWidth]])</f>
        <v>0.45751460791913051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60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53.7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10.520923285526599</v>
      </c>
      <c r="H96">
        <v>2E+20</v>
      </c>
      <c r="I96">
        <v>0.55481228642591396</v>
      </c>
      <c r="J96">
        <v>51.836035250993099</v>
      </c>
      <c r="K96">
        <v>60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8.18939213207317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1.1834047877948413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6.1454651254317803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10.520923285526599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6.4063890553143201E-3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53.7</v>
      </c>
      <c r="W96">
        <f>IF((DiscreteStatsTable[[#This Row],[RepsRequested]]&gt;1),DiscreteStatsTable[[#This Row],[HalfWidth]],DiscreteStatsTable[[#This Row],[BatchMeansHalfWidth]])</f>
        <v>0.44189061003151081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0.36388407293234998</v>
      </c>
      <c r="H97">
        <v>2E+20</v>
      </c>
      <c r="I97">
        <v>0</v>
      </c>
      <c r="J97">
        <v>5.9738860003768703</v>
      </c>
      <c r="K97">
        <v>60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0.15703345327559007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0.55116607920874505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11.7870792168262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53.7</v>
      </c>
      <c r="W97">
        <f>IF((DiscreteStatsTable[[#This Row],[RepsRequested]]&gt;1),DiscreteStatsTable[[#This Row],[HalfWidth]],DiscreteStatsTable[[#This Row],[BatchMeansHalfWidth]])</f>
        <v>5.6757231423766749E-2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37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53.7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37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53.7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7.6981405744922098</v>
      </c>
      <c r="H100">
        <v>2E+20</v>
      </c>
      <c r="I100">
        <v>0.36785896192196799</v>
      </c>
      <c r="J100">
        <v>30.5640535683014</v>
      </c>
      <c r="K100">
        <v>37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8.3464255853487579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1.2252466225950585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6.3293706197753199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10.8848073584589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6.4063890553143201E-3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53.7</v>
      </c>
      <c r="W100">
        <f>IF((DiscreteStatsTable[[#This Row],[RepsRequested]]&gt;1),DiscreteStatsTable[[#This Row],[HalfWidth]],DiscreteStatsTable[[#This Row],[BatchMeansHalfWidth]])</f>
        <v>0.45751460791913051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37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53.7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7.6315097093839501</v>
      </c>
      <c r="H102">
        <v>2E+20</v>
      </c>
      <c r="I102">
        <v>0.36785896192196799</v>
      </c>
      <c r="J102">
        <v>30.5640535683014</v>
      </c>
      <c r="K102">
        <v>37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8.18939213207317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1.1834047877948413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6.1454651254317803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10.520923285526599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6.4063890553143201E-3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53.7</v>
      </c>
      <c r="W102">
        <f>IF((DiscreteStatsTable[[#This Row],[RepsRequested]]&gt;1),DiscreteStatsTable[[#This Row],[HalfWidth]],DiscreteStatsTable[[#This Row],[BatchMeansHalfWidth]])</f>
        <v>0.44189061003151081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6.6630865108266699E-2</v>
      </c>
      <c r="H103">
        <v>2E+20</v>
      </c>
      <c r="I103">
        <v>0</v>
      </c>
      <c r="J103">
        <v>2.46534200900587</v>
      </c>
      <c r="K103">
        <v>37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0.15703345327559007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0.55116607920874505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11.7870792168262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53.7</v>
      </c>
      <c r="W103">
        <f>IF((DiscreteStatsTable[[#This Row],[RepsRequested]]&gt;1),DiscreteStatsTable[[#This Row],[HalfWidth]],DiscreteStatsTable[[#This Row],[BatchMeansHalfWidth]])</f>
        <v>5.6757231423766749E-2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62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53.7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62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53.7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10.498837587505299</v>
      </c>
      <c r="H106">
        <v>2E+20</v>
      </c>
      <c r="I106">
        <v>0.13528529806103501</v>
      </c>
      <c r="J106">
        <v>42.771089742079702</v>
      </c>
      <c r="K106">
        <v>62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8.3464255853487579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1.2252466225950585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6.3293706197753199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10.8848073584589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6.4063890553143201E-3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53.7</v>
      </c>
      <c r="W106">
        <f>IF((DiscreteStatsTable[[#This Row],[RepsRequested]]&gt;1),DiscreteStatsTable[[#This Row],[HalfWidth]],DiscreteStatsTable[[#This Row],[BatchMeansHalfWidth]])</f>
        <v>0.45751460791913051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62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53.7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10.1087947632724</v>
      </c>
      <c r="H108">
        <v>2E+20</v>
      </c>
      <c r="I108">
        <v>0.13528529806103501</v>
      </c>
      <c r="J108">
        <v>42.771089742079702</v>
      </c>
      <c r="K108">
        <v>62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8.18939213207317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1.1834047877948413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6.1454651254317803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10.520923285526599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6.4063890553143201E-3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53.7</v>
      </c>
      <c r="W108">
        <f>IF((DiscreteStatsTable[[#This Row],[RepsRequested]]&gt;1),DiscreteStatsTable[[#This Row],[HalfWidth]],DiscreteStatsTable[[#This Row],[BatchMeansHalfWidth]])</f>
        <v>0.44189061003151081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0.39004282423299103</v>
      </c>
      <c r="H109">
        <v>2E+20</v>
      </c>
      <c r="I109">
        <v>0</v>
      </c>
      <c r="J109">
        <v>4.6317284810656103</v>
      </c>
      <c r="K109">
        <v>62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0.15703345327559007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0.55116607920874505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11.7870792168262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53.7</v>
      </c>
      <c r="W109">
        <f>IF((DiscreteStatsTable[[#This Row],[RepsRequested]]&gt;1),DiscreteStatsTable[[#This Row],[HalfWidth]],DiscreteStatsTable[[#This Row],[BatchMeansHalfWidth]])</f>
        <v>5.6757231423766749E-2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50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53.7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50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53.7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7.6509649519126102</v>
      </c>
      <c r="H112">
        <v>2E+20</v>
      </c>
      <c r="I112">
        <v>6.4063890553143201E-3</v>
      </c>
      <c r="J112">
        <v>37.714677739965303</v>
      </c>
      <c r="K112">
        <v>50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8.3464255853487579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1.2252466225950585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6.3293706197753199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10.8848073584589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6.4063890553143201E-3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53.7</v>
      </c>
      <c r="W112">
        <f>IF((DiscreteStatsTable[[#This Row],[RepsRequested]]&gt;1),DiscreteStatsTable[[#This Row],[HalfWidth]],DiscreteStatsTable[[#This Row],[BatchMeansHalfWidth]])</f>
        <v>0.45751460791913051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50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53.7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7.5335288773747404</v>
      </c>
      <c r="H114">
        <v>2E+20</v>
      </c>
      <c r="I114">
        <v>6.4063890553143201E-3</v>
      </c>
      <c r="J114">
        <v>37.714677739965303</v>
      </c>
      <c r="K114">
        <v>50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8.18939213207317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1.1834047877948413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6.1454651254317803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10.520923285526599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6.4063890553143201E-3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53.7</v>
      </c>
      <c r="W114">
        <f>IF((DiscreteStatsTable[[#This Row],[RepsRequested]]&gt;1),DiscreteStatsTable[[#This Row],[HalfWidth]],DiscreteStatsTable[[#This Row],[BatchMeansHalfWidth]])</f>
        <v>0.44189061003151081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0.117436074537868</v>
      </c>
      <c r="H115">
        <v>2E+20</v>
      </c>
      <c r="I115">
        <v>0</v>
      </c>
      <c r="J115">
        <v>3.52180235891166</v>
      </c>
      <c r="K115">
        <v>50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0.15703345327559007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0.55116607920874505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11.7870792168262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53.7</v>
      </c>
      <c r="W115">
        <f>IF((DiscreteStatsTable[[#This Row],[RepsRequested]]&gt;1),DiscreteStatsTable[[#This Row],[HalfWidth]],DiscreteStatsTable[[#This Row],[BatchMeansHalfWidth]])</f>
        <v>5.6757231423766749E-2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55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53.7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55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53.7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7.8753108534995997</v>
      </c>
      <c r="H118">
        <v>2E+20</v>
      </c>
      <c r="I118">
        <v>0.20789231717026299</v>
      </c>
      <c r="J118">
        <v>66.702859103432402</v>
      </c>
      <c r="K118">
        <v>55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8.3464255853487579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1.2252466225950585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6.3293706197753199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10.8848073584589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6.4063890553143201E-3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53.7</v>
      </c>
      <c r="W118">
        <f>IF((DiscreteStatsTable[[#This Row],[RepsRequested]]&gt;1),DiscreteStatsTable[[#This Row],[HalfWidth]],DiscreteStatsTable[[#This Row],[BatchMeansHalfWidth]])</f>
        <v>0.45751460791913051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55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53.7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7.8684557738783303</v>
      </c>
      <c r="H120">
        <v>2E+20</v>
      </c>
      <c r="I120">
        <v>0.20789231717026299</v>
      </c>
      <c r="J120">
        <v>66.702859103432402</v>
      </c>
      <c r="K120">
        <v>55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8.18939213207317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1.1834047877948413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6.1454651254317803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10.520923285526599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6.4063890553143201E-3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53.7</v>
      </c>
      <c r="W120">
        <f>IF((DiscreteStatsTable[[#This Row],[RepsRequested]]&gt;1),DiscreteStatsTable[[#This Row],[HalfWidth]],DiscreteStatsTable[[#This Row],[BatchMeansHalfWidth]])</f>
        <v>0.44189061003151081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6.8550796212713799E-3</v>
      </c>
      <c r="H121">
        <v>2E+20</v>
      </c>
      <c r="I121">
        <v>0</v>
      </c>
      <c r="J121">
        <v>0.37702937916992602</v>
      </c>
      <c r="K121">
        <v>55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0.15703345327559007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0.55116607920874505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11.7870792168262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53.7</v>
      </c>
      <c r="W121">
        <f>IF((DiscreteStatsTable[[#This Row],[RepsRequested]]&gt;1),DiscreteStatsTable[[#This Row],[HalfWidth]],DiscreteStatsTable[[#This Row],[BatchMeansHalfWidth]])</f>
        <v>5.6757231423766749E-2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64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53.7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64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53.7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7.2880421933320001</v>
      </c>
      <c r="H124">
        <v>2E+20</v>
      </c>
      <c r="I124">
        <v>6.5702714622375397E-2</v>
      </c>
      <c r="J124">
        <v>33.829346636880601</v>
      </c>
      <c r="K124">
        <v>64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8.3464255853487579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1.2252466225950585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6.3293706197753199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10.8848073584589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6.4063890553143201E-3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53.7</v>
      </c>
      <c r="W124" s="5">
        <f>IF((DiscreteStatsTable[[#This Row],[RepsRequested]]&gt;1),DiscreteStatsTable[[#This Row],[HalfWidth]],DiscreteStatsTable[[#This Row],[BatchMeansHalfWidth]])</f>
        <v>0.45751460791913051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64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53.7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7.2880421933320001</v>
      </c>
      <c r="H126">
        <v>2E+20</v>
      </c>
      <c r="I126">
        <v>6.5702714622375397E-2</v>
      </c>
      <c r="J126">
        <v>33.829346636880601</v>
      </c>
      <c r="K126">
        <v>64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8.18939213207317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1.1834047877948413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6.1454651254317803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10.520923285526599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6.4063890553143201E-3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53.7</v>
      </c>
      <c r="W126" s="5">
        <f>IF((DiscreteStatsTable[[#This Row],[RepsRequested]]&gt;1),DiscreteStatsTable[[#This Row],[HalfWidth]],DiscreteStatsTable[[#This Row],[BatchMeansHalfWidth]])</f>
        <v>0.44189061003151081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64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0.15703345327559007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0.55116607920874505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11.7870792168262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53.7</v>
      </c>
      <c r="W127" s="5">
        <f>IF((DiscreteStatsTable[[#This Row],[RepsRequested]]&gt;1),DiscreteStatsTable[[#This Row],[HalfWidth]],DiscreteStatsTable[[#This Row],[BatchMeansHalfWidth]])</f>
        <v>5.6757231423766749E-2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52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53.7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52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53.7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9.7552036344897495</v>
      </c>
      <c r="H130">
        <v>2E+20</v>
      </c>
      <c r="I130">
        <v>2.5144256069154401E-2</v>
      </c>
      <c r="J130">
        <v>32.238673536365802</v>
      </c>
      <c r="K130">
        <v>52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8.3464255853487579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1.2252466225950585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6.3293706197753199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10.8848073584589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6.4063890553143201E-3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53.7</v>
      </c>
      <c r="W130" s="5">
        <f>IF((DiscreteStatsTable[[#This Row],[RepsRequested]]&gt;1),DiscreteStatsTable[[#This Row],[HalfWidth]],DiscreteStatsTable[[#This Row],[BatchMeansHalfWidth]])</f>
        <v>0.45751460791913051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52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53.7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9.3064878233357895</v>
      </c>
      <c r="H132">
        <v>2E+20</v>
      </c>
      <c r="I132">
        <v>2.5144256069154401E-2</v>
      </c>
      <c r="J132">
        <v>32.238673536365802</v>
      </c>
      <c r="K132">
        <v>52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8.18939213207317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1.1834047877948413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6.1454651254317803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10.520923285526599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6.4063890553143201E-3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53.7</v>
      </c>
      <c r="W132" s="5">
        <f>IF((DiscreteStatsTable[[#This Row],[RepsRequested]]&gt;1),DiscreteStatsTable[[#This Row],[HalfWidth]],DiscreteStatsTable[[#This Row],[BatchMeansHalfWidth]])</f>
        <v>0.44189061003151081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0.44871581115396902</v>
      </c>
      <c r="H133">
        <v>2E+20</v>
      </c>
      <c r="I133">
        <v>0</v>
      </c>
      <c r="J133">
        <v>11.7870792168262</v>
      </c>
      <c r="K133">
        <v>52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0.15703345327559007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0.55116607920874505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11.7870792168262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53.7</v>
      </c>
      <c r="W133" s="5">
        <f>IF((DiscreteStatsTable[[#This Row],[RepsRequested]]&gt;1),DiscreteStatsTable[[#This Row],[HalfWidth]],DiscreteStatsTable[[#This Row],[BatchMeansHalfWidth]])</f>
        <v>5.6757231423766749E-2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61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53.7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61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53.7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7.7891677093732703</v>
      </c>
      <c r="H136">
        <v>2E+20</v>
      </c>
      <c r="I136">
        <v>4.2561577457206602E-2</v>
      </c>
      <c r="J136">
        <v>31.1790466583514</v>
      </c>
      <c r="K136">
        <v>61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8.3464255853487579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1.2252466225950585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6.3293706197753199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10.8848073584589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6.4063890553143201E-3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53.7</v>
      </c>
      <c r="W136" s="5">
        <f>IF((DiscreteStatsTable[[#This Row],[RepsRequested]]&gt;1),DiscreteStatsTable[[#This Row],[HalfWidth]],DiscreteStatsTable[[#This Row],[BatchMeansHalfWidth]])</f>
        <v>0.45751460791913051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61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53.7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7.52543833280206</v>
      </c>
      <c r="H138">
        <v>2E+20</v>
      </c>
      <c r="I138">
        <v>4.2561577457206602E-2</v>
      </c>
      <c r="J138">
        <v>31.1790466583514</v>
      </c>
      <c r="K138">
        <v>61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8.18939213207317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1.1834047877948413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6.1454651254317803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10.520923285526599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6.4063890553143201E-3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53.7</v>
      </c>
      <c r="W138" s="5">
        <f>IF((DiscreteStatsTable[[#This Row],[RepsRequested]]&gt;1),DiscreteStatsTable[[#This Row],[HalfWidth]],DiscreteStatsTable[[#This Row],[BatchMeansHalfWidth]])</f>
        <v>0.44189061003151081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0.26372937657121398</v>
      </c>
      <c r="H139">
        <v>2E+20</v>
      </c>
      <c r="I139">
        <v>0</v>
      </c>
      <c r="J139">
        <v>8.2894737477306499</v>
      </c>
      <c r="K139">
        <v>61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0.15703345327559007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0.55116607920874505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11.7870792168262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53.7</v>
      </c>
      <c r="W139" s="5">
        <f>IF((DiscreteStatsTable[[#This Row],[RepsRequested]]&gt;1),DiscreteStatsTable[[#This Row],[HalfWidth]],DiscreteStatsTable[[#This Row],[BatchMeansHalfWidth]])</f>
        <v>5.6757231423766749E-2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53.7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53.7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7.3612967857165401</v>
      </c>
      <c r="H142">
        <v>2E+20</v>
      </c>
      <c r="I142">
        <v>0.113476061281631</v>
      </c>
      <c r="J142">
        <v>29.830664773086401</v>
      </c>
      <c r="K142">
        <v>40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8.3464255853487579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1.2252466225950585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6.3293706197753199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10.8848073584589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6.4063890553143201E-3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53.7</v>
      </c>
      <c r="W142" s="5">
        <f>IF((DiscreteStatsTable[[#This Row],[RepsRequested]]&gt;1),DiscreteStatsTable[[#This Row],[HalfWidth]],DiscreteStatsTable[[#This Row],[BatchMeansHalfWidth]])</f>
        <v>0.45751460791913051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53.7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7.3550591725240899</v>
      </c>
      <c r="H144">
        <v>2E+20</v>
      </c>
      <c r="I144">
        <v>0.113476061281631</v>
      </c>
      <c r="J144">
        <v>29.830664773086401</v>
      </c>
      <c r="K144">
        <v>40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8.18939213207317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1.1834047877948413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6.1454651254317803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10.520923285526599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6.4063890553143201E-3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53.7</v>
      </c>
      <c r="W144" s="5">
        <f>IF((DiscreteStatsTable[[#This Row],[RepsRequested]]&gt;1),DiscreteStatsTable[[#This Row],[HalfWidth]],DiscreteStatsTable[[#This Row],[BatchMeansHalfWidth]])</f>
        <v>0.44189061003151081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6.2376131924509097E-3</v>
      </c>
      <c r="H145">
        <v>2E+20</v>
      </c>
      <c r="I145">
        <v>0</v>
      </c>
      <c r="J145">
        <v>0.24950452769803599</v>
      </c>
      <c r="K145">
        <v>40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0.15703345327559007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0.55116607920874505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11.7870792168262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53.7</v>
      </c>
      <c r="W145" s="5">
        <f>IF((DiscreteStatsTable[[#This Row],[RepsRequested]]&gt;1),DiscreteStatsTable[[#This Row],[HalfWidth]],DiscreteStatsTable[[#This Row],[BatchMeansHalfWidth]])</f>
        <v>5.6757231423766749E-2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57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53.7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57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53.7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8.4010661099239492</v>
      </c>
      <c r="H148">
        <v>2E+20</v>
      </c>
      <c r="I148">
        <v>9.0271934226109404E-3</v>
      </c>
      <c r="J148">
        <v>36.6592571995469</v>
      </c>
      <c r="K148">
        <v>57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8.3464255853487579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1.2252466225950585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6.3293706197753199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10.8848073584589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6.4063890553143201E-3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53.7</v>
      </c>
      <c r="W148" s="5">
        <f>IF((DiscreteStatsTable[[#This Row],[RepsRequested]]&gt;1),DiscreteStatsTable[[#This Row],[HalfWidth]],DiscreteStatsTable[[#This Row],[BatchMeansHalfWidth]])</f>
        <v>0.45751460791913051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57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53.7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8.2794813702814896</v>
      </c>
      <c r="H150">
        <v>2E+20</v>
      </c>
      <c r="I150">
        <v>9.0271934226109404E-3</v>
      </c>
      <c r="J150">
        <v>36.6592571995469</v>
      </c>
      <c r="K150">
        <v>57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8.18939213207317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1.1834047877948413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6.1454651254317803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10.520923285526599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6.4063890553143201E-3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53.7</v>
      </c>
      <c r="W150" s="5">
        <f>IF((DiscreteStatsTable[[#This Row],[RepsRequested]]&gt;1),DiscreteStatsTable[[#This Row],[HalfWidth]],DiscreteStatsTable[[#This Row],[BatchMeansHalfWidth]])</f>
        <v>0.44189061003151081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0.121584739642459</v>
      </c>
      <c r="H151">
        <v>2E+20</v>
      </c>
      <c r="I151">
        <v>0</v>
      </c>
      <c r="J151">
        <v>6.1124597759242603</v>
      </c>
      <c r="K151">
        <v>57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0.15703345327559007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0.55116607920874505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11.7870792168262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53.7</v>
      </c>
      <c r="W151" s="5">
        <f>IF((DiscreteStatsTable[[#This Row],[RepsRequested]]&gt;1),DiscreteStatsTable[[#This Row],[HalfWidth]],DiscreteStatsTable[[#This Row],[BatchMeansHalfWidth]])</f>
        <v>5.6757231423766749E-2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47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53.7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47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53.7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8.7330309002102897</v>
      </c>
      <c r="H154">
        <v>2E+20</v>
      </c>
      <c r="I154">
        <v>0.144175515342717</v>
      </c>
      <c r="J154">
        <v>38.8938228204712</v>
      </c>
      <c r="K154">
        <v>47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8.3464255853487579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1.2252466225950585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6.3293706197753199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10.8848073584589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6.4063890553143201E-3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53.7</v>
      </c>
      <c r="W154" s="5">
        <f>IF((DiscreteStatsTable[[#This Row],[RepsRequested]]&gt;1),DiscreteStatsTable[[#This Row],[HalfWidth]],DiscreteStatsTable[[#This Row],[BatchMeansHalfWidth]])</f>
        <v>0.45751460791913051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47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53.7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8.7117804981610494</v>
      </c>
      <c r="H156">
        <v>2E+20</v>
      </c>
      <c r="I156">
        <v>0.144175515342717</v>
      </c>
      <c r="J156">
        <v>38.8938228204712</v>
      </c>
      <c r="K156">
        <v>47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8.18939213207317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1.1834047877948413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6.1454651254317803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10.520923285526599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6.4063890553143201E-3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53.7</v>
      </c>
      <c r="W156" s="5">
        <f>IF((DiscreteStatsTable[[#This Row],[RepsRequested]]&gt;1),DiscreteStatsTable[[#This Row],[HalfWidth]],DiscreteStatsTable[[#This Row],[BatchMeansHalfWidth]])</f>
        <v>0.44189061003151081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2.1250402049244398E-2</v>
      </c>
      <c r="H157">
        <v>2E+20</v>
      </c>
      <c r="I157">
        <v>0</v>
      </c>
      <c r="J157">
        <v>0.88509295521092202</v>
      </c>
      <c r="K157">
        <v>47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0.15703345327559007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0.55116607920874505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11.7870792168262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53.7</v>
      </c>
      <c r="W157" s="5">
        <f>IF((DiscreteStatsTable[[#This Row],[RepsRequested]]&gt;1),DiscreteStatsTable[[#This Row],[HalfWidth]],DiscreteStatsTable[[#This Row],[BatchMeansHalfWidth]])</f>
        <v>5.6757231423766749E-2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46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53.7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46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53.7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10.1796667747121</v>
      </c>
      <c r="H160">
        <v>2E+20</v>
      </c>
      <c r="I160">
        <v>0.181986718431006</v>
      </c>
      <c r="J160">
        <v>63.340646498908697</v>
      </c>
      <c r="K160">
        <v>46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8.3464255853487579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1.2252466225950585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6.3293706197753199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10.8848073584589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6.4063890553143201E-3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53.7</v>
      </c>
      <c r="W160" s="5">
        <f>IF((DiscreteStatsTable[[#This Row],[RepsRequested]]&gt;1),DiscreteStatsTable[[#This Row],[HalfWidth]],DiscreteStatsTable[[#This Row],[BatchMeansHalfWidth]])</f>
        <v>0.45751460791913051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46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53.7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10.0493581215106</v>
      </c>
      <c r="H162">
        <v>2E+20</v>
      </c>
      <c r="I162">
        <v>0.181986718431006</v>
      </c>
      <c r="J162">
        <v>60.5378249523392</v>
      </c>
      <c r="K162">
        <v>46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8.18939213207317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1.1834047877948413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6.1454651254317803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10.520923285526599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6.4063890553143201E-3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53.7</v>
      </c>
      <c r="W162" s="5">
        <f>IF((DiscreteStatsTable[[#This Row],[RepsRequested]]&gt;1),DiscreteStatsTable[[#This Row],[HalfWidth]],DiscreteStatsTable[[#This Row],[BatchMeansHalfWidth]])</f>
        <v>0.44189061003151081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0.13030865320146001</v>
      </c>
      <c r="H163">
        <v>2E+20</v>
      </c>
      <c r="I163">
        <v>0</v>
      </c>
      <c r="J163">
        <v>3.19137650069769</v>
      </c>
      <c r="K163">
        <v>46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0.15703345327559007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0.55116607920874505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11.7870792168262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53.7</v>
      </c>
      <c r="W163" s="5">
        <f>IF((DiscreteStatsTable[[#This Row],[RepsRequested]]&gt;1),DiscreteStatsTable[[#This Row],[HalfWidth]],DiscreteStatsTable[[#This Row],[BatchMeansHalfWidth]])</f>
        <v>5.6757231423766749E-2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59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53.7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59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53.7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9.6230142282230897</v>
      </c>
      <c r="H166">
        <v>2E+20</v>
      </c>
      <c r="I166">
        <v>0.197698357215984</v>
      </c>
      <c r="J166">
        <v>63.392444108219102</v>
      </c>
      <c r="K166">
        <v>59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8.3464255853487579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1.2252466225950585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6.3293706197753199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10.8848073584589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6.4063890553143201E-3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53.7</v>
      </c>
      <c r="W166" s="5">
        <f>IF((DiscreteStatsTable[[#This Row],[RepsRequested]]&gt;1),DiscreteStatsTable[[#This Row],[HalfWidth]],DiscreteStatsTable[[#This Row],[BatchMeansHalfWidth]])</f>
        <v>0.45751460791913051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59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53.7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9.4480622019437401</v>
      </c>
      <c r="H168">
        <v>2E+20</v>
      </c>
      <c r="I168">
        <v>0.197698357215984</v>
      </c>
      <c r="J168">
        <v>63.392444108219102</v>
      </c>
      <c r="K168">
        <v>59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8.18939213207317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1.1834047877948413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6.1454651254317803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10.520923285526599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6.4063890553143201E-3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53.7</v>
      </c>
      <c r="W168" s="5">
        <f>IF((DiscreteStatsTable[[#This Row],[RepsRequested]]&gt;1),DiscreteStatsTable[[#This Row],[HalfWidth]],DiscreteStatsTable[[#This Row],[BatchMeansHalfWidth]])</f>
        <v>0.44189061003151081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0.174952026279351</v>
      </c>
      <c r="H169">
        <v>2E+20</v>
      </c>
      <c r="I169">
        <v>0</v>
      </c>
      <c r="J169">
        <v>10.3221695504817</v>
      </c>
      <c r="K169">
        <v>59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0.15703345327559007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0.55116607920874505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11.7870792168262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53.7</v>
      </c>
      <c r="W169" s="5">
        <f>IF((DiscreteStatsTable[[#This Row],[RepsRequested]]&gt;1),DiscreteStatsTable[[#This Row],[HalfWidth]],DiscreteStatsTable[[#This Row],[BatchMeansHalfWidth]])</f>
        <v>5.6757231423766749E-2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57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53.7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57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53.7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7.8347875361341899</v>
      </c>
      <c r="H172">
        <v>2E+20</v>
      </c>
      <c r="I172">
        <v>0.33624025002535501</v>
      </c>
      <c r="J172">
        <v>20.030161537023599</v>
      </c>
      <c r="K172">
        <v>57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8.3464255853487579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1.2252466225950585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6.3293706197753199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10.8848073584589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6.4063890553143201E-3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53.7</v>
      </c>
      <c r="W172" s="5">
        <f>IF((DiscreteStatsTable[[#This Row],[RepsRequested]]&gt;1),DiscreteStatsTable[[#This Row],[HalfWidth]],DiscreteStatsTable[[#This Row],[BatchMeansHalfWidth]])</f>
        <v>0.45751460791913051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57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53.7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7.3444715618502698</v>
      </c>
      <c r="H174">
        <v>2E+20</v>
      </c>
      <c r="I174">
        <v>0.33624025002535501</v>
      </c>
      <c r="J174">
        <v>18.551188112889601</v>
      </c>
      <c r="K174">
        <v>57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8.18939213207317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1.1834047877948413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6.1454651254317803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10.520923285526599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6.4063890553143201E-3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53.7</v>
      </c>
      <c r="W174" s="5">
        <f>IF((DiscreteStatsTable[[#This Row],[RepsRequested]]&gt;1),DiscreteStatsTable[[#This Row],[HalfWidth]],DiscreteStatsTable[[#This Row],[BatchMeansHalfWidth]])</f>
        <v>0.44189061003151081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0.49031597428392099</v>
      </c>
      <c r="H175">
        <v>2E+20</v>
      </c>
      <c r="I175">
        <v>0</v>
      </c>
      <c r="J175">
        <v>7.2506916590024799</v>
      </c>
      <c r="K175">
        <v>57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0.15703345327559007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0.55116607920874505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11.7870792168262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53.7</v>
      </c>
      <c r="W175" s="5">
        <f>IF((DiscreteStatsTable[[#This Row],[RepsRequested]]&gt;1),DiscreteStatsTable[[#This Row],[HalfWidth]],DiscreteStatsTable[[#This Row],[BatchMeansHalfWidth]])</f>
        <v>5.6757231423766749E-2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61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53.7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61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53.7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7.9591269854496396</v>
      </c>
      <c r="H178">
        <v>2E+20</v>
      </c>
      <c r="I178">
        <v>6.4147843096918705E-2</v>
      </c>
      <c r="J178">
        <v>32.655373049519099</v>
      </c>
      <c r="K178">
        <v>61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8.3464255853487579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1.2252466225950585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0.45751460791913051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6.3293706197753199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10.8848073584589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6.4063890553143201E-3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53.7</v>
      </c>
      <c r="W178" s="5">
        <f>IF((DiscreteStatsTable[[#This Row],[RepsRequested]]&gt;1),DiscreteStatsTable[[#This Row],[HalfWidth]],DiscreteStatsTable[[#This Row],[BatchMeansHalfWidth]])</f>
        <v>0.45751460791913051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61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53.7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7.8618351836064297</v>
      </c>
      <c r="H180">
        <v>2E+20</v>
      </c>
      <c r="I180">
        <v>6.4147843096918705E-2</v>
      </c>
      <c r="J180">
        <v>32.357547642411902</v>
      </c>
      <c r="K180">
        <v>61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8.18939213207317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1.1834047877948413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0.44189061003151081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6.1454651254317803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10.520923285526599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6.4063890553143201E-3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53.7</v>
      </c>
      <c r="W180" s="5">
        <f>IF((DiscreteStatsTable[[#This Row],[RepsRequested]]&gt;1),DiscreteStatsTable[[#This Row],[HalfWidth]],DiscreteStatsTable[[#This Row],[BatchMeansHalfWidth]])</f>
        <v>0.44189061003151081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9.7291801843209805E-2</v>
      </c>
      <c r="H181">
        <v>2E+20</v>
      </c>
      <c r="I181">
        <v>0</v>
      </c>
      <c r="J181">
        <v>2.6993390493705198</v>
      </c>
      <c r="K181">
        <v>61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0.15703345327559007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0.15199865732398293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5.6757231423766749E-2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0.55116607920874505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11.7870792168262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53.7</v>
      </c>
      <c r="W181" s="5">
        <f>IF((DiscreteStatsTable[[#This Row],[RepsRequested]]&gt;1),DiscreteStatsTable[[#This Row],[HalfWidth]],DiscreteStatsTable[[#This Row],[BatchMeansHalfWidth]])</f>
        <v>5.6757231423766749E-2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0.10982887891094401</v>
      </c>
      <c r="H182">
        <v>2E+20</v>
      </c>
      <c r="I182">
        <v>0</v>
      </c>
      <c r="J182">
        <v>5.0521284299034104</v>
      </c>
      <c r="K182">
        <v>46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0.15399436337737821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0.53471336042639495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11.7870792168262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2" s="5">
        <f>IF((DiscreteStatsTable[[#This Row],[RepsRequested]]&gt;1),DiscreteStatsTable[[#This Row],[HalfWidth]],DiscreteStatsTable[[#This Row],[BatchMeansHalfWidth]])</f>
        <v>5.5132677352592425E-2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0.16861388051822301</v>
      </c>
      <c r="H183">
        <v>2E+20</v>
      </c>
      <c r="I183">
        <v>0</v>
      </c>
      <c r="J183">
        <v>3.5128059657716899</v>
      </c>
      <c r="K183">
        <v>61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0.15399436337737821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0.53471336042639495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11.7870792168262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3" s="5">
        <f>IF((DiscreteStatsTable[[#This Row],[RepsRequested]]&gt;1),DiscreteStatsTable[[#This Row],[HalfWidth]],DiscreteStatsTable[[#This Row],[BatchMeansHalfWidth]])</f>
        <v>5.5132677352592425E-2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0.53471336042639495</v>
      </c>
      <c r="H184">
        <v>2E+20</v>
      </c>
      <c r="I184">
        <v>0</v>
      </c>
      <c r="J184">
        <v>9.2504275806881004</v>
      </c>
      <c r="K184">
        <v>67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0.15399436337737821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0.53471336042639495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11.7870792168262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4" s="5">
        <f>IF((DiscreteStatsTable[[#This Row],[RepsRequested]]&gt;1),DiscreteStatsTable[[#This Row],[HalfWidth]],DiscreteStatsTable[[#This Row],[BatchMeansHalfWidth]])</f>
        <v>5.5132677352592425E-2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7.9261683637903604E-2</v>
      </c>
      <c r="H185">
        <v>2E+20</v>
      </c>
      <c r="I185">
        <v>0</v>
      </c>
      <c r="J185">
        <v>3.33080917299164</v>
      </c>
      <c r="K185">
        <v>59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0.15399436337737821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0.53471336042639495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11.7870792168262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5" s="5">
        <f>IF((DiscreteStatsTable[[#This Row],[RepsRequested]]&gt;1),DiscreteStatsTable[[#This Row],[HalfWidth]],DiscreteStatsTable[[#This Row],[BatchMeansHalfWidth]])</f>
        <v>5.5132677352592425E-2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0.177671409789523</v>
      </c>
      <c r="H186">
        <v>2E+20</v>
      </c>
      <c r="I186">
        <v>0</v>
      </c>
      <c r="J186">
        <v>7.9967908401371197</v>
      </c>
      <c r="K186">
        <v>59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0.15399436337737821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0.53471336042639495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11.7870792168262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6" s="5">
        <f>IF((DiscreteStatsTable[[#This Row],[RepsRequested]]&gt;1),DiscreteStatsTable[[#This Row],[HalfWidth]],DiscreteStatsTable[[#This Row],[BatchMeansHalfWidth]])</f>
        <v>5.5132677352592425E-2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0.121732924400411</v>
      </c>
      <c r="H187">
        <v>2E+20</v>
      </c>
      <c r="I187">
        <v>0</v>
      </c>
      <c r="J187">
        <v>3.2088729022820099</v>
      </c>
      <c r="K187">
        <v>52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0.15399436337737821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0.53471336042639495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11.7870792168262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7" s="5">
        <f>IF((DiscreteStatsTable[[#This Row],[RepsRequested]]&gt;1),DiscreteStatsTable[[#This Row],[HalfWidth]],DiscreteStatsTable[[#This Row],[BatchMeansHalfWidth]])</f>
        <v>5.5132677352592425E-2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0.12925988771969299</v>
      </c>
      <c r="H188">
        <v>2E+20</v>
      </c>
      <c r="I188">
        <v>0</v>
      </c>
      <c r="J188">
        <v>5.6874350596664804</v>
      </c>
      <c r="K188">
        <v>44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0.15399436337737821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0.53471336042639495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11.7870792168262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8" s="5">
        <f>IF((DiscreteStatsTable[[#This Row],[RepsRequested]]&gt;1),DiscreteStatsTable[[#This Row],[HalfWidth]],DiscreteStatsTable[[#This Row],[BatchMeansHalfWidth]])</f>
        <v>5.5132677352592425E-2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41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0.15399436337737821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0.53471336042639495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11.7870792168262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89" s="5">
        <f>IF((DiscreteStatsTable[[#This Row],[RepsRequested]]&gt;1),DiscreteStatsTable[[#This Row],[HalfWidth]],DiscreteStatsTable[[#This Row],[BatchMeansHalfWidth]])</f>
        <v>5.5132677352592425E-2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1.59716277778379E-2</v>
      </c>
      <c r="H190">
        <v>2E+20</v>
      </c>
      <c r="I190">
        <v>0</v>
      </c>
      <c r="J190">
        <v>0.99024092222595095</v>
      </c>
      <c r="K190">
        <v>62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0.15399436337737821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0.53471336042639495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11.7870792168262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0" s="5">
        <f>IF((DiscreteStatsTable[[#This Row],[RepsRequested]]&gt;1),DiscreteStatsTable[[#This Row],[HalfWidth]],DiscreteStatsTable[[#This Row],[BatchMeansHalfWidth]])</f>
        <v>5.5132677352592425E-2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5.4145631003483498E-2</v>
      </c>
      <c r="H191">
        <v>2E+20</v>
      </c>
      <c r="I191">
        <v>0</v>
      </c>
      <c r="J191">
        <v>2.6755682904690201</v>
      </c>
      <c r="K191">
        <v>50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0.15399436337737821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0.53471336042639495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11.7870792168262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1" s="5">
        <f>IF((DiscreteStatsTable[[#This Row],[RepsRequested]]&gt;1),DiscreteStatsTable[[#This Row],[HalfWidth]],DiscreteStatsTable[[#This Row],[BatchMeansHalfWidth]])</f>
        <v>5.5132677352592425E-2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0.16279498872452799</v>
      </c>
      <c r="H192">
        <v>2E+20</v>
      </c>
      <c r="I192">
        <v>0</v>
      </c>
      <c r="J192">
        <v>8.6115976669027496</v>
      </c>
      <c r="K192">
        <v>62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0.15399436337737821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0.53471336042639495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11.7870792168262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2" s="5">
        <f>IF((DiscreteStatsTable[[#This Row],[RepsRequested]]&gt;1),DiscreteStatsTable[[#This Row],[HalfWidth]],DiscreteStatsTable[[#This Row],[BatchMeansHalfWidth]])</f>
        <v>5.5132677352592425E-2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2.4324868084115499E-2</v>
      </c>
      <c r="H193">
        <v>2E+20</v>
      </c>
      <c r="I193">
        <v>0</v>
      </c>
      <c r="J193">
        <v>0.66195961456931895</v>
      </c>
      <c r="K193">
        <v>43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0.15399436337737821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0.53471336042639495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11.7870792168262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3" s="5">
        <f>IF((DiscreteStatsTable[[#This Row],[RepsRequested]]&gt;1),DiscreteStatsTable[[#This Row],[HalfWidth]],DiscreteStatsTable[[#This Row],[BatchMeansHalfWidth]])</f>
        <v>5.5132677352592425E-2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8.9461989830609198E-2</v>
      </c>
      <c r="H194">
        <v>2E+20</v>
      </c>
      <c r="I194">
        <v>0</v>
      </c>
      <c r="J194">
        <v>3.6150540219432701</v>
      </c>
      <c r="K194">
        <v>51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0.15399436337737821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0.53471336042639495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11.7870792168262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4" s="5">
        <f>IF((DiscreteStatsTable[[#This Row],[RepsRequested]]&gt;1),DiscreteStatsTable[[#This Row],[HalfWidth]],DiscreteStatsTable[[#This Row],[BatchMeansHalfWidth]])</f>
        <v>5.5132677352592425E-2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0.248722705799337</v>
      </c>
      <c r="H195">
        <v>2E+20</v>
      </c>
      <c r="I195">
        <v>0</v>
      </c>
      <c r="J195">
        <v>6.1720852502292596</v>
      </c>
      <c r="K195">
        <v>62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0.15399436337737821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0.53471336042639495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11.7870792168262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5" s="5">
        <f>IF((DiscreteStatsTable[[#This Row],[RepsRequested]]&gt;1),DiscreteStatsTable[[#This Row],[HalfWidth]],DiscreteStatsTable[[#This Row],[BatchMeansHalfWidth]])</f>
        <v>5.5132677352592425E-2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5.9348424538697001E-2</v>
      </c>
      <c r="H196">
        <v>2E+20</v>
      </c>
      <c r="I196">
        <v>0</v>
      </c>
      <c r="J196">
        <v>2.6351670086038399</v>
      </c>
      <c r="K196">
        <v>54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0.15399436337737821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0.53471336042639495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11.7870792168262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6" s="5">
        <f>IF((DiscreteStatsTable[[#This Row],[RepsRequested]]&gt;1),DiscreteStatsTable[[#This Row],[HalfWidth]],DiscreteStatsTable[[#This Row],[BatchMeansHalfWidth]])</f>
        <v>5.5132677352592425E-2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0.35791876026132802</v>
      </c>
      <c r="H197">
        <v>2E+20</v>
      </c>
      <c r="I197">
        <v>0</v>
      </c>
      <c r="J197">
        <v>5.9738860003768703</v>
      </c>
      <c r="K197">
        <v>61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0.15399436337737821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0.53471336042639495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11.7870792168262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7" s="5">
        <f>IF((DiscreteStatsTable[[#This Row],[RepsRequested]]&gt;1),DiscreteStatsTable[[#This Row],[HalfWidth]],DiscreteStatsTable[[#This Row],[BatchMeansHalfWidth]])</f>
        <v>5.5132677352592425E-2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6.6630865108266699E-2</v>
      </c>
      <c r="H198">
        <v>2E+20</v>
      </c>
      <c r="I198">
        <v>0</v>
      </c>
      <c r="J198">
        <v>2.46534200900587</v>
      </c>
      <c r="K198">
        <v>37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0.15399436337737821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0.53471336042639495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11.7870792168262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8" s="5">
        <f>IF((DiscreteStatsTable[[#This Row],[RepsRequested]]&gt;1),DiscreteStatsTable[[#This Row],[HalfWidth]],DiscreteStatsTable[[#This Row],[BatchMeansHalfWidth]])</f>
        <v>5.5132677352592425E-2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0.383851668292785</v>
      </c>
      <c r="H199">
        <v>2E+20</v>
      </c>
      <c r="I199">
        <v>0</v>
      </c>
      <c r="J199">
        <v>4.6317284810656103</v>
      </c>
      <c r="K199">
        <v>63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0.15399436337737821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0.14764802161863902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0.53471336042639495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11.7870792168262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199" s="5">
        <f>IF((DiscreteStatsTable[[#This Row],[RepsRequested]]&gt;1),DiscreteStatsTable[[#This Row],[HalfWidth]],DiscreteStatsTable[[#This Row],[BatchMeansHalfWidth]])</f>
        <v>5.5132677352592425E-2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0.110788749564026</v>
      </c>
      <c r="H200">
        <v>2E+20</v>
      </c>
      <c r="I200">
        <v>0</v>
      </c>
      <c r="J200">
        <v>3.52180235891166</v>
      </c>
      <c r="K200">
        <v>53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0.15399436337737821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0.53471336042639495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11.7870792168262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0" s="5">
        <f>IF((DiscreteStatsTable[[#This Row],[RepsRequested]]&gt;1),DiscreteStatsTable[[#This Row],[HalfWidth]],DiscreteStatsTable[[#This Row],[BatchMeansHalfWidth]])</f>
        <v>5.5132677352592425E-2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6.8550796212713799E-3</v>
      </c>
      <c r="H201">
        <v>2E+20</v>
      </c>
      <c r="I201">
        <v>0</v>
      </c>
      <c r="J201">
        <v>0.37702937916992602</v>
      </c>
      <c r="K201">
        <v>55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0.15399436337737821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0.53471336042639495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11.7870792168262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1" s="5">
        <f>IF((DiscreteStatsTable[[#This Row],[RepsRequested]]&gt;1),DiscreteStatsTable[[#This Row],[HalfWidth]],DiscreteStatsTable[[#This Row],[BatchMeansHalfWidth]])</f>
        <v>5.5132677352592425E-2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</v>
      </c>
      <c r="H202">
        <v>2E+20</v>
      </c>
      <c r="I202">
        <v>0</v>
      </c>
      <c r="J202">
        <v>0</v>
      </c>
      <c r="K202">
        <v>64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0.15399436337737821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0.53471336042639495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11.7870792168262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2" s="5">
        <f>IF((DiscreteStatsTable[[#This Row],[RepsRequested]]&gt;1),DiscreteStatsTable[[#This Row],[HalfWidth]],DiscreteStatsTable[[#This Row],[BatchMeansHalfWidth]])</f>
        <v>5.5132677352592425E-2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0.43209670703715503</v>
      </c>
      <c r="H203">
        <v>2E+20</v>
      </c>
      <c r="I203">
        <v>0</v>
      </c>
      <c r="J203">
        <v>11.7870792168262</v>
      </c>
      <c r="K203">
        <v>54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0.15399436337737821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0.53471336042639495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11.7870792168262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3" s="5">
        <f>IF((DiscreteStatsTable[[#This Row],[RepsRequested]]&gt;1),DiscreteStatsTable[[#This Row],[HalfWidth]],DiscreteStatsTable[[#This Row],[BatchMeansHalfWidth]])</f>
        <v>5.5132677352592425E-2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0.26372937657121398</v>
      </c>
      <c r="H204">
        <v>2E+20</v>
      </c>
      <c r="I204">
        <v>0</v>
      </c>
      <c r="J204">
        <v>8.2894737477306499</v>
      </c>
      <c r="K204">
        <v>61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0.15399436337737821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0.53471336042639495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11.7870792168262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4" s="5">
        <f>IF((DiscreteStatsTable[[#This Row],[RepsRequested]]&gt;1),DiscreteStatsTable[[#This Row],[HalfWidth]],DiscreteStatsTable[[#This Row],[BatchMeansHalfWidth]])</f>
        <v>5.5132677352592425E-2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5.9405839928103896E-3</v>
      </c>
      <c r="H205">
        <v>2E+20</v>
      </c>
      <c r="I205">
        <v>0</v>
      </c>
      <c r="J205">
        <v>0.24950452769803599</v>
      </c>
      <c r="K205">
        <v>42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0.15399436337737821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0.53471336042639495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11.7870792168262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5" s="5">
        <f>IF((DiscreteStatsTable[[#This Row],[RepsRequested]]&gt;1),DiscreteStatsTable[[#This Row],[HalfWidth]],DiscreteStatsTable[[#This Row],[BatchMeansHalfWidth]])</f>
        <v>5.5132677352592425E-2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0.121584739642459</v>
      </c>
      <c r="H206">
        <v>2E+20</v>
      </c>
      <c r="I206">
        <v>0</v>
      </c>
      <c r="J206">
        <v>6.1124597759242603</v>
      </c>
      <c r="K206">
        <v>57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0.15399436337737821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0.53471336042639495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11.7870792168262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6" s="5">
        <f>IF((DiscreteStatsTable[[#This Row],[RepsRequested]]&gt;1),DiscreteStatsTable[[#This Row],[HalfWidth]],DiscreteStatsTable[[#This Row],[BatchMeansHalfWidth]])</f>
        <v>5.5132677352592425E-2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2.1250402049244398E-2</v>
      </c>
      <c r="H207">
        <v>2E+20</v>
      </c>
      <c r="I207">
        <v>0</v>
      </c>
      <c r="J207">
        <v>0.88509295521092202</v>
      </c>
      <c r="K207">
        <v>47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0.15399436337737821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0.53471336042639495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11.7870792168262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7" s="5">
        <f>IF((DiscreteStatsTable[[#This Row],[RepsRequested]]&gt;1),DiscreteStatsTable[[#This Row],[HalfWidth]],DiscreteStatsTable[[#This Row],[BatchMeansHalfWidth]])</f>
        <v>5.5132677352592425E-2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0.13030865320146001</v>
      </c>
      <c r="H208">
        <v>2E+20</v>
      </c>
      <c r="I208">
        <v>0</v>
      </c>
      <c r="J208">
        <v>3.19137650069769</v>
      </c>
      <c r="K208">
        <v>46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0.15399436337737821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0.53471336042639495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11.7870792168262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8" s="5">
        <f>IF((DiscreteStatsTable[[#This Row],[RepsRequested]]&gt;1),DiscreteStatsTable[[#This Row],[HalfWidth]],DiscreteStatsTable[[#This Row],[BatchMeansHalfWidth]])</f>
        <v>5.5132677352592425E-2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0.172036159174695</v>
      </c>
      <c r="H209">
        <v>2E+20</v>
      </c>
      <c r="I209">
        <v>0</v>
      </c>
      <c r="J209">
        <v>10.3221695504817</v>
      </c>
      <c r="K209">
        <v>60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0.15399436337737821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0.53471336042639495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11.7870792168262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09" s="5">
        <f>IF((DiscreteStatsTable[[#This Row],[RepsRequested]]&gt;1),DiscreteStatsTable[[#This Row],[HalfWidth]],DiscreteStatsTable[[#This Row],[BatchMeansHalfWidth]])</f>
        <v>5.5132677352592425E-2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0.47369509379972102</v>
      </c>
      <c r="H210">
        <v>2E+20</v>
      </c>
      <c r="I210">
        <v>0</v>
      </c>
      <c r="J210">
        <v>7.2506916590024799</v>
      </c>
      <c r="K210">
        <v>59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0.15399436337737821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0.53471336042639495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11.7870792168262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10" s="5">
        <f>IF((DiscreteStatsTable[[#This Row],[RepsRequested]]&gt;1),DiscreteStatsTable[[#This Row],[HalfWidth]],DiscreteStatsTable[[#This Row],[BatchMeansHalfWidth]])</f>
        <v>5.5132677352592425E-2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9.7291801843209805E-2</v>
      </c>
      <c r="H211">
        <v>2E+20</v>
      </c>
      <c r="I211">
        <v>0</v>
      </c>
      <c r="J211">
        <v>2.6993390493705198</v>
      </c>
      <c r="K211">
        <v>61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0.15399436337737821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0.14764802161863902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5.5132677352592425E-2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0.53471336042639495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11.7870792168262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54.43333333333333</v>
      </c>
      <c r="W211" s="5">
        <f>IF((DiscreteStatsTable[[#This Row],[RepsRequested]]&gt;1),DiscreteStatsTable[[#This Row],[HalfWidth]],DiscreteStatsTable[[#This Row],[BatchMeansHalfWidth]])</f>
        <v>5.5132677352592425E-2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0.75964372132404401</v>
      </c>
      <c r="H2">
        <v>2E+20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0.52746518751150395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1.2354140404927401</v>
      </c>
      <c r="U2">
        <f>IF((ContinuousStatsTable[[#This Row],[RepsRequested]]&gt;1),ContinuousStatsTable[[#This Row],[HalfWidth]],ContinuousStatsTable[[#This Row],[BatchMeansHalfWidth]])</f>
        <v>6.6579532716361495E-2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0.25009597597844402</v>
      </c>
      <c r="H3">
        <v>2E+20</v>
      </c>
      <c r="I3">
        <v>0</v>
      </c>
      <c r="J3">
        <v>1</v>
      </c>
      <c r="K3">
        <v>0.33333333333333298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0.17429991311555901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0.39832749227786501</v>
      </c>
      <c r="U3">
        <f>IF((ContinuousStatsTable[[#This Row],[RepsRequested]]&gt;1),ContinuousStatsTable[[#This Row],[HalfWidth]],ContinuousStatsTable[[#This Row],[BatchMeansHalfWidth]])</f>
        <v>2.0934864866366577E-2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0.75028792793533405</v>
      </c>
      <c r="H4">
        <v>2E+20</v>
      </c>
      <c r="I4">
        <v>0</v>
      </c>
      <c r="J4">
        <v>3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0.52289973934667799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1.1949824768335899</v>
      </c>
      <c r="U4">
        <f>IF((ContinuousStatsTable[[#This Row],[RepsRequested]]&gt;1),ContinuousStatsTable[[#This Row],[HalfWidth]],ContinuousStatsTable[[#This Row],[BatchMeansHalfWidth]])</f>
        <v>6.2804594599099622E-2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9.3557933887100098E-3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6.6344065089941603E-2</v>
      </c>
      <c r="U6">
        <f>IF((ContinuousStatsTable[[#This Row],[RepsRequested]]&gt;1),ContinuousStatsTable[[#This Row],[HalfWidth]],ContinuousStatsTable[[#This Row],[BatchMeansHalfWidth]])</f>
        <v>6.4233388118270073E-3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1.04330277516688</v>
      </c>
      <c r="H7">
        <v>2E+20</v>
      </c>
      <c r="I7">
        <v>0</v>
      </c>
      <c r="J7">
        <v>4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0.52746518751150395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1.2354140404927401</v>
      </c>
      <c r="U7">
        <f>IF((ContinuousStatsTable[[#This Row],[RepsRequested]]&gt;1),ContinuousStatsTable[[#This Row],[HalfWidth]],ContinuousStatsTable[[#This Row],[BatchMeansHalfWidth]])</f>
        <v>6.6579532716361495E-2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0.34141855054228798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0.17429991311555901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0.39832749227786501</v>
      </c>
      <c r="U8">
        <f>IF((ContinuousStatsTable[[#This Row],[RepsRequested]]&gt;1),ContinuousStatsTable[[#This Row],[HalfWidth]],ContinuousStatsTable[[#This Row],[BatchMeansHalfWidth]])</f>
        <v>2.0934864866366577E-2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1.0242556516268599</v>
      </c>
      <c r="H9">
        <v>2E+20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0.52289973934667799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1.1949824768335899</v>
      </c>
      <c r="U9">
        <f>IF((ContinuousStatsTable[[#This Row],[RepsRequested]]&gt;1),ContinuousStatsTable[[#This Row],[HalfWidth]],ContinuousStatsTable[[#This Row],[BatchMeansHalfWidth]])</f>
        <v>6.2804594599099622E-2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1.9047123540021499E-2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6.6344065089941603E-2</v>
      </c>
      <c r="U11">
        <f>IF((ContinuousStatsTable[[#This Row],[RepsRequested]]&gt;1),ContinuousStatsTable[[#This Row],[HalfWidth]],ContinuousStatsTable[[#This Row],[BatchMeansHalfWidth]])</f>
        <v>6.4233388118270073E-3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1.0117518531415799</v>
      </c>
      <c r="H12">
        <v>2E+20</v>
      </c>
      <c r="I12">
        <v>0</v>
      </c>
      <c r="J12">
        <v>6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0.52746518751150395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1.2354140404927401</v>
      </c>
      <c r="U12">
        <f>IF((ContinuousStatsTable[[#This Row],[RepsRequested]]&gt;1),ContinuousStatsTable[[#This Row],[HalfWidth]],ContinuousStatsTable[[#This Row],[BatchMeansHalfWidth]])</f>
        <v>6.6579532716361495E-2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0.31513592935054802</v>
      </c>
      <c r="H13">
        <v>2E+20</v>
      </c>
      <c r="I13">
        <v>0</v>
      </c>
      <c r="J13">
        <v>1</v>
      </c>
      <c r="K13">
        <v>0.66666666666666696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0.17429991311555901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0.39832749227786501</v>
      </c>
      <c r="U13">
        <f>IF((ContinuousStatsTable[[#This Row],[RepsRequested]]&gt;1),ContinuousStatsTable[[#This Row],[HalfWidth]],ContinuousStatsTable[[#This Row],[BatchMeansHalfWidth]])</f>
        <v>2.0934864866366577E-2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0.94540778805164305</v>
      </c>
      <c r="H14">
        <v>2E+20</v>
      </c>
      <c r="I14">
        <v>0</v>
      </c>
      <c r="J14">
        <v>3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0.52289973934667799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1.1949824768335899</v>
      </c>
      <c r="U14">
        <f>IF((ContinuousStatsTable[[#This Row],[RepsRequested]]&gt;1),ContinuousStatsTable[[#This Row],[HalfWidth]],ContinuousStatsTable[[#This Row],[BatchMeansHalfWidth]])</f>
        <v>6.2804594599099622E-2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6.6344065089941603E-2</v>
      </c>
      <c r="H16">
        <v>2E+20</v>
      </c>
      <c r="I16">
        <v>0</v>
      </c>
      <c r="J16">
        <v>3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6.6344065089941603E-2</v>
      </c>
      <c r="U16">
        <f>IF((ContinuousStatsTable[[#This Row],[RepsRequested]]&gt;1),ContinuousStatsTable[[#This Row],[HalfWidth]],ContinuousStatsTable[[#This Row],[BatchMeansHalfWidth]])</f>
        <v>6.4233388118270073E-3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1.07169835836294</v>
      </c>
      <c r="H17">
        <v>2E+20</v>
      </c>
      <c r="I17">
        <v>0</v>
      </c>
      <c r="J17">
        <v>4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0.52746518751150395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1.2354140404927401</v>
      </c>
      <c r="U17">
        <f>IF((ContinuousStatsTable[[#This Row],[RepsRequested]]&gt;1),ContinuousStatsTable[[#This Row],[HalfWidth]],ContinuousStatsTable[[#This Row],[BatchMeansHalfWidth]])</f>
        <v>6.6579532716361495E-2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0.35434609517367499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0.17429991311555901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0.39832749227786501</v>
      </c>
      <c r="U18">
        <f>IF((ContinuousStatsTable[[#This Row],[RepsRequested]]&gt;1),ContinuousStatsTable[[#This Row],[HalfWidth]],ContinuousStatsTable[[#This Row],[BatchMeansHalfWidth]])</f>
        <v>2.0934864866366577E-2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1.0630382855210201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0.52289973934667799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1.1949824768335899</v>
      </c>
      <c r="U19">
        <f>IF((ContinuousStatsTable[[#This Row],[RepsRequested]]&gt;1),ContinuousStatsTable[[#This Row],[HalfWidth]],ContinuousStatsTable[[#This Row],[BatchMeansHalfWidth]])</f>
        <v>6.2804594599099622E-2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8.6600728419191E-3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6.6344065089941603E-2</v>
      </c>
      <c r="U21">
        <f>IF((ContinuousStatsTable[[#This Row],[RepsRequested]]&gt;1),ContinuousStatsTable[[#This Row],[HalfWidth]],ContinuousStatsTable[[#This Row],[BatchMeansHalfWidth]])</f>
        <v>6.4233388118270073E-3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0.682790880546574</v>
      </c>
      <c r="H22">
        <v>2E+20</v>
      </c>
      <c r="I22">
        <v>0</v>
      </c>
      <c r="J22">
        <v>4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0.52746518751150395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1.2354140404927401</v>
      </c>
      <c r="U22">
        <f>IF((ContinuousStatsTable[[#This Row],[RepsRequested]]&gt;1),ContinuousStatsTable[[#This Row],[HalfWidth]],ContinuousStatsTable[[#This Row],[BatchMeansHalfWidth]])</f>
        <v>6.6579532716361495E-2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0.221126211307141</v>
      </c>
      <c r="H23">
        <v>2E+20</v>
      </c>
      <c r="I23">
        <v>0</v>
      </c>
      <c r="J23">
        <v>1</v>
      </c>
      <c r="K23">
        <v>0.66666666666666696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0.17429991311555901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0.39832749227786501</v>
      </c>
      <c r="U23">
        <f>IF((ContinuousStatsTable[[#This Row],[RepsRequested]]&gt;1),ContinuousStatsTable[[#This Row],[HalfWidth]],ContinuousStatsTable[[#This Row],[BatchMeansHalfWidth]])</f>
        <v>2.0934864866366577E-2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0.66337863392142304</v>
      </c>
      <c r="H24">
        <v>2E+20</v>
      </c>
      <c r="I24">
        <v>0</v>
      </c>
      <c r="J24">
        <v>3</v>
      </c>
      <c r="K24">
        <v>2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0.52289973934667799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1.1949824768335899</v>
      </c>
      <c r="U24">
        <f>IF((ContinuousStatsTable[[#This Row],[RepsRequested]]&gt;1),ContinuousStatsTable[[#This Row],[HalfWidth]],ContinuousStatsTable[[#This Row],[BatchMeansHalfWidth]])</f>
        <v>6.2804594599099622E-2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1.9412246625151602E-2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6.6344065089941603E-2</v>
      </c>
      <c r="U26">
        <f>IF((ContinuousStatsTable[[#This Row],[RepsRequested]]&gt;1),ContinuousStatsTable[[#This Row],[HalfWidth]],ContinuousStatsTable[[#This Row],[BatchMeansHalfWidth]])</f>
        <v>6.4233388118270073E-3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0.83793645993433996</v>
      </c>
      <c r="H27">
        <v>2E+20</v>
      </c>
      <c r="I27">
        <v>0</v>
      </c>
      <c r="J27">
        <v>5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0.52746518751150395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1.2354140404927401</v>
      </c>
      <c r="U27">
        <f>IF((ContinuousStatsTable[[#This Row],[RepsRequested]]&gt;1),ContinuousStatsTable[[#This Row],[HalfWidth]],ContinuousStatsTable[[#This Row],[BatchMeansHalfWidth]])</f>
        <v>6.6579532716361495E-2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0.27540467672575403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0.17429991311555901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0.39832749227786501</v>
      </c>
      <c r="U28">
        <f>IF((ContinuousStatsTable[[#This Row],[RepsRequested]]&gt;1),ContinuousStatsTable[[#This Row],[HalfWidth]],ContinuousStatsTable[[#This Row],[BatchMeansHalfWidth]])</f>
        <v>2.0934864866366577E-2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0.82621403017726402</v>
      </c>
      <c r="H29">
        <v>2E+20</v>
      </c>
      <c r="I29">
        <v>0</v>
      </c>
      <c r="J29">
        <v>3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0.52289973934667799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1.1949824768335899</v>
      </c>
      <c r="U29">
        <f>IF((ContinuousStatsTable[[#This Row],[RepsRequested]]&gt;1),ContinuousStatsTable[[#This Row],[HalfWidth]],ContinuousStatsTable[[#This Row],[BatchMeansHalfWidth]])</f>
        <v>6.2804594599099622E-2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1.1722429757076601E-2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6.6344065089941603E-2</v>
      </c>
      <c r="U31">
        <f>IF((ContinuousStatsTable[[#This Row],[RepsRequested]]&gt;1),ContinuousStatsTable[[#This Row],[HalfWidth]],ContinuousStatsTable[[#This Row],[BatchMeansHalfWidth]])</f>
        <v>6.4233388118270073E-3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0.79964843826308296</v>
      </c>
      <c r="H32">
        <v>2E+20</v>
      </c>
      <c r="I32">
        <v>0</v>
      </c>
      <c r="J32">
        <v>4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0.52746518751150395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1.2354140404927401</v>
      </c>
      <c r="U32">
        <f>IF((ContinuousStatsTable[[#This Row],[RepsRequested]]&gt;1),ContinuousStatsTable[[#This Row],[HalfWidth]],ContinuousStatsTable[[#This Row],[BatchMeansHalfWidth]])</f>
        <v>6.6579532716361495E-2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0.263038717038518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0.17429991311555901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0.39832749227786501</v>
      </c>
      <c r="U33">
        <f>IF((ContinuousStatsTable[[#This Row],[RepsRequested]]&gt;1),ContinuousStatsTable[[#This Row],[HalfWidth]],ContinuousStatsTable[[#This Row],[BatchMeansHalfWidth]])</f>
        <v>2.0934864866366577E-2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0.789116151115553</v>
      </c>
      <c r="H34">
        <v>2E+20</v>
      </c>
      <c r="I34">
        <v>0</v>
      </c>
      <c r="J34">
        <v>3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0.52289973934667799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1.1949824768335899</v>
      </c>
      <c r="U34">
        <f>IF((ContinuousStatsTable[[#This Row],[RepsRequested]]&gt;1),ContinuousStatsTable[[#This Row],[HalfWidth]],ContinuousStatsTable[[#This Row],[BatchMeansHalfWidth]])</f>
        <v>6.2804594599099622E-2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1.05322871475305E-2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6.6344065089941603E-2</v>
      </c>
      <c r="U36">
        <f>IF((ContinuousStatsTable[[#This Row],[RepsRequested]]&gt;1),ContinuousStatsTable[[#This Row],[HalfWidth]],ContinuousStatsTable[[#This Row],[BatchMeansHalfWidth]])</f>
        <v>6.4233388118270073E-3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0.71344646806221901</v>
      </c>
      <c r="H37">
        <v>2E+20</v>
      </c>
      <c r="I37">
        <v>0</v>
      </c>
      <c r="J37">
        <v>3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0.52746518751150395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1.2354140404927401</v>
      </c>
      <c r="U37">
        <f>IF((ContinuousStatsTable[[#This Row],[RepsRequested]]&gt;1),ContinuousStatsTable[[#This Row],[HalfWidth]],ContinuousStatsTable[[#This Row],[BatchMeansHalfWidth]])</f>
        <v>6.6579532716361495E-2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0.23781548935407301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0.17429991311555901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0.39832749227786501</v>
      </c>
      <c r="U38">
        <f>IF((ContinuousStatsTable[[#This Row],[RepsRequested]]&gt;1),ContinuousStatsTable[[#This Row],[HalfWidth]],ContinuousStatsTable[[#This Row],[BatchMeansHalfWidth]])</f>
        <v>2.0934864866366577E-2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0.71344646806221901</v>
      </c>
      <c r="H39">
        <v>2E+20</v>
      </c>
      <c r="I39">
        <v>0</v>
      </c>
      <c r="J39">
        <v>3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0.52289973934667799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1.1949824768335899</v>
      </c>
      <c r="U39">
        <f>IF((ContinuousStatsTable[[#This Row],[RepsRequested]]&gt;1),ContinuousStatsTable[[#This Row],[HalfWidth]],ContinuousStatsTable[[#This Row],[BatchMeansHalfWidth]])</f>
        <v>6.2804594599099622E-2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6.6344065089941603E-2</v>
      </c>
      <c r="U41">
        <f>IF((ContinuousStatsTable[[#This Row],[RepsRequested]]&gt;1),ContinuousStatsTable[[#This Row],[HalfWidth]],ContinuousStatsTable[[#This Row],[BatchMeansHalfWidth]])</f>
        <v>6.4233388118270073E-3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0.80597110413918405</v>
      </c>
      <c r="H42">
        <v>2E+20</v>
      </c>
      <c r="I42">
        <v>0</v>
      </c>
      <c r="J42">
        <v>4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0.52746518751150395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1.2354140404927401</v>
      </c>
      <c r="U42">
        <f>IF((ContinuousStatsTable[[#This Row],[RepsRequested]]&gt;1),ContinuousStatsTable[[#This Row],[HalfWidth]],ContinuousStatsTable[[#This Row],[BatchMeansHalfWidth]])</f>
        <v>6.6579532716361495E-2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0.26804577488452702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0.17429991311555901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0.39832749227786501</v>
      </c>
      <c r="U43">
        <f>IF((ContinuousStatsTable[[#This Row],[RepsRequested]]&gt;1),ContinuousStatsTable[[#This Row],[HalfWidth]],ContinuousStatsTable[[#This Row],[BatchMeansHalfWidth]])</f>
        <v>2.0934864866366577E-2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0.80413732465358101</v>
      </c>
      <c r="H44">
        <v>2E+20</v>
      </c>
      <c r="I44">
        <v>0</v>
      </c>
      <c r="J44">
        <v>3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0.52289973934667799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1.1949824768335899</v>
      </c>
      <c r="U44">
        <f>IF((ContinuousStatsTable[[#This Row],[RepsRequested]]&gt;1),ContinuousStatsTable[[#This Row],[HalfWidth]],ContinuousStatsTable[[#This Row],[BatchMeansHalfWidth]])</f>
        <v>6.2804594599099622E-2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1.8337794856036101E-3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6.6344065089941603E-2</v>
      </c>
      <c r="U46">
        <f>IF((ContinuousStatsTable[[#This Row],[RepsRequested]]&gt;1),ContinuousStatsTable[[#This Row],[HalfWidth]],ContinuousStatsTable[[#This Row],[BatchMeansHalfWidth]])</f>
        <v>6.4233388118270073E-3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0.60731988328015696</v>
      </c>
      <c r="H47">
        <v>2E+20</v>
      </c>
      <c r="I47">
        <v>0</v>
      </c>
      <c r="J47">
        <v>4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0.52746518751150395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1.2354140404927401</v>
      </c>
      <c r="U47">
        <f>IF((ContinuousStatsTable[[#This Row],[RepsRequested]]&gt;1),ContinuousStatsTable[[#This Row],[HalfWidth]],ContinuousStatsTable[[#This Row],[BatchMeansHalfWidth]])</f>
        <v>6.6579532716361495E-2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0.20076879964266101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0.17429991311555901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0.39832749227786501</v>
      </c>
      <c r="U48">
        <f>IF((ContinuousStatsTable[[#This Row],[RepsRequested]]&gt;1),ContinuousStatsTable[[#This Row],[HalfWidth]],ContinuousStatsTable[[#This Row],[BatchMeansHalfWidth]])</f>
        <v>2.0934864866366577E-2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0.60230639892798199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0.52289973934667799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1.1949824768335899</v>
      </c>
      <c r="U49">
        <f>IF((ContinuousStatsTable[[#This Row],[RepsRequested]]&gt;1),ContinuousStatsTable[[#This Row],[HalfWidth]],ContinuousStatsTable[[#This Row],[BatchMeansHalfWidth]])</f>
        <v>6.2804594599099622E-2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5.0134843521743898E-3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6.6344065089941603E-2</v>
      </c>
      <c r="U51">
        <f>IF((ContinuousStatsTable[[#This Row],[RepsRequested]]&gt;1),ContinuousStatsTable[[#This Row],[HalfWidth]],ContinuousStatsTable[[#This Row],[BatchMeansHalfWidth]])</f>
        <v>6.4233388118270073E-3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0.88534825126078198</v>
      </c>
      <c r="H52">
        <v>2E+20</v>
      </c>
      <c r="I52">
        <v>0</v>
      </c>
      <c r="J52">
        <v>4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0.52746518751150395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1.2354140404927401</v>
      </c>
      <c r="U52">
        <f>IF((ContinuousStatsTable[[#This Row],[RepsRequested]]&gt;1),ContinuousStatsTable[[#This Row],[HalfWidth]],ContinuousStatsTable[[#This Row],[BatchMeansHalfWidth]])</f>
        <v>6.6579532716361495E-2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0.28888565825919899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0.17429991311555901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0.39832749227786501</v>
      </c>
      <c r="U53">
        <f>IF((ContinuousStatsTable[[#This Row],[RepsRequested]]&gt;1),ContinuousStatsTable[[#This Row],[HalfWidth]],ContinuousStatsTable[[#This Row],[BatchMeansHalfWidth]])</f>
        <v>2.0934864866366577E-2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0.86665697477759596</v>
      </c>
      <c r="H54">
        <v>2E+20</v>
      </c>
      <c r="I54">
        <v>0</v>
      </c>
      <c r="J54">
        <v>3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0.52289973934667799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1.1949824768335899</v>
      </c>
      <c r="U54">
        <f>IF((ContinuousStatsTable[[#This Row],[RepsRequested]]&gt;1),ContinuousStatsTable[[#This Row],[HalfWidth]],ContinuousStatsTable[[#This Row],[BatchMeansHalfWidth]])</f>
        <v>6.2804594599099622E-2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1.8691276483186602E-2</v>
      </c>
      <c r="H56">
        <v>2E+20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6.6344065089941603E-2</v>
      </c>
      <c r="U56">
        <f>IF((ContinuousStatsTable[[#This Row],[RepsRequested]]&gt;1),ContinuousStatsTable[[#This Row],[HalfWidth]],ContinuousStatsTable[[#This Row],[BatchMeansHalfWidth]])</f>
        <v>6.4233388118270073E-3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0.54856553432884603</v>
      </c>
      <c r="H57">
        <v>2E+20</v>
      </c>
      <c r="I57">
        <v>0</v>
      </c>
      <c r="J57">
        <v>4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0.52746518751150395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1.2354140404927401</v>
      </c>
      <c r="U57">
        <f>IF((ContinuousStatsTable[[#This Row],[RepsRequested]]&gt;1),ContinuousStatsTable[[#This Row],[HalfWidth]],ContinuousStatsTable[[#This Row],[BatchMeansHalfWidth]])</f>
        <v>6.6579532716361495E-2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0.18220951803083901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0.17429991311555901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0.39832749227786501</v>
      </c>
      <c r="U58">
        <f>IF((ContinuousStatsTable[[#This Row],[RepsRequested]]&gt;1),ContinuousStatsTable[[#This Row],[HalfWidth]],ContinuousStatsTable[[#This Row],[BatchMeansHalfWidth]])</f>
        <v>2.0934864866366577E-2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0.54662855409251798</v>
      </c>
      <c r="H59">
        <v>2E+20</v>
      </c>
      <c r="I59">
        <v>0</v>
      </c>
      <c r="J59">
        <v>3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0.52289973934667799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1.1949824768335899</v>
      </c>
      <c r="U59">
        <f>IF((ContinuousStatsTable[[#This Row],[RepsRequested]]&gt;1),ContinuousStatsTable[[#This Row],[HalfWidth]],ContinuousStatsTable[[#This Row],[BatchMeansHalfWidth]])</f>
        <v>6.2804594599099622E-2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1.93698023632772E-3</v>
      </c>
      <c r="H61">
        <v>2E+20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6.6344065089941603E-2</v>
      </c>
      <c r="U61">
        <f>IF((ContinuousStatsTable[[#This Row],[RepsRequested]]&gt;1),ContinuousStatsTable[[#This Row],[HalfWidth]],ContinuousStatsTable[[#This Row],[BatchMeansHalfWidth]])</f>
        <v>6.4233388118270073E-3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0.71379922537066298</v>
      </c>
      <c r="H62">
        <v>2E+20</v>
      </c>
      <c r="I62">
        <v>0</v>
      </c>
      <c r="J62">
        <v>4</v>
      </c>
      <c r="K62">
        <v>3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0.52746518751150395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1.2354140404927401</v>
      </c>
      <c r="U62">
        <f>IF((ContinuousStatsTable[[#This Row],[RepsRequested]]&gt;1),ContinuousStatsTable[[#This Row],[HalfWidth]],ContinuousStatsTable[[#This Row],[BatchMeansHalfWidth]])</f>
        <v>6.6579532716361495E-2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0.235116679147405</v>
      </c>
      <c r="H63">
        <v>2E+20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0.17429991311555901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0.39832749227786501</v>
      </c>
      <c r="U63">
        <f>IF((ContinuousStatsTable[[#This Row],[RepsRequested]]&gt;1),ContinuousStatsTable[[#This Row],[HalfWidth]],ContinuousStatsTable[[#This Row],[BatchMeansHalfWidth]])</f>
        <v>2.0934864866366577E-2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0.70535003744221603</v>
      </c>
      <c r="H64">
        <v>2E+20</v>
      </c>
      <c r="I64">
        <v>0</v>
      </c>
      <c r="J64">
        <v>3</v>
      </c>
      <c r="K64">
        <v>3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0.52289973934667799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1.1949824768335899</v>
      </c>
      <c r="U64">
        <f>IF((ContinuousStatsTable[[#This Row],[RepsRequested]]&gt;1),ContinuousStatsTable[[#This Row],[HalfWidth]],ContinuousStatsTable[[#This Row],[BatchMeansHalfWidth]])</f>
        <v>6.2804594599099622E-2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8.4491879284464295E-3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6.6344065089941603E-2</v>
      </c>
      <c r="U66">
        <f>IF((ContinuousStatsTable[[#This Row],[RepsRequested]]&gt;1),ContinuousStatsTable[[#This Row],[HalfWidth]],ContinuousStatsTable[[#This Row],[BatchMeansHalfWidth]])</f>
        <v>6.4233388118270073E-3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0.82785311476844503</v>
      </c>
      <c r="H67">
        <v>2E+20</v>
      </c>
      <c r="I67">
        <v>0</v>
      </c>
      <c r="J67">
        <v>5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0.52746518751150395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1.2354140404927401</v>
      </c>
      <c r="U67">
        <f>IF((ContinuousStatsTable[[#This Row],[RepsRequested]]&gt;1),ContinuousStatsTable[[#This Row],[HalfWidth]],ContinuousStatsTable[[#This Row],[BatchMeansHalfWidth]])</f>
        <v>6.6579532716361495E-2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0.26643202112061798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0.17429991311555901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0.39832749227786501</v>
      </c>
      <c r="U68">
        <f>IF((ContinuousStatsTable[[#This Row],[RepsRequested]]&gt;1),ContinuousStatsTable[[#This Row],[HalfWidth]],ContinuousStatsTable[[#This Row],[BatchMeansHalfWidth]])</f>
        <v>2.0934864866366577E-2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0.79929606336185399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0.52289973934667799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1.1949824768335899</v>
      </c>
      <c r="U69">
        <f>IF((ContinuousStatsTable[[#This Row],[RepsRequested]]&gt;1),ContinuousStatsTable[[#This Row],[HalfWidth]],ContinuousStatsTable[[#This Row],[BatchMeansHalfWidth]])</f>
        <v>6.2804594599099622E-2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2.8557051406590601E-2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6.6344065089941603E-2</v>
      </c>
      <c r="U71">
        <f>IF((ContinuousStatsTable[[#This Row],[RepsRequested]]&gt;1),ContinuousStatsTable[[#This Row],[HalfWidth]],ContinuousStatsTable[[#This Row],[BatchMeansHalfWidth]])</f>
        <v>6.4233388118270073E-3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0.70993764612086396</v>
      </c>
      <c r="H72">
        <v>2E+20</v>
      </c>
      <c r="I72">
        <v>0</v>
      </c>
      <c r="J72">
        <v>4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0.52746518751150395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1.2354140404927401</v>
      </c>
      <c r="U72">
        <f>IF((ContinuousStatsTable[[#This Row],[RepsRequested]]&gt;1),ContinuousStatsTable[[#This Row],[HalfWidth]],ContinuousStatsTable[[#This Row],[BatchMeansHalfWidth]])</f>
        <v>6.6579532716361495E-2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0.23466760122233199</v>
      </c>
      <c r="H73">
        <v>2E+20</v>
      </c>
      <c r="I73">
        <v>0</v>
      </c>
      <c r="J73">
        <v>1</v>
      </c>
      <c r="K73">
        <v>0.33333333333333298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0.17429991311555901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0.39832749227786501</v>
      </c>
      <c r="U73">
        <f>IF((ContinuousStatsTable[[#This Row],[RepsRequested]]&gt;1),ContinuousStatsTable[[#This Row],[HalfWidth]],ContinuousStatsTable[[#This Row],[BatchMeansHalfWidth]])</f>
        <v>2.0934864866366577E-2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0.70400280366699497</v>
      </c>
      <c r="H74">
        <v>2E+20</v>
      </c>
      <c r="I74">
        <v>0</v>
      </c>
      <c r="J74">
        <v>3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0.52289973934667799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1.1949824768335899</v>
      </c>
      <c r="U74">
        <f>IF((ContinuousStatsTable[[#This Row],[RepsRequested]]&gt;1),ContinuousStatsTable[[#This Row],[HalfWidth]],ContinuousStatsTable[[#This Row],[BatchMeansHalfWidth]])</f>
        <v>6.2804594599099622E-2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5.9348424538696997E-3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6.6344065089941603E-2</v>
      </c>
      <c r="U76">
        <f>IF((ContinuousStatsTable[[#This Row],[RepsRequested]]&gt;1),ContinuousStatsTable[[#This Row],[HalfWidth]],ContinuousStatsTable[[#This Row],[BatchMeansHalfWidth]])</f>
        <v>6.4233388118270073E-3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1.2354140404927401</v>
      </c>
      <c r="H77">
        <v>2E+20</v>
      </c>
      <c r="I77">
        <v>0</v>
      </c>
      <c r="J77">
        <v>5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0.52746518751150395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1.2354140404927401</v>
      </c>
      <c r="U77">
        <f>IF((ContinuousStatsTable[[#This Row],[RepsRequested]]&gt;1),ContinuousStatsTable[[#This Row],[HalfWidth]],ContinuousStatsTable[[#This Row],[BatchMeansHalfWidth]])</f>
        <v>6.6579532716361495E-2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0.39832749227786501</v>
      </c>
      <c r="H78">
        <v>2E+20</v>
      </c>
      <c r="I78">
        <v>0</v>
      </c>
      <c r="J78">
        <v>1</v>
      </c>
      <c r="K78">
        <v>0.33333333333333298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0.17429991311555901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0.39832749227786501</v>
      </c>
      <c r="U78">
        <f>IF((ContinuousStatsTable[[#This Row],[RepsRequested]]&gt;1),ContinuousStatsTable[[#This Row],[HalfWidth]],ContinuousStatsTable[[#This Row],[BatchMeansHalfWidth]])</f>
        <v>2.0934864866366577E-2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1.1949824768335899</v>
      </c>
      <c r="H79">
        <v>2E+20</v>
      </c>
      <c r="I79">
        <v>0</v>
      </c>
      <c r="J79">
        <v>3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0.52289973934667799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1.1949824768335899</v>
      </c>
      <c r="U79">
        <f>IF((ContinuousStatsTable[[#This Row],[RepsRequested]]&gt;1),ContinuousStatsTable[[#This Row],[HalfWidth]],ContinuousStatsTable[[#This Row],[BatchMeansHalfWidth]])</f>
        <v>6.2804594599099622E-2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4.0431563659150002E-2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6.6344065089941603E-2</v>
      </c>
      <c r="U81">
        <f>IF((ContinuousStatsTable[[#This Row],[RepsRequested]]&gt;1),ContinuousStatsTable[[#This Row],[HalfWidth]],ContinuousStatsTable[[#This Row],[BatchMeansHalfWidth]])</f>
        <v>6.4233388118270073E-3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0.52746518751150395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0.52746518751150395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1.2354140404927401</v>
      </c>
      <c r="U82">
        <f>IF((ContinuousStatsTable[[#This Row],[RepsRequested]]&gt;1),ContinuousStatsTable[[#This Row],[HalfWidth]],ContinuousStatsTable[[#This Row],[BatchMeansHalfWidth]])</f>
        <v>6.6579532716361495E-2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0.17429991311555901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0.17429991311555901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0.39832749227786501</v>
      </c>
      <c r="U83">
        <f>IF((ContinuousStatsTable[[#This Row],[RepsRequested]]&gt;1),ContinuousStatsTable[[#This Row],[HalfWidth]],ContinuousStatsTable[[#This Row],[BatchMeansHalfWidth]])</f>
        <v>2.0934864866366577E-2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0.52289973934667799</v>
      </c>
      <c r="H84">
        <v>2E+20</v>
      </c>
      <c r="I84">
        <v>0</v>
      </c>
      <c r="J84">
        <v>3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0.52289973934667799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1.1949824768335899</v>
      </c>
      <c r="U84">
        <f>IF((ContinuousStatsTable[[#This Row],[RepsRequested]]&gt;1),ContinuousStatsTable[[#This Row],[HalfWidth]],ContinuousStatsTable[[#This Row],[BatchMeansHalfWidth]])</f>
        <v>6.2804594599099622E-2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4.5654481648256797E-3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6.6344065089941603E-2</v>
      </c>
      <c r="U86">
        <f>IF((ContinuousStatsTable[[#This Row],[RepsRequested]]&gt;1),ContinuousStatsTable[[#This Row],[HalfWidth]],ContinuousStatsTable[[#This Row],[BatchMeansHalfWidth]])</f>
        <v>6.4233388118270073E-3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1.2339964672146</v>
      </c>
      <c r="H87">
        <v>2E+20</v>
      </c>
      <c r="I87">
        <v>0</v>
      </c>
      <c r="J87">
        <v>5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0.52746518751150395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1.2354140404927401</v>
      </c>
      <c r="U87">
        <f>IF((ContinuousStatsTable[[#This Row],[RepsRequested]]&gt;1),ContinuousStatsTable[[#This Row],[HalfWidth]],ContinuousStatsTable[[#This Row],[BatchMeansHalfWidth]])</f>
        <v>6.6579532716361495E-2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0.39640459086014501</v>
      </c>
      <c r="H88">
        <v>2E+20</v>
      </c>
      <c r="I88">
        <v>0</v>
      </c>
      <c r="J88">
        <v>1</v>
      </c>
      <c r="K88">
        <v>0.33333333333333298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0.17429991311555901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0.39832749227786501</v>
      </c>
      <c r="U88">
        <f>IF((ContinuousStatsTable[[#This Row],[RepsRequested]]&gt;1),ContinuousStatsTable[[#This Row],[HalfWidth]],ContinuousStatsTable[[#This Row],[BatchMeansHalfWidth]])</f>
        <v>2.0934864866366577E-2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1.1892137725804399</v>
      </c>
      <c r="H89">
        <v>2E+20</v>
      </c>
      <c r="I89">
        <v>0</v>
      </c>
      <c r="J89">
        <v>3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0.52289973934667799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1.1949824768335899</v>
      </c>
      <c r="U89">
        <f>IF((ContinuousStatsTable[[#This Row],[RepsRequested]]&gt;1),ContinuousStatsTable[[#This Row],[HalfWidth]],ContinuousStatsTable[[#This Row],[BatchMeansHalfWidth]])</f>
        <v>6.2804594599099622E-2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4.47826946341583E-2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6.6344065089941603E-2</v>
      </c>
      <c r="U91">
        <f>IF((ContinuousStatsTable[[#This Row],[RepsRequested]]&gt;1),ContinuousStatsTable[[#This Row],[HalfWidth]],ContinuousStatsTable[[#This Row],[BatchMeansHalfWidth]])</f>
        <v>6.4233388118270073E-3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0.75536488413388803</v>
      </c>
      <c r="H92">
        <v>2E+20</v>
      </c>
      <c r="I92">
        <v>0</v>
      </c>
      <c r="J92">
        <v>4</v>
      </c>
      <c r="K92">
        <v>3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0.52746518751150395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1.2354140404927401</v>
      </c>
      <c r="U92">
        <f>IF((ContinuousStatsTable[[#This Row],[RepsRequested]]&gt;1),ContinuousStatsTable[[#This Row],[HalfWidth]],ContinuousStatsTable[[#This Row],[BatchMeansHalfWidth]])</f>
        <v>6.6579532716361495E-2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0.24816372450950999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0.17429991311555901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0.39832749227786501</v>
      </c>
      <c r="U93">
        <f>IF((ContinuousStatsTable[[#This Row],[RepsRequested]]&gt;1),ContinuousStatsTable[[#This Row],[HalfWidth]],ContinuousStatsTable[[#This Row],[BatchMeansHalfWidth]])</f>
        <v>2.0934864866366577E-2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0.744491173528529</v>
      </c>
      <c r="H94">
        <v>2E+20</v>
      </c>
      <c r="I94">
        <v>0</v>
      </c>
      <c r="J94">
        <v>3</v>
      </c>
      <c r="K94">
        <v>3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0.52289973934667799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1.1949824768335899</v>
      </c>
      <c r="U94">
        <f>IF((ContinuousStatsTable[[#This Row],[RepsRequested]]&gt;1),ContinuousStatsTable[[#This Row],[HalfWidth]],ContinuousStatsTable[[#This Row],[BatchMeansHalfWidth]])</f>
        <v>6.2804594599099622E-2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1.0873710605358199E-2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6.6344065089941603E-2</v>
      </c>
      <c r="U96">
        <f>IF((ContinuousStatsTable[[#This Row],[RepsRequested]]&gt;1),ContinuousStatsTable[[#This Row],[HalfWidth]],ContinuousStatsTable[[#This Row],[BatchMeansHalfWidth]])</f>
        <v>6.4233388118270073E-3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0.80211499433792299</v>
      </c>
      <c r="H97">
        <v>2E+20</v>
      </c>
      <c r="I97">
        <v>0</v>
      </c>
      <c r="J97">
        <v>4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0.52746518751150395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1.2354140404927401</v>
      </c>
      <c r="U97">
        <f>IF((ContinuousStatsTable[[#This Row],[RepsRequested]]&gt;1),ContinuousStatsTable[[#This Row],[HalfWidth]],ContinuousStatsTable[[#This Row],[BatchMeansHalfWidth]])</f>
        <v>6.6579532716361495E-2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0.267138930594635</v>
      </c>
      <c r="H98">
        <v>2E+20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0.17429991311555901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0.39832749227786501</v>
      </c>
      <c r="U98">
        <f>IF((ContinuousStatsTable[[#This Row],[RepsRequested]]&gt;1),ContinuousStatsTable[[#This Row],[HalfWidth]],ContinuousStatsTable[[#This Row],[BatchMeansHalfWidth]])</f>
        <v>2.0934864866366577E-2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0.80141679178390401</v>
      </c>
      <c r="H99">
        <v>2E+20</v>
      </c>
      <c r="I99">
        <v>0</v>
      </c>
      <c r="J99">
        <v>3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0.52289973934667799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1.1949824768335899</v>
      </c>
      <c r="U99">
        <f>IF((ContinuousStatsTable[[#This Row],[RepsRequested]]&gt;1),ContinuousStatsTable[[#This Row],[HalfWidth]],ContinuousStatsTable[[#This Row],[BatchMeansHalfWidth]])</f>
        <v>6.2804594599099622E-2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6.9820255401838096E-4</v>
      </c>
      <c r="H101">
        <v>2E+20</v>
      </c>
      <c r="I101">
        <v>0</v>
      </c>
      <c r="J101">
        <v>1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6.6344065089941603E-2</v>
      </c>
      <c r="U101">
        <f>IF((ContinuousStatsTable[[#This Row],[RepsRequested]]&gt;1),ContinuousStatsTable[[#This Row],[HalfWidth]],ContinuousStatsTable[[#This Row],[BatchMeansHalfWidth]])</f>
        <v>6.4233388118270073E-3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0.86376796365416297</v>
      </c>
      <c r="H102">
        <v>2E+20</v>
      </c>
      <c r="I102">
        <v>0</v>
      </c>
      <c r="J102">
        <v>3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0.52746518751150395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1.2354140404927401</v>
      </c>
      <c r="U102">
        <f>IF((ContinuousStatsTable[[#This Row],[RepsRequested]]&gt;1),ContinuousStatsTable[[#This Row],[HalfWidth]],ContinuousStatsTable[[#This Row],[BatchMeansHalfWidth]])</f>
        <v>6.6579532716361495E-2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0.28792265455138799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0.17429991311555901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0.39832749227786501</v>
      </c>
      <c r="U103">
        <f>IF((ContinuousStatsTable[[#This Row],[RepsRequested]]&gt;1),ContinuousStatsTable[[#This Row],[HalfWidth]],ContinuousStatsTable[[#This Row],[BatchMeansHalfWidth]])</f>
        <v>2.0934864866366577E-2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0.86376796365416297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0.52289973934667799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1.1949824768335899</v>
      </c>
      <c r="U104">
        <f>IF((ContinuousStatsTable[[#This Row],[RepsRequested]]&gt;1),ContinuousStatsTable[[#This Row],[HalfWidth]],ContinuousStatsTable[[#This Row],[BatchMeansHalfWidth]])</f>
        <v>6.2804594599099622E-2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6.6344065089941603E-2</v>
      </c>
      <c r="U106">
        <f>IF((ContinuousStatsTable[[#This Row],[RepsRequested]]&gt;1),ContinuousStatsTable[[#This Row],[HalfWidth]],ContinuousStatsTable[[#This Row],[BatchMeansHalfWidth]])</f>
        <v>6.4233388118270073E-3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0.94529308308219995</v>
      </c>
      <c r="H107">
        <v>2E+20</v>
      </c>
      <c r="I107">
        <v>0</v>
      </c>
      <c r="J107">
        <v>4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0.52746518751150395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1.2354140404927401</v>
      </c>
      <c r="U107">
        <f>IF((ContinuousStatsTable[[#This Row],[RepsRequested]]&gt;1),ContinuousStatsTable[[#This Row],[HalfWidth]],ContinuousStatsTable[[#This Row],[BatchMeansHalfWidth]])</f>
        <v>6.6579532716361495E-2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0.30069447079282802</v>
      </c>
      <c r="H108">
        <v>2E+20</v>
      </c>
      <c r="I108">
        <v>0</v>
      </c>
      <c r="J108">
        <v>1</v>
      </c>
      <c r="K108">
        <v>0.66666666666666696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0.17429991311555901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0.39832749227786501</v>
      </c>
      <c r="U108">
        <f>IF((ContinuousStatsTable[[#This Row],[RepsRequested]]&gt;1),ContinuousStatsTable[[#This Row],[HalfWidth]],ContinuousStatsTable[[#This Row],[BatchMeansHalfWidth]])</f>
        <v>2.0934864866366577E-2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0.90208341237848499</v>
      </c>
      <c r="H109">
        <v>2E+20</v>
      </c>
      <c r="I109">
        <v>0</v>
      </c>
      <c r="J109">
        <v>3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0.52289973934667799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1.1949824768335899</v>
      </c>
      <c r="U109">
        <f>IF((ContinuousStatsTable[[#This Row],[RepsRequested]]&gt;1),ContinuousStatsTable[[#This Row],[HalfWidth]],ContinuousStatsTable[[#This Row],[BatchMeansHalfWidth]])</f>
        <v>6.2804594599099622E-2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4.3209670703715501E-2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6.6344065089941603E-2</v>
      </c>
      <c r="U111">
        <f>IF((ContinuousStatsTable[[#This Row],[RepsRequested]]&gt;1),ContinuousStatsTable[[#This Row],[HalfWidth]],ContinuousStatsTable[[#This Row],[BatchMeansHalfWidth]])</f>
        <v>6.4233388118270073E-3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0.87988746346624003</v>
      </c>
      <c r="H112">
        <v>2E+20</v>
      </c>
      <c r="I112">
        <v>0</v>
      </c>
      <c r="J112">
        <v>5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0.52746518751150395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1.2354140404927401</v>
      </c>
      <c r="U112">
        <f>IF((ContinuousStatsTable[[#This Row],[RepsRequested]]&gt;1),ContinuousStatsTable[[#This Row],[HalfWidth]],ContinuousStatsTable[[#This Row],[BatchMeansHalfWidth]])</f>
        <v>6.6579532716361495E-2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0.28336527055612698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0.17429991311555901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0.39832749227786501</v>
      </c>
      <c r="U113">
        <f>IF((ContinuousStatsTable[[#This Row],[RepsRequested]]&gt;1),ContinuousStatsTable[[#This Row],[HalfWidth]],ContinuousStatsTable[[#This Row],[BatchMeansHalfWidth]])</f>
        <v>2.0934864866366577E-2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0.850095811668381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0.52289973934667799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1.1949824768335899</v>
      </c>
      <c r="U114">
        <f>IF((ContinuousStatsTable[[#This Row],[RepsRequested]]&gt;1),ContinuousStatsTable[[#This Row],[HalfWidth]],ContinuousStatsTable[[#This Row],[BatchMeansHalfWidth]])</f>
        <v>6.2804594599099622E-2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2.9791651797859298E-2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6.6344065089941603E-2</v>
      </c>
      <c r="U116">
        <f>IF((ContinuousStatsTable[[#This Row],[RepsRequested]]&gt;1),ContinuousStatsTable[[#This Row],[HalfWidth]],ContinuousStatsTable[[#This Row],[BatchMeansHalfWidth]])</f>
        <v>6.4233388118270073E-3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0.55480274929256501</v>
      </c>
      <c r="H117">
        <v>2E+20</v>
      </c>
      <c r="I117">
        <v>0</v>
      </c>
      <c r="J117">
        <v>4</v>
      </c>
      <c r="K117">
        <v>2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0.52746518751150395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1.2354140404927401</v>
      </c>
      <c r="U117">
        <f>IF((ContinuousStatsTable[[#This Row],[RepsRequested]]&gt;1),ContinuousStatsTable[[#This Row],[HalfWidth]],ContinuousStatsTable[[#This Row],[BatchMeansHalfWidth]])</f>
        <v>6.6579532716361495E-2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0.18478023462363399</v>
      </c>
      <c r="H118">
        <v>2E+20</v>
      </c>
      <c r="I118">
        <v>0</v>
      </c>
      <c r="J118">
        <v>1</v>
      </c>
      <c r="K118">
        <v>0.66666666666666696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0.17429991311555901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0.39832749227786501</v>
      </c>
      <c r="U118">
        <f>IF((ContinuousStatsTable[[#This Row],[RepsRequested]]&gt;1),ContinuousStatsTable[[#This Row],[HalfWidth]],ContinuousStatsTable[[#This Row],[BatchMeansHalfWidth]])</f>
        <v>2.0934864866366577E-2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0.55434070387090195</v>
      </c>
      <c r="H119">
        <v>2E+20</v>
      </c>
      <c r="I119">
        <v>0</v>
      </c>
      <c r="J119">
        <v>3</v>
      </c>
      <c r="K119">
        <v>2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0.52289973934667799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1.1949824768335899</v>
      </c>
      <c r="U119">
        <f>IF((ContinuousStatsTable[[#This Row],[RepsRequested]]&gt;1),ContinuousStatsTable[[#This Row],[HalfWidth]],ContinuousStatsTable[[#This Row],[BatchMeansHalfWidth]])</f>
        <v>6.2804594599099622E-2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4.6204542166303003E-4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6.6344065089941603E-2</v>
      </c>
      <c r="U121">
        <f>IF((ContinuousStatsTable[[#This Row],[RepsRequested]]&gt;1),ContinuousStatsTable[[#This Row],[HalfWidth]],ContinuousStatsTable[[#This Row],[BatchMeansHalfWidth]])</f>
        <v>6.4233388118270073E-3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0.88677920049197201</v>
      </c>
      <c r="H122">
        <v>2E+20</v>
      </c>
      <c r="I122">
        <v>0</v>
      </c>
      <c r="J122">
        <v>4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0.52746518751150395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1.2354140404927401</v>
      </c>
      <c r="U122">
        <f>IF((ContinuousStatsTable[[#This Row],[RepsRequested]]&gt;1),ContinuousStatsTable[[#This Row],[HalfWidth]],ContinuousStatsTable[[#This Row],[BatchMeansHalfWidth]])</f>
        <v>6.6579532716361495E-2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0.29131508525064498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0.17429991311555901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0.39832749227786501</v>
      </c>
      <c r="U123">
        <f>IF((ContinuousStatsTable[[#This Row],[RepsRequested]]&gt;1),ContinuousStatsTable[[#This Row],[HalfWidth]],ContinuousStatsTable[[#This Row],[BatchMeansHalfWidth]])</f>
        <v>2.0934864866366577E-2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0.87394525575193505</v>
      </c>
      <c r="H124">
        <v>2E+20</v>
      </c>
      <c r="I124">
        <v>0</v>
      </c>
      <c r="J124">
        <v>3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0.52289973934667799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1.1949824768335899</v>
      </c>
      <c r="U124">
        <f>IF((ContinuousStatsTable[[#This Row],[RepsRequested]]&gt;1),ContinuousStatsTable[[#This Row],[HalfWidth]],ContinuousStatsTable[[#This Row],[BatchMeansHalfWidth]])</f>
        <v>6.2804594599099622E-2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1.28339447400373E-2</v>
      </c>
      <c r="H126">
        <v>2E+20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6.6344065089941603E-2</v>
      </c>
      <c r="U126">
        <f>IF((ContinuousStatsTable[[#This Row],[RepsRequested]]&gt;1),ContinuousStatsTable[[#This Row],[HalfWidth]],ContinuousStatsTable[[#This Row],[BatchMeansHalfWidth]])</f>
        <v>6.4233388118270073E-3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0.76009713390719202</v>
      </c>
      <c r="H127">
        <v>2E+20</v>
      </c>
      <c r="I127">
        <v>0</v>
      </c>
      <c r="J127">
        <v>4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0.52746518751150395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1.2354140404927401</v>
      </c>
      <c r="U127">
        <f>IF((ContinuousStatsTable[[#This Row],[RepsRequested]]&gt;1),ContinuousStatsTable[[#This Row],[HalfWidth]],ContinuousStatsTable[[#This Row],[BatchMeansHalfWidth]])</f>
        <v>6.6579532716361495E-2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0.25274918729232698</v>
      </c>
      <c r="H128">
        <v>2E+20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0.17429991311555901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0.39832749227786501</v>
      </c>
      <c r="U128">
        <f>IF((ContinuousStatsTable[[#This Row],[RepsRequested]]&gt;1),ContinuousStatsTable[[#This Row],[HalfWidth]],ContinuousStatsTable[[#This Row],[BatchMeansHalfWidth]])</f>
        <v>2.0934864866366577E-2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0.75824756187697995</v>
      </c>
      <c r="H129">
        <v>2E+20</v>
      </c>
      <c r="I129">
        <v>0</v>
      </c>
      <c r="J129">
        <v>3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0.52289973934667799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1.1949824768335899</v>
      </c>
      <c r="U129">
        <f>IF((ContinuousStatsTable[[#This Row],[RepsRequested]]&gt;1),ContinuousStatsTable[[#This Row],[HalfWidth]],ContinuousStatsTable[[#This Row],[BatchMeansHalfWidth]])</f>
        <v>6.2804594599099622E-2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1.84957203021201E-3</v>
      </c>
      <c r="H131">
        <v>2E+20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6.6344065089941603E-2</v>
      </c>
      <c r="U131">
        <f>IF((ContinuousStatsTable[[#This Row],[RepsRequested]]&gt;1),ContinuousStatsTable[[#This Row],[HalfWidth]],ContinuousStatsTable[[#This Row],[BatchMeansHalfWidth]])</f>
        <v>6.4233388118270073E-3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0.86715679932732403</v>
      </c>
      <c r="H132">
        <v>2E+20</v>
      </c>
      <c r="I132">
        <v>0</v>
      </c>
      <c r="J132">
        <v>4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0.52746518751150395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1.2354140404927401</v>
      </c>
      <c r="U132">
        <f>IF((ContinuousStatsTable[[#This Row],[RepsRequested]]&gt;1),ContinuousStatsTable[[#This Row],[HalfWidth]],ContinuousStatsTable[[#This Row],[BatchMeansHalfWidth]])</f>
        <v>6.6579532716361495E-2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0.28535214419104199</v>
      </c>
      <c r="H133">
        <v>2E+20</v>
      </c>
      <c r="I133">
        <v>0</v>
      </c>
      <c r="J133">
        <v>1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0.17429991311555901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0.39832749227786501</v>
      </c>
      <c r="U133">
        <f>IF((ContinuousStatsTable[[#This Row],[RepsRequested]]&gt;1),ContinuousStatsTable[[#This Row],[HalfWidth]],ContinuousStatsTable[[#This Row],[BatchMeansHalfWidth]])</f>
        <v>2.0934864866366577E-2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0.85605643257312602</v>
      </c>
      <c r="H134">
        <v>2E+20</v>
      </c>
      <c r="I134">
        <v>0</v>
      </c>
      <c r="J134">
        <v>3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0.52289973934667799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1.1949824768335899</v>
      </c>
      <c r="U134">
        <f>IF((ContinuousStatsTable[[#This Row],[RepsRequested]]&gt;1),ContinuousStatsTable[[#This Row],[HalfWidth]],ContinuousStatsTable[[#This Row],[BatchMeansHalfWidth]])</f>
        <v>6.2804594599099622E-2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1.11003667541984E-2</v>
      </c>
      <c r="H136">
        <v>2E+20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6.6344065089941603E-2</v>
      </c>
      <c r="U136">
        <f>IF((ContinuousStatsTable[[#This Row],[RepsRequested]]&gt;1),ContinuousStatsTable[[#This Row],[HalfWidth]],ContinuousStatsTable[[#This Row],[BatchMeansHalfWidth]])</f>
        <v>6.4233388118270073E-3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1.0547904972936699</v>
      </c>
      <c r="H137">
        <v>2E+20</v>
      </c>
      <c r="I137">
        <v>0</v>
      </c>
      <c r="J137">
        <v>4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0.52746518751150395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1.2354140404927401</v>
      </c>
      <c r="U137">
        <f>IF((ContinuousStatsTable[[#This Row],[RepsRequested]]&gt;1),ContinuousStatsTable[[#This Row],[HalfWidth]],ContinuousStatsTable[[#This Row],[BatchMeansHalfWidth]])</f>
        <v>6.6579532716361495E-2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0.345225122832161</v>
      </c>
      <c r="H138">
        <v>2E+20</v>
      </c>
      <c r="I138">
        <v>0</v>
      </c>
      <c r="J138">
        <v>1</v>
      </c>
      <c r="K138">
        <v>0.33333333333333298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0.17429991311555901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0.39832749227786501</v>
      </c>
      <c r="U138">
        <f>IF((ContinuousStatsTable[[#This Row],[RepsRequested]]&gt;1),ContinuousStatsTable[[#This Row],[HalfWidth]],ContinuousStatsTable[[#This Row],[BatchMeansHalfWidth]])</f>
        <v>2.0934864866366577E-2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1.0356753684964799</v>
      </c>
      <c r="H139">
        <v>2E+20</v>
      </c>
      <c r="I139">
        <v>0</v>
      </c>
      <c r="J139">
        <v>3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0.52289973934667799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1.1949824768335899</v>
      </c>
      <c r="U139">
        <f>IF((ContinuousStatsTable[[#This Row],[RepsRequested]]&gt;1),ContinuousStatsTable[[#This Row],[HalfWidth]],ContinuousStatsTable[[#This Row],[BatchMeansHalfWidth]])</f>
        <v>6.2804594599099622E-2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1.91151287971883E-2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6.6344065089941603E-2</v>
      </c>
      <c r="U141">
        <f>IF((ContinuousStatsTable[[#This Row],[RepsRequested]]&gt;1),ContinuousStatsTable[[#This Row],[HalfWidth]],ContinuousStatsTable[[#This Row],[BatchMeansHalfWidth]])</f>
        <v>6.4233388118270073E-3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0.88480683439169105</v>
      </c>
      <c r="H142">
        <v>2E+20</v>
      </c>
      <c r="I142">
        <v>0</v>
      </c>
      <c r="J142">
        <v>5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0.52746518751150395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1.2354140404927401</v>
      </c>
      <c r="U142">
        <f>IF((ContinuousStatsTable[[#This Row],[RepsRequested]]&gt;1),ContinuousStatsTable[[#This Row],[HalfWidth]],ContinuousStatsTable[[#This Row],[BatchMeansHalfWidth]])</f>
        <v>6.6579532716361495E-2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0.27768375310946303</v>
      </c>
      <c r="H143">
        <v>2E+20</v>
      </c>
      <c r="I143">
        <v>0</v>
      </c>
      <c r="J143">
        <v>1</v>
      </c>
      <c r="K143">
        <v>0.66666666666666696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0.17429991311555901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0.39832749227786501</v>
      </c>
      <c r="U143">
        <f>IF((ContinuousStatsTable[[#This Row],[RepsRequested]]&gt;1),ContinuousStatsTable[[#This Row],[HalfWidth]],ContinuousStatsTable[[#This Row],[BatchMeansHalfWidth]])</f>
        <v>2.0934864866366577E-2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0.83305125932838797</v>
      </c>
      <c r="H144">
        <v>2E+20</v>
      </c>
      <c r="I144">
        <v>0</v>
      </c>
      <c r="J144">
        <v>3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0.52289973934667799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1.1949824768335899</v>
      </c>
      <c r="U144">
        <f>IF((ContinuousStatsTable[[#This Row],[RepsRequested]]&gt;1),ContinuousStatsTable[[#This Row],[HalfWidth]],ContinuousStatsTable[[#This Row],[BatchMeansHalfWidth]])</f>
        <v>6.2804594599099622E-2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5.1755575063302799E-2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6.6344065089941603E-2</v>
      </c>
      <c r="U146">
        <f>IF((ContinuousStatsTable[[#This Row],[RepsRequested]]&gt;1),ContinuousStatsTable[[#This Row],[HalfWidth]],ContinuousStatsTable[[#This Row],[BatchMeansHalfWidth]])</f>
        <v>6.4233388118270073E-3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0.89908656687486699</v>
      </c>
      <c r="H147">
        <v>2E+20</v>
      </c>
      <c r="I147">
        <v>0</v>
      </c>
      <c r="J147">
        <v>4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0.83899458598477128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0.1783032632896793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6.6579532716361495E-2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0.52746518751150395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1.2354140404927401</v>
      </c>
      <c r="U147">
        <f>IF((ContinuousStatsTable[[#This Row],[RepsRequested]]&gt;1),ContinuousStatsTable[[#This Row],[HalfWidth]],ContinuousStatsTable[[#This Row],[BatchMeansHalfWidth]])</f>
        <v>6.6579532716361495E-2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0.296032065555551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0.27413207792969679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5.6064597781178414E-2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2.0934864866366577E-2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0.17429991311555901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0.39832749227786501</v>
      </c>
      <c r="U148">
        <f>IF((ContinuousStatsTable[[#This Row],[RepsRequested]]&gt;1),ContinuousStatsTable[[#This Row],[HalfWidth]],ContinuousStatsTable[[#This Row],[BatchMeansHalfWidth]])</f>
        <v>2.0934864866366577E-2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0.88809619666665196</v>
      </c>
      <c r="H149">
        <v>2E+20</v>
      </c>
      <c r="I149">
        <v>0</v>
      </c>
      <c r="J149">
        <v>3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0.82239623378908988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0.16819379334353499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6.2804594599099622E-2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0.52289973934667799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1.1949824768335899</v>
      </c>
      <c r="U149">
        <f>IF((ContinuousStatsTable[[#This Row],[RepsRequested]]&gt;1),ContinuousStatsTable[[#This Row],[HalfWidth]],ContinuousStatsTable[[#This Row],[BatchMeansHalfWidth]])</f>
        <v>6.2804594599099622E-2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1.09903702082144E-2</v>
      </c>
      <c r="H151">
        <v>2E+20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1.6598352195681718E-2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1.7202017266224459E-2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6.4233388118270073E-3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6.6344065089941603E-2</v>
      </c>
      <c r="U151">
        <f>IF((ContinuousStatsTable[[#This Row],[RepsRequested]]&gt;1),ContinuousStatsTable[[#This Row],[HalfWidth]],ContinuousStatsTable[[#This Row],[BatchMeansHalfWidth]])</f>
        <v>6.4233388118270073E-3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45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53.7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8.0221675633081357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" cm="1">
        <f t="array" ref="N2">MIN(IF((CountersTable[GroupByKey]=CountersTable[[#This Row],[GroupByKey]]),(CountersTable[GroupByKey]=CountersTable[[#This Row],[GroupByKey]])*CountersTable[RecordedValue]))</f>
        <v>37</v>
      </c>
      <c r="O2" cm="1">
        <f t="array" ref="O2">MAX(IF((CountersTable[GroupByKey]=CountersTable[[#This Row],[GroupByKey]]),(CountersTable[GroupByKey]=CountersTable[[#This Row],[GroupByKey]])*CountersTable[RecordedValue]))</f>
        <v>65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0.46666666666666667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0.89955289021760731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4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61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53.7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8.0221675633081357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" cm="1">
        <f t="array" ref="N4">MIN(IF((CountersTable[GroupByKey]=CountersTable[[#This Row],[GroupByKey]]),(CountersTable[GroupByKey]=CountersTable[[#This Row],[GroupByKey]])*CountersTable[RecordedValue]))</f>
        <v>37</v>
      </c>
      <c r="O4" cm="1">
        <f t="array" ref="O4">MAX(IF((CountersTable[GroupByKey]=CountersTable[[#This Row],[GroupByKey]]),(CountersTable[GroupByKey]=CountersTable[[#This Row],[GroupByKey]])*CountersTable[RecordedValue]))</f>
        <v>65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0.46666666666666667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0.89955289021760731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4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65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53.7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8.0221675633081357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6" cm="1">
        <f t="array" ref="N6">MIN(IF((CountersTable[GroupByKey]=CountersTable[[#This Row],[GroupByKey]]),(CountersTable[GroupByKey]=CountersTable[[#This Row],[GroupByKey]])*CountersTable[RecordedValue]))</f>
        <v>37</v>
      </c>
      <c r="O6" cm="1">
        <f t="array" ref="O6">MAX(IF((CountersTable[GroupByKey]=CountersTable[[#This Row],[GroupByKey]]),(CountersTable[GroupByKey]=CountersTable[[#This Row],[GroupByKey]])*CountersTable[RecordedValue]))</f>
        <v>65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4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0.46666666666666667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0.89955289021760731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4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59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53.7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8.0221675633081357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8" cm="1">
        <f t="array" ref="N8">MIN(IF((CountersTable[GroupByKey]=CountersTable[[#This Row],[GroupByKey]]),(CountersTable[GroupByKey]=CountersTable[[#This Row],[GroupByKey]])*CountersTable[RecordedValue]))</f>
        <v>37</v>
      </c>
      <c r="O8" cm="1">
        <f t="array" ref="O8">MAX(IF((CountersTable[GroupByKey]=CountersTable[[#This Row],[GroupByKey]]),(CountersTable[GroupByKey]=CountersTable[[#This Row],[GroupByKey]])*CountersTable[RecordedValue]))</f>
        <v>65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0.46666666666666667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0.89955289021760731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4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57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53.7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8.0221675633081357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10" cm="1">
        <f t="array" ref="N10">MIN(IF((CountersTable[GroupByKey]=CountersTable[[#This Row],[GroupByKey]]),(CountersTable[GroupByKey]=CountersTable[[#This Row],[GroupByKey]])*CountersTable[RecordedValue]))</f>
        <v>37</v>
      </c>
      <c r="O10" cm="1">
        <f t="array" ref="O10">MAX(IF((CountersTable[GroupByKey]=CountersTable[[#This Row],[GroupByKey]]),(CountersTable[GroupByKey]=CountersTable[[#This Row],[GroupByKey]])*CountersTable[RecordedValue]))</f>
        <v>65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0.46666666666666667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0.89955289021760731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4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52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53.7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8.0221675633081357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12" s="5" cm="1">
        <f t="array" ref="N12">MIN(IF((CountersTable[GroupByKey]=CountersTable[[#This Row],[GroupByKey]]),(CountersTable[GroupByKey]=CountersTable[[#This Row],[GroupByKey]])*CountersTable[RecordedValue]))</f>
        <v>37</v>
      </c>
      <c r="O12" s="5" cm="1">
        <f t="array" ref="O12">MAX(IF((CountersTable[GroupByKey]=CountersTable[[#This Row],[GroupByKey]]),(CountersTable[GroupByKey]=CountersTable[[#This Row],[GroupByKey]])*CountersTable[RecordedValue]))</f>
        <v>65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0.46666666666666667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0.89955289021760731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4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44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53.7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8.0221675633081357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14" s="5" cm="1">
        <f t="array" ref="N14">MIN(IF((CountersTable[GroupByKey]=CountersTable[[#This Row],[GroupByKey]]),(CountersTable[GroupByKey]=CountersTable[[#This Row],[GroupByKey]])*CountersTable[RecordedValue]))</f>
        <v>37</v>
      </c>
      <c r="O14" s="5" cm="1">
        <f t="array" ref="O14">MAX(IF((CountersTable[GroupByKey]=CountersTable[[#This Row],[GroupByKey]]),(CountersTable[GroupByKey]=CountersTable[[#This Row],[GroupByKey]])*CountersTable[RecordedValue]))</f>
        <v>65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0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0.46666666666666667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0.89955289021760731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4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41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53.7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8.0221675633081357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16" s="5" cm="1">
        <f t="array" ref="N16">MIN(IF((CountersTable[GroupByKey]=CountersTable[[#This Row],[GroupByKey]]),(CountersTable[GroupByKey]=CountersTable[[#This Row],[GroupByKey]])*CountersTable[RecordedValue]))</f>
        <v>37</v>
      </c>
      <c r="O16" s="5" cm="1">
        <f t="array" ref="O16">MAX(IF((CountersTable[GroupByKey]=CountersTable[[#This Row],[GroupByKey]]),(CountersTable[GroupByKey]=CountersTable[[#This Row],[GroupByKey]])*CountersTable[RecordedValue]))</f>
        <v>65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0.46666666666666667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0.89955289021760731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4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62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53.7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8.0221675633081357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18" s="5" cm="1">
        <f t="array" ref="N18">MIN(IF((CountersTable[GroupByKey]=CountersTable[[#This Row],[GroupByKey]]),(CountersTable[GroupByKey]=CountersTable[[#This Row],[GroupByKey]])*CountersTable[RecordedValue]))</f>
        <v>37</v>
      </c>
      <c r="O18" s="5" cm="1">
        <f t="array" ref="O18">MAX(IF((CountersTable[GroupByKey]=CountersTable[[#This Row],[GroupByKey]]),(CountersTable[GroupByKey]=CountersTable[[#This Row],[GroupByKey]])*CountersTable[RecordedValue]))</f>
        <v>65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0.46666666666666667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0.89955289021760731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4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50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53.7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8.0221675633081357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0" s="5" cm="1">
        <f t="array" ref="N20">MIN(IF((CountersTable[GroupByKey]=CountersTable[[#This Row],[GroupByKey]]),(CountersTable[GroupByKey]=CountersTable[[#This Row],[GroupByKey]])*CountersTable[RecordedValue]))</f>
        <v>37</v>
      </c>
      <c r="O20" s="5" cm="1">
        <f t="array" ref="O20">MAX(IF((CountersTable[GroupByKey]=CountersTable[[#This Row],[GroupByKey]]),(CountersTable[GroupByKey]=CountersTable[[#This Row],[GroupByKey]])*CountersTable[RecordedValue]))</f>
        <v>65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0.46666666666666667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0.89955289021760731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4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62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53.7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8.0221675633081357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2" s="5" cm="1">
        <f t="array" ref="N22">MIN(IF((CountersTable[GroupByKey]=CountersTable[[#This Row],[GroupByKey]]),(CountersTable[GroupByKey]=CountersTable[[#This Row],[GroupByKey]])*CountersTable[RecordedValue]))</f>
        <v>37</v>
      </c>
      <c r="O22" s="5" cm="1">
        <f t="array" ref="O22">MAX(IF((CountersTable[GroupByKey]=CountersTable[[#This Row],[GroupByKey]]),(CountersTable[GroupByKey]=CountersTable[[#This Row],[GroupByKey]])*CountersTable[RecordedValue]))</f>
        <v>65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0.46666666666666667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0.89955289021760731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4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43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53.7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8.0221675633081357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4" s="5" cm="1">
        <f t="array" ref="N24">MIN(IF((CountersTable[GroupByKey]=CountersTable[[#This Row],[GroupByKey]]),(CountersTable[GroupByKey]=CountersTable[[#This Row],[GroupByKey]])*CountersTable[RecordedValue]))</f>
        <v>37</v>
      </c>
      <c r="O24" s="5" cm="1">
        <f t="array" ref="O24">MAX(IF((CountersTable[GroupByKey]=CountersTable[[#This Row],[GroupByKey]]),(CountersTable[GroupByKey]=CountersTable[[#This Row],[GroupByKey]])*CountersTable[RecordedValue]))</f>
        <v>65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0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0.46666666666666667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0.89955289021760731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4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48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53.7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8.0221675633081357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6" s="5" cm="1">
        <f t="array" ref="N26">MIN(IF((CountersTable[GroupByKey]=CountersTable[[#This Row],[GroupByKey]]),(CountersTable[GroupByKey]=CountersTable[[#This Row],[GroupByKey]])*CountersTable[RecordedValue]))</f>
        <v>37</v>
      </c>
      <c r="O26" s="5" cm="1">
        <f t="array" ref="O26">MAX(IF((CountersTable[GroupByKey]=CountersTable[[#This Row],[GroupByKey]]),(CountersTable[GroupByKey]=CountersTable[[#This Row],[GroupByKey]])*CountersTable[RecordedValue]))</f>
        <v>65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0.46666666666666667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0.89955289021760731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4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61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53.7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8.0221675633081357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28" s="5" cm="1">
        <f t="array" ref="N28">MIN(IF((CountersTable[GroupByKey]=CountersTable[[#This Row],[GroupByKey]]),(CountersTable[GroupByKey]=CountersTable[[#This Row],[GroupByKey]])*CountersTable[RecordedValue]))</f>
        <v>37</v>
      </c>
      <c r="O28" s="5" cm="1">
        <f t="array" ref="O28">MAX(IF((CountersTable[GroupByKey]=CountersTable[[#This Row],[GroupByKey]]),(CountersTable[GroupByKey]=CountersTable[[#This Row],[GroupByKey]])*CountersTable[RecordedValue]))</f>
        <v>65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1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0.46666666666666667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0.89955289021760731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4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53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53.7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8.0221675633081357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30" s="5" cm="1">
        <f t="array" ref="N30">MIN(IF((CountersTable[GroupByKey]=CountersTable[[#This Row],[GroupByKey]]),(CountersTable[GroupByKey]=CountersTable[[#This Row],[GroupByKey]])*CountersTable[RecordedValue]))</f>
        <v>37</v>
      </c>
      <c r="O30" s="5" cm="1">
        <f t="array" ref="O30">MAX(IF((CountersTable[GroupByKey]=CountersTable[[#This Row],[GroupByKey]]),(CountersTable[GroupByKey]=CountersTable[[#This Row],[GroupByKey]])*CountersTable[RecordedValue]))</f>
        <v>65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0.46666666666666667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0.89955289021760731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4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60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53.7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8.0221675633081357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32" s="5" cm="1">
        <f t="array" ref="N32">MIN(IF((CountersTable[GroupByKey]=CountersTable[[#This Row],[GroupByKey]]),(CountersTable[GroupByKey]=CountersTable[[#This Row],[GroupByKey]])*CountersTable[RecordedValue]))</f>
        <v>37</v>
      </c>
      <c r="O32" s="5" cm="1">
        <f t="array" ref="O32">MAX(IF((CountersTable[GroupByKey]=CountersTable[[#This Row],[GroupByKey]]),(CountersTable[GroupByKey]=CountersTable[[#This Row],[GroupByKey]])*CountersTable[RecordedValue]))</f>
        <v>65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0.46666666666666667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0.89955289021760731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4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37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53.7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8.0221675633081357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34" s="5" cm="1">
        <f t="array" ref="N34">MIN(IF((CountersTable[GroupByKey]=CountersTable[[#This Row],[GroupByKey]]),(CountersTable[GroupByKey]=CountersTable[[#This Row],[GroupByKey]])*CountersTable[RecordedValue]))</f>
        <v>37</v>
      </c>
      <c r="O34" s="5" cm="1">
        <f t="array" ref="O34">MAX(IF((CountersTable[GroupByKey]=CountersTable[[#This Row],[GroupByKey]]),(CountersTable[GroupByKey]=CountersTable[[#This Row],[GroupByKey]])*CountersTable[RecordedValue]))</f>
        <v>65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0.46666666666666667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0.89955289021760731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4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62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53.7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8.0221675633081357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36" s="5" cm="1">
        <f t="array" ref="N36">MIN(IF((CountersTable[GroupByKey]=CountersTable[[#This Row],[GroupByKey]]),(CountersTable[GroupByKey]=CountersTable[[#This Row],[GroupByKey]])*CountersTable[RecordedValue]))</f>
        <v>37</v>
      </c>
      <c r="O36" s="5" cm="1">
        <f t="array" ref="O36">MAX(IF((CountersTable[GroupByKey]=CountersTable[[#This Row],[GroupByKey]]),(CountersTable[GroupByKey]=CountersTable[[#This Row],[GroupByKey]])*CountersTable[RecordedValue]))</f>
        <v>65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0.46666666666666667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0.89955289021760731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4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50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53.7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8.0221675633081357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38" s="5" cm="1">
        <f t="array" ref="N38">MIN(IF((CountersTable[GroupByKey]=CountersTable[[#This Row],[GroupByKey]]),(CountersTable[GroupByKey]=CountersTable[[#This Row],[GroupByKey]])*CountersTable[RecordedValue]))</f>
        <v>37</v>
      </c>
      <c r="O38" s="5" cm="1">
        <f t="array" ref="O38">MAX(IF((CountersTable[GroupByKey]=CountersTable[[#This Row],[GroupByKey]]),(CountersTable[GroupByKey]=CountersTable[[#This Row],[GroupByKey]])*CountersTable[RecordedValue]))</f>
        <v>65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0.46666666666666667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0.89955289021760731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4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55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53.7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8.0221675633081357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0" s="5" cm="1">
        <f t="array" ref="N40">MIN(IF((CountersTable[GroupByKey]=CountersTable[[#This Row],[GroupByKey]]),(CountersTable[GroupByKey]=CountersTable[[#This Row],[GroupByKey]])*CountersTable[RecordedValue]))</f>
        <v>37</v>
      </c>
      <c r="O40" s="5" cm="1">
        <f t="array" ref="O40">MAX(IF((CountersTable[GroupByKey]=CountersTable[[#This Row],[GroupByKey]]),(CountersTable[GroupByKey]=CountersTable[[#This Row],[GroupByKey]])*CountersTable[RecordedValue]))</f>
        <v>65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0.46666666666666667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0.89955289021760731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4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64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53.7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8.0221675633081357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2" s="5" cm="1">
        <f t="array" ref="N42">MIN(IF((CountersTable[GroupByKey]=CountersTable[[#This Row],[GroupByKey]]),(CountersTable[GroupByKey]=CountersTable[[#This Row],[GroupByKey]])*CountersTable[RecordedValue]))</f>
        <v>37</v>
      </c>
      <c r="O42" s="5" cm="1">
        <f t="array" ref="O42">MAX(IF((CountersTable[GroupByKey]=CountersTable[[#This Row],[GroupByKey]]),(CountersTable[GroupByKey]=CountersTable[[#This Row],[GroupByKey]])*CountersTable[RecordedValue]))</f>
        <v>65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0.46666666666666667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0.89955289021760731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4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52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53.7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8.0221675633081357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4" s="5" cm="1">
        <f t="array" ref="N44">MIN(IF((CountersTable[GroupByKey]=CountersTable[[#This Row],[GroupByKey]]),(CountersTable[GroupByKey]=CountersTable[[#This Row],[GroupByKey]])*CountersTable[RecordedValue]))</f>
        <v>37</v>
      </c>
      <c r="O44" s="5" cm="1">
        <f t="array" ref="O44">MAX(IF((CountersTable[GroupByKey]=CountersTable[[#This Row],[GroupByKey]]),(CountersTable[GroupByKey]=CountersTable[[#This Row],[GroupByKey]])*CountersTable[RecordedValue]))</f>
        <v>65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2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0.46666666666666667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0.89955289021760731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4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61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53.7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8.0221675633081357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6" s="5" cm="1">
        <f t="array" ref="N46">MIN(IF((CountersTable[GroupByKey]=CountersTable[[#This Row],[GroupByKey]]),(CountersTable[GroupByKey]=CountersTable[[#This Row],[GroupByKey]])*CountersTable[RecordedValue]))</f>
        <v>37</v>
      </c>
      <c r="O46" s="5" cm="1">
        <f t="array" ref="O46">MAX(IF((CountersTable[GroupByKey]=CountersTable[[#This Row],[GroupByKey]]),(CountersTable[GroupByKey]=CountersTable[[#This Row],[GroupByKey]])*CountersTable[RecordedValue]))</f>
        <v>65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2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0.46666666666666667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0.89955289021760731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4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53.7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8.0221675633081357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48" s="5" cm="1">
        <f t="array" ref="N48">MIN(IF((CountersTable[GroupByKey]=CountersTable[[#This Row],[GroupByKey]]),(CountersTable[GroupByKey]=CountersTable[[#This Row],[GroupByKey]])*CountersTable[RecordedValue]))</f>
        <v>37</v>
      </c>
      <c r="O48" s="5" cm="1">
        <f t="array" ref="O48">MAX(IF((CountersTable[GroupByKey]=CountersTable[[#This Row],[GroupByKey]]),(CountersTable[GroupByKey]=CountersTable[[#This Row],[GroupByKey]])*CountersTable[RecordedValue]))</f>
        <v>65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0.46666666666666667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0.89955289021760731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4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57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53.7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8.0221675633081357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50" s="5" cm="1">
        <f t="array" ref="N50">MIN(IF((CountersTable[GroupByKey]=CountersTable[[#This Row],[GroupByKey]]),(CountersTable[GroupByKey]=CountersTable[[#This Row],[GroupByKey]])*CountersTable[RecordedValue]))</f>
        <v>37</v>
      </c>
      <c r="O50" s="5" cm="1">
        <f t="array" ref="O50">MAX(IF((CountersTable[GroupByKey]=CountersTable[[#This Row],[GroupByKey]]),(CountersTable[GroupByKey]=CountersTable[[#This Row],[GroupByKey]])*CountersTable[RecordedValue]))</f>
        <v>65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1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0.46666666666666667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0.89955289021760731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4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47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53.7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8.0221675633081357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52" s="5" cm="1">
        <f t="array" ref="N52">MIN(IF((CountersTable[GroupByKey]=CountersTable[[#This Row],[GroupByKey]]),(CountersTable[GroupByKey]=CountersTable[[#This Row],[GroupByKey]])*CountersTable[RecordedValue]))</f>
        <v>37</v>
      </c>
      <c r="O52" s="5" cm="1">
        <f t="array" ref="O52">MAX(IF((CountersTable[GroupByKey]=CountersTable[[#This Row],[GroupByKey]]),(CountersTable[GroupByKey]=CountersTable[[#This Row],[GroupByKey]])*CountersTable[RecordedValue]))</f>
        <v>65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0.46666666666666667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0.89955289021760731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4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46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53.7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8.0221675633081357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54" s="5" cm="1">
        <f t="array" ref="N54">MIN(IF((CountersTable[GroupByKey]=CountersTable[[#This Row],[GroupByKey]]),(CountersTable[GroupByKey]=CountersTable[[#This Row],[GroupByKey]])*CountersTable[RecordedValue]))</f>
        <v>37</v>
      </c>
      <c r="O54" s="5" cm="1">
        <f t="array" ref="O54">MAX(IF((CountersTable[GroupByKey]=CountersTable[[#This Row],[GroupByKey]]),(CountersTable[GroupByKey]=CountersTable[[#This Row],[GroupByKey]])*CountersTable[RecordedValue]))</f>
        <v>65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0.46666666666666667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0.89955289021760731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4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59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53.7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8.0221675633081357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56" s="5" cm="1">
        <f t="array" ref="N56">MIN(IF((CountersTable[GroupByKey]=CountersTable[[#This Row],[GroupByKey]]),(CountersTable[GroupByKey]=CountersTable[[#This Row],[GroupByKey]])*CountersTable[RecordedValue]))</f>
        <v>37</v>
      </c>
      <c r="O56" s="5" cm="1">
        <f t="array" ref="O56">MAX(IF((CountersTable[GroupByKey]=CountersTable[[#This Row],[GroupByKey]]),(CountersTable[GroupByKey]=CountersTable[[#This Row],[GroupByKey]])*CountersTable[RecordedValue]))</f>
        <v>65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0.46666666666666667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0.89955289021760731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4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57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53.7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8.0221675633081357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58" s="5" cm="1">
        <f t="array" ref="N58">MIN(IF((CountersTable[GroupByKey]=CountersTable[[#This Row],[GroupByKey]]),(CountersTable[GroupByKey]=CountersTable[[#This Row],[GroupByKey]])*CountersTable[RecordedValue]))</f>
        <v>37</v>
      </c>
      <c r="O58" s="5" cm="1">
        <f t="array" ref="O58">MAX(IF((CountersTable[GroupByKey]=CountersTable[[#This Row],[GroupByKey]]),(CountersTable[GroupByKey]=CountersTable[[#This Row],[GroupByKey]])*CountersTable[RecordedValue]))</f>
        <v>65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0.46666666666666667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0.89955289021760731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4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61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53.7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8.0221675633081357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2.9955265982410313</v>
      </c>
      <c r="N60" s="5" cm="1">
        <f t="array" ref="N60">MIN(IF((CountersTable[GroupByKey]=CountersTable[[#This Row],[GroupByKey]]),(CountersTable[GroupByKey]=CountersTable[[#This Row],[GroupByKey]])*CountersTable[RecordedValue]))</f>
        <v>37</v>
      </c>
      <c r="O60" s="5" cm="1">
        <f t="array" ref="O60">MAX(IF((CountersTable[GroupByKey]=CountersTable[[#This Row],[GroupByKey]]),(CountersTable[GroupByKey]=CountersTable[[#This Row],[GroupByKey]])*CountersTable[RecordedValue]))</f>
        <v>65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0.46666666666666667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0.89955289021760731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0.33589856954573999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4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46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54.43333333333333</v>
      </c>
      <c r="L2" cm="1">
        <f t="array" ref="L2">IFERROR(_xlfn.STDEV.S(IF((OutputTable[GroupByKey]=OutputTable[[#This Row],[GroupByKey]]),(OutputTable[GroupByKey]=OutputTable[[#This Row],[GroupByKey]])*OutputTable[RecordedValue])),0)</f>
        <v>8.0587640591420477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2" cm="1">
        <f t="array" ref="O2">MIN(IF((OutputTable[GroupByKey]=OutputTable[[#This Row],[GroupByKey]]),(OutputTable[GroupByKey]=OutputTable[[#This Row],[GroupByKey]])*OutputTable[RecordedValue]))</f>
        <v>37</v>
      </c>
      <c r="P2" cm="1">
        <f t="array" ref="P2">MAX(IF((OutputTable[GroupByKey]=OutputTable[[#This Row],[GroupByKey]]),(OutputTable[GroupByKey]=OutputTable[[#This Row],[GroupByKey]])*OutputTable[RecordedValue]))</f>
        <v>67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45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53.7</v>
      </c>
      <c r="L3" cm="1">
        <f t="array" ref="L3">IFERROR(_xlfn.STDEV.S(IF((OutputTable[GroupByKey]=OutputTable[[#This Row],[GroupByKey]]),(OutputTable[GroupByKey]=OutputTable[[#This Row],[GroupByKey]])*OutputTable[RecordedValue])),0)</f>
        <v>8.0221675633081357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3" cm="1">
        <f t="array" ref="O3">MIN(IF((OutputTable[GroupByKey]=OutputTable[[#This Row],[GroupByKey]]),(OutputTable[GroupByKey]=OutputTable[[#This Row],[GroupByKey]])*OutputTable[RecordedValue]))</f>
        <v>37</v>
      </c>
      <c r="P3" cm="1">
        <f t="array" ref="P3">MAX(IF((OutputTable[GroupByKey]=OutputTable[[#This Row],[GroupByKey]]),(OutputTable[GroupByKey]=OutputTable[[#This Row],[GroupByKey]])*OutputTable[RecordedValue]))</f>
        <v>65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46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54.43333333333333</v>
      </c>
      <c r="L4" cm="1">
        <f t="array" ref="L4">IFERROR(_xlfn.STDEV.S(IF((OutputTable[GroupByKey]=OutputTable[[#This Row],[GroupByKey]]),(OutputTable[GroupByKey]=OutputTable[[#This Row],[GroupByKey]])*OutputTable[RecordedValue])),0)</f>
        <v>8.0587640591420477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4" cm="1">
        <f t="array" ref="O4">MIN(IF((OutputTable[GroupByKey]=OutputTable[[#This Row],[GroupByKey]]),(OutputTable[GroupByKey]=OutputTable[[#This Row],[GroupByKey]])*OutputTable[RecordedValue]))</f>
        <v>37</v>
      </c>
      <c r="P4" cm="1">
        <f t="array" ref="P4">MAX(IF((OutputTable[GroupByKey]=OutputTable[[#This Row],[GroupByKey]]),(OutputTable[GroupByKey]=OutputTable[[#This Row],[GroupByKey]])*OutputTable[RecordedValue]))</f>
        <v>67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0.25009597597844502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0.27413207792969679</v>
      </c>
      <c r="L5" cm="1">
        <f t="array" ref="L5">IFERROR(_xlfn.STDEV.S(IF((OutputTable[GroupByKey]=OutputTable[[#This Row],[GroupByKey]]),(OutputTable[GroupByKey]=OutputTable[[#This Row],[GroupByKey]])*OutputTable[RecordedValue])),0)</f>
        <v>5.6064597781178692E-2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5" cm="1">
        <f t="array" ref="O5">MIN(IF((OutputTable[GroupByKey]=OutputTable[[#This Row],[GroupByKey]]),(OutputTable[GroupByKey]=OutputTable[[#This Row],[GroupByKey]])*OutputTable[RecordedValue]))</f>
        <v>0.17429991311555901</v>
      </c>
      <c r="P5" cm="1">
        <f t="array" ref="P5">MAX(IF((OutputTable[GroupByKey]=OutputTable[[#This Row],[GroupByKey]]),(OutputTable[GroupByKey]=OutputTable[[#This Row],[GroupByKey]])*OutputTable[RecordedValue]))</f>
        <v>0.39832749227786501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53.7</v>
      </c>
      <c r="L6" cm="1">
        <f t="array" ref="L6">IFERROR(_xlfn.STDEV.S(IF((OutputTable[GroupByKey]=OutputTable[[#This Row],[GroupByKey]]),(OutputTable[GroupByKey]=OutputTable[[#This Row],[GroupByKey]])*OutputTable[RecordedValue])),0)</f>
        <v>8.0221675633081357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6" cm="1">
        <f t="array" ref="O6">MIN(IF((OutputTable[GroupByKey]=OutputTable[[#This Row],[GroupByKey]]),(OutputTable[GroupByKey]=OutputTable[[#This Row],[GroupByKey]])*OutputTable[RecordedValue]))</f>
        <v>37</v>
      </c>
      <c r="P6" cm="1">
        <f t="array" ref="P6">MAX(IF((OutputTable[GroupByKey]=OutputTable[[#This Row],[GroupByKey]]),(OutputTable[GroupByKey]=OutputTable[[#This Row],[GroupByKey]])*OutputTable[RecordedValue]))</f>
        <v>65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61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54.43333333333333</v>
      </c>
      <c r="L7" cm="1">
        <f t="array" ref="L7">IFERROR(_xlfn.STDEV.S(IF((OutputTable[GroupByKey]=OutputTable[[#This Row],[GroupByKey]]),(OutputTable[GroupByKey]=OutputTable[[#This Row],[GroupByKey]])*OutputTable[RecordedValue])),0)</f>
        <v>8.0587640591420477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7" cm="1">
        <f t="array" ref="O7">MIN(IF((OutputTable[GroupByKey]=OutputTable[[#This Row],[GroupByKey]]),(OutputTable[GroupByKey]=OutputTable[[#This Row],[GroupByKey]])*OutputTable[RecordedValue]))</f>
        <v>37</v>
      </c>
      <c r="P7" cm="1">
        <f t="array" ref="P7">MAX(IF((OutputTable[GroupByKey]=OutputTable[[#This Row],[GroupByKey]]),(OutputTable[GroupByKey]=OutputTable[[#This Row],[GroupByKey]])*OutputTable[RecordedValue]))</f>
        <v>67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61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53.7</v>
      </c>
      <c r="L8" cm="1">
        <f t="array" ref="L8">IFERROR(_xlfn.STDEV.S(IF((OutputTable[GroupByKey]=OutputTable[[#This Row],[GroupByKey]]),(OutputTable[GroupByKey]=OutputTable[[#This Row],[GroupByKey]])*OutputTable[RecordedValue])),0)</f>
        <v>8.0221675633081357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8" cm="1">
        <f t="array" ref="O8">MIN(IF((OutputTable[GroupByKey]=OutputTable[[#This Row],[GroupByKey]]),(OutputTable[GroupByKey]=OutputTable[[#This Row],[GroupByKey]])*OutputTable[RecordedValue]))</f>
        <v>37</v>
      </c>
      <c r="P8" cm="1">
        <f t="array" ref="P8">MAX(IF((OutputTable[GroupByKey]=OutputTable[[#This Row],[GroupByKey]]),(OutputTable[GroupByKey]=OutputTable[[#This Row],[GroupByKey]])*OutputTable[RecordedValue]))</f>
        <v>65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61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54.43333333333333</v>
      </c>
      <c r="L9" cm="1">
        <f t="array" ref="L9">IFERROR(_xlfn.STDEV.S(IF((OutputTable[GroupByKey]=OutputTable[[#This Row],[GroupByKey]]),(OutputTable[GroupByKey]=OutputTable[[#This Row],[GroupByKey]])*OutputTable[RecordedValue])),0)</f>
        <v>8.0587640591420477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9" cm="1">
        <f t="array" ref="O9">MIN(IF((OutputTable[GroupByKey]=OutputTable[[#This Row],[GroupByKey]]),(OutputTable[GroupByKey]=OutputTable[[#This Row],[GroupByKey]])*OutputTable[RecordedValue]))</f>
        <v>37</v>
      </c>
      <c r="P9" cm="1">
        <f t="array" ref="P9">MAX(IF((OutputTable[GroupByKey]=OutputTable[[#This Row],[GroupByKey]]),(OutputTable[GroupByKey]=OutputTable[[#This Row],[GroupByKey]])*OutputTable[RecordedValue]))</f>
        <v>67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0.34141855054228798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0.27413207792969679</v>
      </c>
      <c r="L10" cm="1">
        <f t="array" ref="L10">IFERROR(_xlfn.STDEV.S(IF((OutputTable[GroupByKey]=OutputTable[[#This Row],[GroupByKey]]),(OutputTable[GroupByKey]=OutputTable[[#This Row],[GroupByKey]])*OutputTable[RecordedValue])),0)</f>
        <v>5.6064597781178692E-2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0" cm="1">
        <f t="array" ref="O10">MIN(IF((OutputTable[GroupByKey]=OutputTable[[#This Row],[GroupByKey]]),(OutputTable[GroupByKey]=OutputTable[[#This Row],[GroupByKey]])*OutputTable[RecordedValue]))</f>
        <v>0.17429991311555901</v>
      </c>
      <c r="P10" cm="1">
        <f t="array" ref="P10">MAX(IF((OutputTable[GroupByKey]=OutputTable[[#This Row],[GroupByKey]]),(OutputTable[GroupByKey]=OutputTable[[#This Row],[GroupByKey]])*OutputTable[RecordedValue]))</f>
        <v>0.39832749227786501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61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53.7</v>
      </c>
      <c r="L11" cm="1">
        <f t="array" ref="L11">IFERROR(_xlfn.STDEV.S(IF((OutputTable[GroupByKey]=OutputTable[[#This Row],[GroupByKey]]),(OutputTable[GroupByKey]=OutputTable[[#This Row],[GroupByKey]])*OutputTable[RecordedValue])),0)</f>
        <v>8.0221675633081357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1" cm="1">
        <f t="array" ref="O11">MIN(IF((OutputTable[GroupByKey]=OutputTable[[#This Row],[GroupByKey]]),(OutputTable[GroupByKey]=OutputTable[[#This Row],[GroupByKey]])*OutputTable[RecordedValue]))</f>
        <v>37</v>
      </c>
      <c r="P11" cm="1">
        <f t="array" ref="P11">MAX(IF((OutputTable[GroupByKey]=OutputTable[[#This Row],[GroupByKey]]),(OutputTable[GroupByKey]=OutputTable[[#This Row],[GroupByKey]])*OutputTable[RecordedValue]))</f>
        <v>65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67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54.43333333333333</v>
      </c>
      <c r="L12" cm="1">
        <f t="array" ref="L12">IFERROR(_xlfn.STDEV.S(IF((OutputTable[GroupByKey]=OutputTable[[#This Row],[GroupByKey]]),(OutputTable[GroupByKey]=OutputTable[[#This Row],[GroupByKey]])*OutputTable[RecordedValue])),0)</f>
        <v>8.0587640591420477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2" cm="1">
        <f t="array" ref="O12">MIN(IF((OutputTable[GroupByKey]=OutputTable[[#This Row],[GroupByKey]]),(OutputTable[GroupByKey]=OutputTable[[#This Row],[GroupByKey]])*OutputTable[RecordedValue]))</f>
        <v>37</v>
      </c>
      <c r="P12" cm="1">
        <f t="array" ref="P12">MAX(IF((OutputTable[GroupByKey]=OutputTable[[#This Row],[GroupByKey]]),(OutputTable[GroupByKey]=OutputTable[[#This Row],[GroupByKey]])*OutputTable[RecordedValue]))</f>
        <v>67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65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53.7</v>
      </c>
      <c r="L13" cm="1">
        <f t="array" ref="L13">IFERROR(_xlfn.STDEV.S(IF((OutputTable[GroupByKey]=OutputTable[[#This Row],[GroupByKey]]),(OutputTable[GroupByKey]=OutputTable[[#This Row],[GroupByKey]])*OutputTable[RecordedValue])),0)</f>
        <v>8.0221675633081357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3" cm="1">
        <f t="array" ref="O13">MIN(IF((OutputTable[GroupByKey]=OutputTable[[#This Row],[GroupByKey]]),(OutputTable[GroupByKey]=OutputTable[[#This Row],[GroupByKey]])*OutputTable[RecordedValue]))</f>
        <v>37</v>
      </c>
      <c r="P13" cm="1">
        <f t="array" ref="P13">MAX(IF((OutputTable[GroupByKey]=OutputTable[[#This Row],[GroupByKey]]),(OutputTable[GroupByKey]=OutputTable[[#This Row],[GroupByKey]])*OutputTable[RecordedValue]))</f>
        <v>65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67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54.43333333333333</v>
      </c>
      <c r="L14" cm="1">
        <f t="array" ref="L14">IFERROR(_xlfn.STDEV.S(IF((OutputTable[GroupByKey]=OutputTable[[#This Row],[GroupByKey]]),(OutputTable[GroupByKey]=OutputTable[[#This Row],[GroupByKey]])*OutputTable[RecordedValue])),0)</f>
        <v>8.0587640591420477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4" cm="1">
        <f t="array" ref="O14">MIN(IF((OutputTable[GroupByKey]=OutputTable[[#This Row],[GroupByKey]]),(OutputTable[GroupByKey]=OutputTable[[#This Row],[GroupByKey]])*OutputTable[RecordedValue]))</f>
        <v>37</v>
      </c>
      <c r="P14" cm="1">
        <f t="array" ref="P14">MAX(IF((OutputTable[GroupByKey]=OutputTable[[#This Row],[GroupByKey]]),(OutputTable[GroupByKey]=OutputTable[[#This Row],[GroupByKey]])*OutputTable[RecordedValue]))</f>
        <v>67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0.31513592935054802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0.27413207792969679</v>
      </c>
      <c r="L15" cm="1">
        <f t="array" ref="L15">IFERROR(_xlfn.STDEV.S(IF((OutputTable[GroupByKey]=OutputTable[[#This Row],[GroupByKey]]),(OutputTable[GroupByKey]=OutputTable[[#This Row],[GroupByKey]])*OutputTable[RecordedValue])),0)</f>
        <v>5.6064597781178692E-2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5" cm="1">
        <f t="array" ref="O15">MIN(IF((OutputTable[GroupByKey]=OutputTable[[#This Row],[GroupByKey]]),(OutputTable[GroupByKey]=OutputTable[[#This Row],[GroupByKey]])*OutputTable[RecordedValue]))</f>
        <v>0.17429991311555901</v>
      </c>
      <c r="P15" cm="1">
        <f t="array" ref="P15">MAX(IF((OutputTable[GroupByKey]=OutputTable[[#This Row],[GroupByKey]]),(OutputTable[GroupByKey]=OutputTable[[#This Row],[GroupByKey]])*OutputTable[RecordedValue]))</f>
        <v>0.39832749227786501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65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53.7</v>
      </c>
      <c r="L16" cm="1">
        <f t="array" ref="L16">IFERROR(_xlfn.STDEV.S(IF((OutputTable[GroupByKey]=OutputTable[[#This Row],[GroupByKey]]),(OutputTable[GroupByKey]=OutputTable[[#This Row],[GroupByKey]])*OutputTable[RecordedValue])),0)</f>
        <v>8.0221675633081357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6" cm="1">
        <f t="array" ref="O16">MIN(IF((OutputTable[GroupByKey]=OutputTable[[#This Row],[GroupByKey]]),(OutputTable[GroupByKey]=OutputTable[[#This Row],[GroupByKey]])*OutputTable[RecordedValue]))</f>
        <v>37</v>
      </c>
      <c r="P16" cm="1">
        <f t="array" ref="P16">MAX(IF((OutputTable[GroupByKey]=OutputTable[[#This Row],[GroupByKey]]),(OutputTable[GroupByKey]=OutputTable[[#This Row],[GroupByKey]])*OutputTable[RecordedValue]))</f>
        <v>65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59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54.43333333333333</v>
      </c>
      <c r="L17" cm="1">
        <f t="array" ref="L17">IFERROR(_xlfn.STDEV.S(IF((OutputTable[GroupByKey]=OutputTable[[#This Row],[GroupByKey]]),(OutputTable[GroupByKey]=OutputTable[[#This Row],[GroupByKey]])*OutputTable[RecordedValue])),0)</f>
        <v>8.0587640591420477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7" cm="1">
        <f t="array" ref="O17">MIN(IF((OutputTable[GroupByKey]=OutputTable[[#This Row],[GroupByKey]]),(OutputTable[GroupByKey]=OutputTable[[#This Row],[GroupByKey]])*OutputTable[RecordedValue]))</f>
        <v>37</v>
      </c>
      <c r="P17" cm="1">
        <f t="array" ref="P17">MAX(IF((OutputTable[GroupByKey]=OutputTable[[#This Row],[GroupByKey]]),(OutputTable[GroupByKey]=OutputTable[[#This Row],[GroupByKey]])*OutputTable[RecordedValue]))</f>
        <v>67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59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53.7</v>
      </c>
      <c r="L18" cm="1">
        <f t="array" ref="L18">IFERROR(_xlfn.STDEV.S(IF((OutputTable[GroupByKey]=OutputTable[[#This Row],[GroupByKey]]),(OutputTable[GroupByKey]=OutputTable[[#This Row],[GroupByKey]])*OutputTable[RecordedValue])),0)</f>
        <v>8.0221675633081357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8" cm="1">
        <f t="array" ref="O18">MIN(IF((OutputTable[GroupByKey]=OutputTable[[#This Row],[GroupByKey]]),(OutputTable[GroupByKey]=OutputTable[[#This Row],[GroupByKey]])*OutputTable[RecordedValue]))</f>
        <v>37</v>
      </c>
      <c r="P18" cm="1">
        <f t="array" ref="P18">MAX(IF((OutputTable[GroupByKey]=OutputTable[[#This Row],[GroupByKey]]),(OutputTable[GroupByKey]=OutputTable[[#This Row],[GroupByKey]])*OutputTable[RecordedValue]))</f>
        <v>65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59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54.43333333333333</v>
      </c>
      <c r="L19" cm="1">
        <f t="array" ref="L19">IFERROR(_xlfn.STDEV.S(IF((OutputTable[GroupByKey]=OutputTable[[#This Row],[GroupByKey]]),(OutputTable[GroupByKey]=OutputTable[[#This Row],[GroupByKey]])*OutputTable[RecordedValue])),0)</f>
        <v>8.0587640591420477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9" cm="1">
        <f t="array" ref="O19">MIN(IF((OutputTable[GroupByKey]=OutputTable[[#This Row],[GroupByKey]]),(OutputTable[GroupByKey]=OutputTable[[#This Row],[GroupByKey]])*OutputTable[RecordedValue]))</f>
        <v>37</v>
      </c>
      <c r="P19" cm="1">
        <f t="array" ref="P19">MAX(IF((OutputTable[GroupByKey]=OutputTable[[#This Row],[GroupByKey]]),(OutputTable[GroupByKey]=OutputTable[[#This Row],[GroupByKey]])*OutputTable[RecordedValue]))</f>
        <v>67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0.35434609517367499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0.27413207792969679</v>
      </c>
      <c r="L20" cm="1">
        <f t="array" ref="L20">IFERROR(_xlfn.STDEV.S(IF((OutputTable[GroupByKey]=OutputTable[[#This Row],[GroupByKey]]),(OutputTable[GroupByKey]=OutputTable[[#This Row],[GroupByKey]])*OutputTable[RecordedValue])),0)</f>
        <v>5.6064597781178692E-2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20" cm="1">
        <f t="array" ref="O20">MIN(IF((OutputTable[GroupByKey]=OutputTable[[#This Row],[GroupByKey]]),(OutputTable[GroupByKey]=OutputTable[[#This Row],[GroupByKey]])*OutputTable[RecordedValue]))</f>
        <v>0.17429991311555901</v>
      </c>
      <c r="P20" cm="1">
        <f t="array" ref="P20">MAX(IF((OutputTable[GroupByKey]=OutputTable[[#This Row],[GroupByKey]]),(OutputTable[GroupByKey]=OutputTable[[#This Row],[GroupByKey]])*OutputTable[RecordedValue]))</f>
        <v>0.39832749227786501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59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53.7</v>
      </c>
      <c r="L21" cm="1">
        <f t="array" ref="L21">IFERROR(_xlfn.STDEV.S(IF((OutputTable[GroupByKey]=OutputTable[[#This Row],[GroupByKey]]),(OutputTable[GroupByKey]=OutputTable[[#This Row],[GroupByKey]])*OutputTable[RecordedValue])),0)</f>
        <v>8.0221675633081357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21" cm="1">
        <f t="array" ref="O21">MIN(IF((OutputTable[GroupByKey]=OutputTable[[#This Row],[GroupByKey]]),(OutputTable[GroupByKey]=OutputTable[[#This Row],[GroupByKey]])*OutputTable[RecordedValue]))</f>
        <v>37</v>
      </c>
      <c r="P21" cm="1">
        <f t="array" ref="P21">MAX(IF((OutputTable[GroupByKey]=OutputTable[[#This Row],[GroupByKey]]),(OutputTable[GroupByKey]=OutputTable[[#This Row],[GroupByKey]])*OutputTable[RecordedValue]))</f>
        <v>65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59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54.43333333333333</v>
      </c>
      <c r="L22" cm="1">
        <f t="array" ref="L22">IFERROR(_xlfn.STDEV.S(IF((OutputTable[GroupByKey]=OutputTable[[#This Row],[GroupByKey]]),(OutputTable[GroupByKey]=OutputTable[[#This Row],[GroupByKey]])*OutputTable[RecordedValue])),0)</f>
        <v>8.0587640591420477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22" cm="1">
        <f t="array" ref="O22">MIN(IF((OutputTable[GroupByKey]=OutputTable[[#This Row],[GroupByKey]]),(OutputTable[GroupByKey]=OutputTable[[#This Row],[GroupByKey]])*OutputTable[RecordedValue]))</f>
        <v>37</v>
      </c>
      <c r="P22" cm="1">
        <f t="array" ref="P22">MAX(IF((OutputTable[GroupByKey]=OutputTable[[#This Row],[GroupByKey]]),(OutputTable[GroupByKey]=OutputTable[[#This Row],[GroupByKey]])*OutputTable[RecordedValue]))</f>
        <v>67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57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53.7</v>
      </c>
      <c r="L23" cm="1">
        <f t="array" ref="L23">IFERROR(_xlfn.STDEV.S(IF((OutputTable[GroupByKey]=OutputTable[[#This Row],[GroupByKey]]),(OutputTable[GroupByKey]=OutputTable[[#This Row],[GroupByKey]])*OutputTable[RecordedValue])),0)</f>
        <v>8.0221675633081357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23" cm="1">
        <f t="array" ref="O23">MIN(IF((OutputTable[GroupByKey]=OutputTable[[#This Row],[GroupByKey]]),(OutputTable[GroupByKey]=OutputTable[[#This Row],[GroupByKey]])*OutputTable[RecordedValue]))</f>
        <v>37</v>
      </c>
      <c r="P23" cm="1">
        <f t="array" ref="P23">MAX(IF((OutputTable[GroupByKey]=OutputTable[[#This Row],[GroupByKey]]),(OutputTable[GroupByKey]=OutputTable[[#This Row],[GroupByKey]])*OutputTable[RecordedValue]))</f>
        <v>65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59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54.43333333333333</v>
      </c>
      <c r="L24" cm="1">
        <f t="array" ref="L24">IFERROR(_xlfn.STDEV.S(IF((OutputTable[GroupByKey]=OutputTable[[#This Row],[GroupByKey]]),(OutputTable[GroupByKey]=OutputTable[[#This Row],[GroupByKey]])*OutputTable[RecordedValue])),0)</f>
        <v>8.0587640591420477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24" cm="1">
        <f t="array" ref="O24">MIN(IF((OutputTable[GroupByKey]=OutputTable[[#This Row],[GroupByKey]]),(OutputTable[GroupByKey]=OutputTable[[#This Row],[GroupByKey]])*OutputTable[RecordedValue]))</f>
        <v>37</v>
      </c>
      <c r="P24" cm="1">
        <f t="array" ref="P24">MAX(IF((OutputTable[GroupByKey]=OutputTable[[#This Row],[GroupByKey]]),(OutputTable[GroupByKey]=OutputTable[[#This Row],[GroupByKey]])*OutputTable[RecordedValue]))</f>
        <v>67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0.221126211307141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0.27413207792969679</v>
      </c>
      <c r="L25" cm="1">
        <f t="array" ref="L25">IFERROR(_xlfn.STDEV.S(IF((OutputTable[GroupByKey]=OutputTable[[#This Row],[GroupByKey]]),(OutputTable[GroupByKey]=OutputTable[[#This Row],[GroupByKey]])*OutputTable[RecordedValue])),0)</f>
        <v>5.6064597781178692E-2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25" cm="1">
        <f t="array" ref="O25">MIN(IF((OutputTable[GroupByKey]=OutputTable[[#This Row],[GroupByKey]]),(OutputTable[GroupByKey]=OutputTable[[#This Row],[GroupByKey]])*OutputTable[RecordedValue]))</f>
        <v>0.17429991311555901</v>
      </c>
      <c r="P25" cm="1">
        <f t="array" ref="P25">MAX(IF((OutputTable[GroupByKey]=OutputTable[[#This Row],[GroupByKey]]),(OutputTable[GroupByKey]=OutputTable[[#This Row],[GroupByKey]])*OutputTable[RecordedValue]))</f>
        <v>0.39832749227786501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57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53.7</v>
      </c>
      <c r="L26" cm="1">
        <f t="array" ref="L26">IFERROR(_xlfn.STDEV.S(IF((OutputTable[GroupByKey]=OutputTable[[#This Row],[GroupByKey]]),(OutputTable[GroupByKey]=OutputTable[[#This Row],[GroupByKey]])*OutputTable[RecordedValue])),0)</f>
        <v>8.0221675633081357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26" cm="1">
        <f t="array" ref="O26">MIN(IF((OutputTable[GroupByKey]=OutputTable[[#This Row],[GroupByKey]]),(OutputTable[GroupByKey]=OutputTable[[#This Row],[GroupByKey]])*OutputTable[RecordedValue]))</f>
        <v>37</v>
      </c>
      <c r="P26" cm="1">
        <f t="array" ref="P26">MAX(IF((OutputTable[GroupByKey]=OutputTable[[#This Row],[GroupByKey]]),(OutputTable[GroupByKey]=OutputTable[[#This Row],[GroupByKey]])*OutputTable[RecordedValue]))</f>
        <v>65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52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54.43333333333333</v>
      </c>
      <c r="L27" cm="1">
        <f t="array" ref="L27">IFERROR(_xlfn.STDEV.S(IF((OutputTable[GroupByKey]=OutputTable[[#This Row],[GroupByKey]]),(OutputTable[GroupByKey]=OutputTable[[#This Row],[GroupByKey]])*OutputTable[RecordedValue])),0)</f>
        <v>8.0587640591420477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27" cm="1">
        <f t="array" ref="O27">MIN(IF((OutputTable[GroupByKey]=OutputTable[[#This Row],[GroupByKey]]),(OutputTable[GroupByKey]=OutputTable[[#This Row],[GroupByKey]])*OutputTable[RecordedValue]))</f>
        <v>37</v>
      </c>
      <c r="P27" cm="1">
        <f t="array" ref="P27">MAX(IF((OutputTable[GroupByKey]=OutputTable[[#This Row],[GroupByKey]]),(OutputTable[GroupByKey]=OutputTable[[#This Row],[GroupByKey]])*OutputTable[RecordedValue]))</f>
        <v>67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52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53.7</v>
      </c>
      <c r="L28" cm="1">
        <f t="array" ref="L28">IFERROR(_xlfn.STDEV.S(IF((OutputTable[GroupByKey]=OutputTable[[#This Row],[GroupByKey]]),(OutputTable[GroupByKey]=OutputTable[[#This Row],[GroupByKey]])*OutputTable[RecordedValue])),0)</f>
        <v>8.0221675633081357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28" cm="1">
        <f t="array" ref="O28">MIN(IF((OutputTable[GroupByKey]=OutputTable[[#This Row],[GroupByKey]]),(OutputTable[GroupByKey]=OutputTable[[#This Row],[GroupByKey]])*OutputTable[RecordedValue]))</f>
        <v>37</v>
      </c>
      <c r="P28" cm="1">
        <f t="array" ref="P28">MAX(IF((OutputTable[GroupByKey]=OutputTable[[#This Row],[GroupByKey]]),(OutputTable[GroupByKey]=OutputTable[[#This Row],[GroupByKey]])*OutputTable[RecordedValue]))</f>
        <v>65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52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54.43333333333333</v>
      </c>
      <c r="L29" cm="1">
        <f t="array" ref="L29">IFERROR(_xlfn.STDEV.S(IF((OutputTable[GroupByKey]=OutputTable[[#This Row],[GroupByKey]]),(OutputTable[GroupByKey]=OutputTable[[#This Row],[GroupByKey]])*OutputTable[RecordedValue])),0)</f>
        <v>8.0587640591420477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29" cm="1">
        <f t="array" ref="O29">MIN(IF((OutputTable[GroupByKey]=OutputTable[[#This Row],[GroupByKey]]),(OutputTable[GroupByKey]=OutputTable[[#This Row],[GroupByKey]])*OutputTable[RecordedValue]))</f>
        <v>37</v>
      </c>
      <c r="P29" cm="1">
        <f t="array" ref="P29">MAX(IF((OutputTable[GroupByKey]=OutputTable[[#This Row],[GroupByKey]]),(OutputTable[GroupByKey]=OutputTable[[#This Row],[GroupByKey]])*OutputTable[RecordedValue]))</f>
        <v>67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0.27540467672575503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0.27413207792969679</v>
      </c>
      <c r="L30" cm="1">
        <f t="array" ref="L30">IFERROR(_xlfn.STDEV.S(IF((OutputTable[GroupByKey]=OutputTable[[#This Row],[GroupByKey]]),(OutputTable[GroupByKey]=OutputTable[[#This Row],[GroupByKey]])*OutputTable[RecordedValue])),0)</f>
        <v>5.6064597781178692E-2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30" cm="1">
        <f t="array" ref="O30">MIN(IF((OutputTable[GroupByKey]=OutputTable[[#This Row],[GroupByKey]]),(OutputTable[GroupByKey]=OutputTable[[#This Row],[GroupByKey]])*OutputTable[RecordedValue]))</f>
        <v>0.17429991311555901</v>
      </c>
      <c r="P30" cm="1">
        <f t="array" ref="P30">MAX(IF((OutputTable[GroupByKey]=OutputTable[[#This Row],[GroupByKey]]),(OutputTable[GroupByKey]=OutputTable[[#This Row],[GroupByKey]])*OutputTable[RecordedValue]))</f>
        <v>0.39832749227786501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52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53.7</v>
      </c>
      <c r="L31" cm="1">
        <f t="array" ref="L31">IFERROR(_xlfn.STDEV.S(IF((OutputTable[GroupByKey]=OutputTable[[#This Row],[GroupByKey]]),(OutputTable[GroupByKey]=OutputTable[[#This Row],[GroupByKey]])*OutputTable[RecordedValue])),0)</f>
        <v>8.0221675633081357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31" cm="1">
        <f t="array" ref="O31">MIN(IF((OutputTable[GroupByKey]=OutputTable[[#This Row],[GroupByKey]]),(OutputTable[GroupByKey]=OutputTable[[#This Row],[GroupByKey]])*OutputTable[RecordedValue]))</f>
        <v>37</v>
      </c>
      <c r="P31" cm="1">
        <f t="array" ref="P31">MAX(IF((OutputTable[GroupByKey]=OutputTable[[#This Row],[GroupByKey]]),(OutputTable[GroupByKey]=OutputTable[[#This Row],[GroupByKey]])*OutputTable[RecordedValue]))</f>
        <v>65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44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54.43333333333333</v>
      </c>
      <c r="L32" cm="1">
        <f t="array" ref="L32">IFERROR(_xlfn.STDEV.S(IF((OutputTable[GroupByKey]=OutputTable[[#This Row],[GroupByKey]]),(OutputTable[GroupByKey]=OutputTable[[#This Row],[GroupByKey]])*OutputTable[RecordedValue])),0)</f>
        <v>8.0587640591420477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32" cm="1">
        <f t="array" ref="O32">MIN(IF((OutputTable[GroupByKey]=OutputTable[[#This Row],[GroupByKey]]),(OutputTable[GroupByKey]=OutputTable[[#This Row],[GroupByKey]])*OutputTable[RecordedValue]))</f>
        <v>37</v>
      </c>
      <c r="P32" cm="1">
        <f t="array" ref="P32">MAX(IF((OutputTable[GroupByKey]=OutputTable[[#This Row],[GroupByKey]]),(OutputTable[GroupByKey]=OutputTable[[#This Row],[GroupByKey]])*OutputTable[RecordedValue]))</f>
        <v>67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44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53.7</v>
      </c>
      <c r="L33" cm="1">
        <f t="array" ref="L33">IFERROR(_xlfn.STDEV.S(IF((OutputTable[GroupByKey]=OutputTable[[#This Row],[GroupByKey]]),(OutputTable[GroupByKey]=OutputTable[[#This Row],[GroupByKey]])*OutputTable[RecordedValue])),0)</f>
        <v>8.0221675633081357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33" cm="1">
        <f t="array" ref="O33">MIN(IF((OutputTable[GroupByKey]=OutputTable[[#This Row],[GroupByKey]]),(OutputTable[GroupByKey]=OutputTable[[#This Row],[GroupByKey]])*OutputTable[RecordedValue]))</f>
        <v>37</v>
      </c>
      <c r="P33" cm="1">
        <f t="array" ref="P33">MAX(IF((OutputTable[GroupByKey]=OutputTable[[#This Row],[GroupByKey]]),(OutputTable[GroupByKey]=OutputTable[[#This Row],[GroupByKey]])*OutputTable[RecordedValue]))</f>
        <v>65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44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54.43333333333333</v>
      </c>
      <c r="L34" cm="1">
        <f t="array" ref="L34">IFERROR(_xlfn.STDEV.S(IF((OutputTable[GroupByKey]=OutputTable[[#This Row],[GroupByKey]]),(OutputTable[GroupByKey]=OutputTable[[#This Row],[GroupByKey]])*OutputTable[RecordedValue])),0)</f>
        <v>8.0587640591420477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34" cm="1">
        <f t="array" ref="O34">MIN(IF((OutputTable[GroupByKey]=OutputTable[[#This Row],[GroupByKey]]),(OutputTable[GroupByKey]=OutputTable[[#This Row],[GroupByKey]])*OutputTable[RecordedValue]))</f>
        <v>37</v>
      </c>
      <c r="P34" cm="1">
        <f t="array" ref="P34">MAX(IF((OutputTable[GroupByKey]=OutputTable[[#This Row],[GroupByKey]]),(OutputTable[GroupByKey]=OutputTable[[#This Row],[GroupByKey]])*OutputTable[RecordedValue]))</f>
        <v>67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0.263038717038517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0.27413207792969679</v>
      </c>
      <c r="L35" cm="1">
        <f t="array" ref="L35">IFERROR(_xlfn.STDEV.S(IF((OutputTable[GroupByKey]=OutputTable[[#This Row],[GroupByKey]]),(OutputTable[GroupByKey]=OutputTable[[#This Row],[GroupByKey]])*OutputTable[RecordedValue])),0)</f>
        <v>5.6064597781178692E-2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35" cm="1">
        <f t="array" ref="O35">MIN(IF((OutputTable[GroupByKey]=OutputTable[[#This Row],[GroupByKey]]),(OutputTable[GroupByKey]=OutputTable[[#This Row],[GroupByKey]])*OutputTable[RecordedValue]))</f>
        <v>0.17429991311555901</v>
      </c>
      <c r="P35" cm="1">
        <f t="array" ref="P35">MAX(IF((OutputTable[GroupByKey]=OutputTable[[#This Row],[GroupByKey]]),(OutputTable[GroupByKey]=OutputTable[[#This Row],[GroupByKey]])*OutputTable[RecordedValue]))</f>
        <v>0.39832749227786501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44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53.7</v>
      </c>
      <c r="L36" cm="1">
        <f t="array" ref="L36">IFERROR(_xlfn.STDEV.S(IF((OutputTable[GroupByKey]=OutputTable[[#This Row],[GroupByKey]]),(OutputTable[GroupByKey]=OutputTable[[#This Row],[GroupByKey]])*OutputTable[RecordedValue])),0)</f>
        <v>8.0221675633081357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36" cm="1">
        <f t="array" ref="O36">MIN(IF((OutputTable[GroupByKey]=OutputTable[[#This Row],[GroupByKey]]),(OutputTable[GroupByKey]=OutputTable[[#This Row],[GroupByKey]])*OutputTable[RecordedValue]))</f>
        <v>37</v>
      </c>
      <c r="P36" cm="1">
        <f t="array" ref="P36">MAX(IF((OutputTable[GroupByKey]=OutputTable[[#This Row],[GroupByKey]]),(OutputTable[GroupByKey]=OutputTable[[#This Row],[GroupByKey]])*OutputTable[RecordedValue]))</f>
        <v>65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41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54.43333333333333</v>
      </c>
      <c r="L37" cm="1">
        <f t="array" ref="L37">IFERROR(_xlfn.STDEV.S(IF((OutputTable[GroupByKey]=OutputTable[[#This Row],[GroupByKey]]),(OutputTable[GroupByKey]=OutputTable[[#This Row],[GroupByKey]])*OutputTable[RecordedValue])),0)</f>
        <v>8.0587640591420477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37" cm="1">
        <f t="array" ref="O37">MIN(IF((OutputTable[GroupByKey]=OutputTable[[#This Row],[GroupByKey]]),(OutputTable[GroupByKey]=OutputTable[[#This Row],[GroupByKey]])*OutputTable[RecordedValue]))</f>
        <v>37</v>
      </c>
      <c r="P37" cm="1">
        <f t="array" ref="P37">MAX(IF((OutputTable[GroupByKey]=OutputTable[[#This Row],[GroupByKey]]),(OutputTable[GroupByKey]=OutputTable[[#This Row],[GroupByKey]])*OutputTable[RecordedValue]))</f>
        <v>67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41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53.7</v>
      </c>
      <c r="L38" cm="1">
        <f t="array" ref="L38">IFERROR(_xlfn.STDEV.S(IF((OutputTable[GroupByKey]=OutputTable[[#This Row],[GroupByKey]]),(OutputTable[GroupByKey]=OutputTable[[#This Row],[GroupByKey]])*OutputTable[RecordedValue])),0)</f>
        <v>8.0221675633081357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38" cm="1">
        <f t="array" ref="O38">MIN(IF((OutputTable[GroupByKey]=OutputTable[[#This Row],[GroupByKey]]),(OutputTable[GroupByKey]=OutputTable[[#This Row],[GroupByKey]])*OutputTable[RecordedValue]))</f>
        <v>37</v>
      </c>
      <c r="P38" cm="1">
        <f t="array" ref="P38">MAX(IF((OutputTable[GroupByKey]=OutputTable[[#This Row],[GroupByKey]]),(OutputTable[GroupByKey]=OutputTable[[#This Row],[GroupByKey]])*OutputTable[RecordedValue]))</f>
        <v>65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41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54.43333333333333</v>
      </c>
      <c r="L39" cm="1">
        <f t="array" ref="L39">IFERROR(_xlfn.STDEV.S(IF((OutputTable[GroupByKey]=OutputTable[[#This Row],[GroupByKey]]),(OutputTable[GroupByKey]=OutputTable[[#This Row],[GroupByKey]])*OutputTable[RecordedValue])),0)</f>
        <v>8.0587640591420477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39" cm="1">
        <f t="array" ref="O39">MIN(IF((OutputTable[GroupByKey]=OutputTable[[#This Row],[GroupByKey]]),(OutputTable[GroupByKey]=OutputTable[[#This Row],[GroupByKey]])*OutputTable[RecordedValue]))</f>
        <v>37</v>
      </c>
      <c r="P39" cm="1">
        <f t="array" ref="P39">MAX(IF((OutputTable[GroupByKey]=OutputTable[[#This Row],[GroupByKey]]),(OutputTable[GroupByKey]=OutputTable[[#This Row],[GroupByKey]])*OutputTable[RecordedValue]))</f>
        <v>67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0.23781548935407301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0.27413207792969679</v>
      </c>
      <c r="L40" cm="1">
        <f t="array" ref="L40">IFERROR(_xlfn.STDEV.S(IF((OutputTable[GroupByKey]=OutputTable[[#This Row],[GroupByKey]]),(OutputTable[GroupByKey]=OutputTable[[#This Row],[GroupByKey]])*OutputTable[RecordedValue])),0)</f>
        <v>5.6064597781178692E-2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40" cm="1">
        <f t="array" ref="O40">MIN(IF((OutputTable[GroupByKey]=OutputTable[[#This Row],[GroupByKey]]),(OutputTable[GroupByKey]=OutputTable[[#This Row],[GroupByKey]])*OutputTable[RecordedValue]))</f>
        <v>0.17429991311555901</v>
      </c>
      <c r="P40" cm="1">
        <f t="array" ref="P40">MAX(IF((OutputTable[GroupByKey]=OutputTable[[#This Row],[GroupByKey]]),(OutputTable[GroupByKey]=OutputTable[[#This Row],[GroupByKey]])*OutputTable[RecordedValue]))</f>
        <v>0.39832749227786501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41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53.7</v>
      </c>
      <c r="L41" cm="1">
        <f t="array" ref="L41">IFERROR(_xlfn.STDEV.S(IF((OutputTable[GroupByKey]=OutputTable[[#This Row],[GroupByKey]]),(OutputTable[GroupByKey]=OutputTable[[#This Row],[GroupByKey]])*OutputTable[RecordedValue])),0)</f>
        <v>8.0221675633081357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41" cm="1">
        <f t="array" ref="O41">MIN(IF((OutputTable[GroupByKey]=OutputTable[[#This Row],[GroupByKey]]),(OutputTable[GroupByKey]=OutputTable[[#This Row],[GroupByKey]])*OutputTable[RecordedValue]))</f>
        <v>37</v>
      </c>
      <c r="P41" cm="1">
        <f t="array" ref="P41">MAX(IF((OutputTable[GroupByKey]=OutputTable[[#This Row],[GroupByKey]]),(OutputTable[GroupByKey]=OutputTable[[#This Row],[GroupByKey]])*OutputTable[RecordedValue]))</f>
        <v>65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62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54.43333333333333</v>
      </c>
      <c r="L42" cm="1">
        <f t="array" ref="L42">IFERROR(_xlfn.STDEV.S(IF((OutputTable[GroupByKey]=OutputTable[[#This Row],[GroupByKey]]),(OutputTable[GroupByKey]=OutputTable[[#This Row],[GroupByKey]])*OutputTable[RecordedValue])),0)</f>
        <v>8.0587640591420477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42" cm="1">
        <f t="array" ref="O42">MIN(IF((OutputTable[GroupByKey]=OutputTable[[#This Row],[GroupByKey]]),(OutputTable[GroupByKey]=OutputTable[[#This Row],[GroupByKey]])*OutputTable[RecordedValue]))</f>
        <v>37</v>
      </c>
      <c r="P42" cm="1">
        <f t="array" ref="P42">MAX(IF((OutputTable[GroupByKey]=OutputTable[[#This Row],[GroupByKey]]),(OutputTable[GroupByKey]=OutputTable[[#This Row],[GroupByKey]])*OutputTable[RecordedValue]))</f>
        <v>67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62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53.7</v>
      </c>
      <c r="L43" cm="1">
        <f t="array" ref="L43">IFERROR(_xlfn.STDEV.S(IF((OutputTable[GroupByKey]=OutputTable[[#This Row],[GroupByKey]]),(OutputTable[GroupByKey]=OutputTable[[#This Row],[GroupByKey]])*OutputTable[RecordedValue])),0)</f>
        <v>8.0221675633081357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43" cm="1">
        <f t="array" ref="O43">MIN(IF((OutputTable[GroupByKey]=OutputTable[[#This Row],[GroupByKey]]),(OutputTable[GroupByKey]=OutputTable[[#This Row],[GroupByKey]])*OutputTable[RecordedValue]))</f>
        <v>37</v>
      </c>
      <c r="P43" cm="1">
        <f t="array" ref="P43">MAX(IF((OutputTable[GroupByKey]=OutputTable[[#This Row],[GroupByKey]]),(OutputTable[GroupByKey]=OutputTable[[#This Row],[GroupByKey]])*OutputTable[RecordedValue]))</f>
        <v>65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62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54.43333333333333</v>
      </c>
      <c r="L44" cm="1">
        <f t="array" ref="L44">IFERROR(_xlfn.STDEV.S(IF((OutputTable[GroupByKey]=OutputTable[[#This Row],[GroupByKey]]),(OutputTable[GroupByKey]=OutputTable[[#This Row],[GroupByKey]])*OutputTable[RecordedValue])),0)</f>
        <v>8.0587640591420477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44" cm="1">
        <f t="array" ref="O44">MIN(IF((OutputTable[GroupByKey]=OutputTable[[#This Row],[GroupByKey]]),(OutputTable[GroupByKey]=OutputTable[[#This Row],[GroupByKey]])*OutputTable[RecordedValue]))</f>
        <v>37</v>
      </c>
      <c r="P44" cm="1">
        <f t="array" ref="P44">MAX(IF((OutputTable[GroupByKey]=OutputTable[[#This Row],[GroupByKey]]),(OutputTable[GroupByKey]=OutputTable[[#This Row],[GroupByKey]])*OutputTable[RecordedValue]))</f>
        <v>67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0.26804577488452702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0.27413207792969679</v>
      </c>
      <c r="L45" cm="1">
        <f t="array" ref="L45">IFERROR(_xlfn.STDEV.S(IF((OutputTable[GroupByKey]=OutputTable[[#This Row],[GroupByKey]]),(OutputTable[GroupByKey]=OutputTable[[#This Row],[GroupByKey]])*OutputTable[RecordedValue])),0)</f>
        <v>5.6064597781178692E-2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45" cm="1">
        <f t="array" ref="O45">MIN(IF((OutputTable[GroupByKey]=OutputTable[[#This Row],[GroupByKey]]),(OutputTable[GroupByKey]=OutputTable[[#This Row],[GroupByKey]])*OutputTable[RecordedValue]))</f>
        <v>0.17429991311555901</v>
      </c>
      <c r="P45" cm="1">
        <f t="array" ref="P45">MAX(IF((OutputTable[GroupByKey]=OutputTable[[#This Row],[GroupByKey]]),(OutputTable[GroupByKey]=OutputTable[[#This Row],[GroupByKey]])*OutputTable[RecordedValue]))</f>
        <v>0.39832749227786501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62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53.7</v>
      </c>
      <c r="L46" cm="1">
        <f t="array" ref="L46">IFERROR(_xlfn.STDEV.S(IF((OutputTable[GroupByKey]=OutputTable[[#This Row],[GroupByKey]]),(OutputTable[GroupByKey]=OutputTable[[#This Row],[GroupByKey]])*OutputTable[RecordedValue])),0)</f>
        <v>8.0221675633081357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46" cm="1">
        <f t="array" ref="O46">MIN(IF((OutputTable[GroupByKey]=OutputTable[[#This Row],[GroupByKey]]),(OutputTable[GroupByKey]=OutputTable[[#This Row],[GroupByKey]])*OutputTable[RecordedValue]))</f>
        <v>37</v>
      </c>
      <c r="P46" cm="1">
        <f t="array" ref="P46">MAX(IF((OutputTable[GroupByKey]=OutputTable[[#This Row],[GroupByKey]]),(OutputTable[GroupByKey]=OutputTable[[#This Row],[GroupByKey]])*OutputTable[RecordedValue]))</f>
        <v>65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50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54.43333333333333</v>
      </c>
      <c r="L47" cm="1">
        <f t="array" ref="L47">IFERROR(_xlfn.STDEV.S(IF((OutputTable[GroupByKey]=OutputTable[[#This Row],[GroupByKey]]),(OutputTable[GroupByKey]=OutputTable[[#This Row],[GroupByKey]])*OutputTable[RecordedValue])),0)</f>
        <v>8.0587640591420477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47" cm="1">
        <f t="array" ref="O47">MIN(IF((OutputTable[GroupByKey]=OutputTable[[#This Row],[GroupByKey]]),(OutputTable[GroupByKey]=OutputTable[[#This Row],[GroupByKey]])*OutputTable[RecordedValue]))</f>
        <v>37</v>
      </c>
      <c r="P47" cm="1">
        <f t="array" ref="P47">MAX(IF((OutputTable[GroupByKey]=OutputTable[[#This Row],[GroupByKey]]),(OutputTable[GroupByKey]=OutputTable[[#This Row],[GroupByKey]])*OutputTable[RecordedValue]))</f>
        <v>67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50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53.7</v>
      </c>
      <c r="L48" cm="1">
        <f t="array" ref="L48">IFERROR(_xlfn.STDEV.S(IF((OutputTable[GroupByKey]=OutputTable[[#This Row],[GroupByKey]]),(OutputTable[GroupByKey]=OutputTable[[#This Row],[GroupByKey]])*OutputTable[RecordedValue])),0)</f>
        <v>8.0221675633081357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48" cm="1">
        <f t="array" ref="O48">MIN(IF((OutputTable[GroupByKey]=OutputTable[[#This Row],[GroupByKey]]),(OutputTable[GroupByKey]=OutputTable[[#This Row],[GroupByKey]])*OutputTable[RecordedValue]))</f>
        <v>37</v>
      </c>
      <c r="P48" cm="1">
        <f t="array" ref="P48">MAX(IF((OutputTable[GroupByKey]=OutputTable[[#This Row],[GroupByKey]]),(OutputTable[GroupByKey]=OutputTable[[#This Row],[GroupByKey]])*OutputTable[RecordedValue]))</f>
        <v>65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50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54.43333333333333</v>
      </c>
      <c r="L49" cm="1">
        <f t="array" ref="L49">IFERROR(_xlfn.STDEV.S(IF((OutputTable[GroupByKey]=OutputTable[[#This Row],[GroupByKey]]),(OutputTable[GroupByKey]=OutputTable[[#This Row],[GroupByKey]])*OutputTable[RecordedValue])),0)</f>
        <v>8.0587640591420477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49" cm="1">
        <f t="array" ref="O49">MIN(IF((OutputTable[GroupByKey]=OutputTable[[#This Row],[GroupByKey]]),(OutputTable[GroupByKey]=OutputTable[[#This Row],[GroupByKey]])*OutputTable[RecordedValue]))</f>
        <v>37</v>
      </c>
      <c r="P49" cm="1">
        <f t="array" ref="P49">MAX(IF((OutputTable[GroupByKey]=OutputTable[[#This Row],[GroupByKey]]),(OutputTable[GroupByKey]=OutputTable[[#This Row],[GroupByKey]])*OutputTable[RecordedValue]))</f>
        <v>67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0.20076879964266101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0.27413207792969679</v>
      </c>
      <c r="L50" cm="1">
        <f t="array" ref="L50">IFERROR(_xlfn.STDEV.S(IF((OutputTable[GroupByKey]=OutputTable[[#This Row],[GroupByKey]]),(OutputTable[GroupByKey]=OutputTable[[#This Row],[GroupByKey]])*OutputTable[RecordedValue])),0)</f>
        <v>5.6064597781178692E-2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50" cm="1">
        <f t="array" ref="O50">MIN(IF((OutputTable[GroupByKey]=OutputTable[[#This Row],[GroupByKey]]),(OutputTable[GroupByKey]=OutputTable[[#This Row],[GroupByKey]])*OutputTable[RecordedValue]))</f>
        <v>0.17429991311555901</v>
      </c>
      <c r="P50" cm="1">
        <f t="array" ref="P50">MAX(IF((OutputTable[GroupByKey]=OutputTable[[#This Row],[GroupByKey]]),(OutputTable[GroupByKey]=OutputTable[[#This Row],[GroupByKey]])*OutputTable[RecordedValue]))</f>
        <v>0.39832749227786501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50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53.7</v>
      </c>
      <c r="L51" cm="1">
        <f t="array" ref="L51">IFERROR(_xlfn.STDEV.S(IF((OutputTable[GroupByKey]=OutputTable[[#This Row],[GroupByKey]]),(OutputTable[GroupByKey]=OutputTable[[#This Row],[GroupByKey]])*OutputTable[RecordedValue])),0)</f>
        <v>8.0221675633081357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51" cm="1">
        <f t="array" ref="O51">MIN(IF((OutputTable[GroupByKey]=OutputTable[[#This Row],[GroupByKey]]),(OutputTable[GroupByKey]=OutputTable[[#This Row],[GroupByKey]])*OutputTable[RecordedValue]))</f>
        <v>37</v>
      </c>
      <c r="P51" cm="1">
        <f t="array" ref="P51">MAX(IF((OutputTable[GroupByKey]=OutputTable[[#This Row],[GroupByKey]]),(OutputTable[GroupByKey]=OutputTable[[#This Row],[GroupByKey]])*OutputTable[RecordedValue]))</f>
        <v>65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62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54.43333333333333</v>
      </c>
      <c r="L52" cm="1">
        <f t="array" ref="L52">IFERROR(_xlfn.STDEV.S(IF((OutputTable[GroupByKey]=OutputTable[[#This Row],[GroupByKey]]),(OutputTable[GroupByKey]=OutputTable[[#This Row],[GroupByKey]])*OutputTable[RecordedValue])),0)</f>
        <v>8.0587640591420477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52" cm="1">
        <f t="array" ref="O52">MIN(IF((OutputTable[GroupByKey]=OutputTable[[#This Row],[GroupByKey]]),(OutputTable[GroupByKey]=OutputTable[[#This Row],[GroupByKey]])*OutputTable[RecordedValue]))</f>
        <v>37</v>
      </c>
      <c r="P52" cm="1">
        <f t="array" ref="P52">MAX(IF((OutputTable[GroupByKey]=OutputTable[[#This Row],[GroupByKey]]),(OutputTable[GroupByKey]=OutputTable[[#This Row],[GroupByKey]])*OutputTable[RecordedValue]))</f>
        <v>67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62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53.7</v>
      </c>
      <c r="L53" cm="1">
        <f t="array" ref="L53">IFERROR(_xlfn.STDEV.S(IF((OutputTable[GroupByKey]=OutputTable[[#This Row],[GroupByKey]]),(OutputTable[GroupByKey]=OutputTable[[#This Row],[GroupByKey]])*OutputTable[RecordedValue])),0)</f>
        <v>8.0221675633081357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53" cm="1">
        <f t="array" ref="O53">MIN(IF((OutputTable[GroupByKey]=OutputTable[[#This Row],[GroupByKey]]),(OutputTable[GroupByKey]=OutputTable[[#This Row],[GroupByKey]])*OutputTable[RecordedValue]))</f>
        <v>37</v>
      </c>
      <c r="P53" cm="1">
        <f t="array" ref="P53">MAX(IF((OutputTable[GroupByKey]=OutputTable[[#This Row],[GroupByKey]]),(OutputTable[GroupByKey]=OutputTable[[#This Row],[GroupByKey]])*OutputTable[RecordedValue]))</f>
        <v>65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62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54.43333333333333</v>
      </c>
      <c r="L54" cm="1">
        <f t="array" ref="L54">IFERROR(_xlfn.STDEV.S(IF((OutputTable[GroupByKey]=OutputTable[[#This Row],[GroupByKey]]),(OutputTable[GroupByKey]=OutputTable[[#This Row],[GroupByKey]])*OutputTable[RecordedValue])),0)</f>
        <v>8.0587640591420477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54" cm="1">
        <f t="array" ref="O54">MIN(IF((OutputTable[GroupByKey]=OutputTable[[#This Row],[GroupByKey]]),(OutputTable[GroupByKey]=OutputTable[[#This Row],[GroupByKey]])*OutputTable[RecordedValue]))</f>
        <v>37</v>
      </c>
      <c r="P54" cm="1">
        <f t="array" ref="P54">MAX(IF((OutputTable[GroupByKey]=OutputTable[[#This Row],[GroupByKey]]),(OutputTable[GroupByKey]=OutputTable[[#This Row],[GroupByKey]])*OutputTable[RecordedValue]))</f>
        <v>67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0.28888565825919799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0.27413207792969679</v>
      </c>
      <c r="L55" cm="1">
        <f t="array" ref="L55">IFERROR(_xlfn.STDEV.S(IF((OutputTable[GroupByKey]=OutputTable[[#This Row],[GroupByKey]]),(OutputTable[GroupByKey]=OutputTable[[#This Row],[GroupByKey]])*OutputTable[RecordedValue])),0)</f>
        <v>5.6064597781178692E-2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55" cm="1">
        <f t="array" ref="O55">MIN(IF((OutputTable[GroupByKey]=OutputTable[[#This Row],[GroupByKey]]),(OutputTable[GroupByKey]=OutputTable[[#This Row],[GroupByKey]])*OutputTable[RecordedValue]))</f>
        <v>0.17429991311555901</v>
      </c>
      <c r="P55" cm="1">
        <f t="array" ref="P55">MAX(IF((OutputTable[GroupByKey]=OutputTable[[#This Row],[GroupByKey]]),(OutputTable[GroupByKey]=OutputTable[[#This Row],[GroupByKey]])*OutputTable[RecordedValue]))</f>
        <v>0.39832749227786501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62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53.7</v>
      </c>
      <c r="L56" cm="1">
        <f t="array" ref="L56">IFERROR(_xlfn.STDEV.S(IF((OutputTable[GroupByKey]=OutputTable[[#This Row],[GroupByKey]]),(OutputTable[GroupByKey]=OutputTable[[#This Row],[GroupByKey]])*OutputTable[RecordedValue])),0)</f>
        <v>8.0221675633081357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56" cm="1">
        <f t="array" ref="O56">MIN(IF((OutputTable[GroupByKey]=OutputTable[[#This Row],[GroupByKey]]),(OutputTable[GroupByKey]=OutputTable[[#This Row],[GroupByKey]])*OutputTable[RecordedValue]))</f>
        <v>37</v>
      </c>
      <c r="P56" cm="1">
        <f t="array" ref="P56">MAX(IF((OutputTable[GroupByKey]=OutputTable[[#This Row],[GroupByKey]]),(OutputTable[GroupByKey]=OutputTable[[#This Row],[GroupByKey]])*OutputTable[RecordedValue]))</f>
        <v>65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43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54.43333333333333</v>
      </c>
      <c r="L57" cm="1">
        <f t="array" ref="L57">IFERROR(_xlfn.STDEV.S(IF((OutputTable[GroupByKey]=OutputTable[[#This Row],[GroupByKey]]),(OutputTable[GroupByKey]=OutputTable[[#This Row],[GroupByKey]])*OutputTable[RecordedValue])),0)</f>
        <v>8.0587640591420477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57" cm="1">
        <f t="array" ref="O57">MIN(IF((OutputTable[GroupByKey]=OutputTable[[#This Row],[GroupByKey]]),(OutputTable[GroupByKey]=OutputTable[[#This Row],[GroupByKey]])*OutputTable[RecordedValue]))</f>
        <v>37</v>
      </c>
      <c r="P57" cm="1">
        <f t="array" ref="P57">MAX(IF((OutputTable[GroupByKey]=OutputTable[[#This Row],[GroupByKey]]),(OutputTable[GroupByKey]=OutputTable[[#This Row],[GroupByKey]])*OutputTable[RecordedValue]))</f>
        <v>67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43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53.7</v>
      </c>
      <c r="L58" cm="1">
        <f t="array" ref="L58">IFERROR(_xlfn.STDEV.S(IF((OutputTable[GroupByKey]=OutputTable[[#This Row],[GroupByKey]]),(OutputTable[GroupByKey]=OutputTable[[#This Row],[GroupByKey]])*OutputTable[RecordedValue])),0)</f>
        <v>8.0221675633081357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58" cm="1">
        <f t="array" ref="O58">MIN(IF((OutputTable[GroupByKey]=OutputTable[[#This Row],[GroupByKey]]),(OutputTable[GroupByKey]=OutputTable[[#This Row],[GroupByKey]])*OutputTable[RecordedValue]))</f>
        <v>37</v>
      </c>
      <c r="P58" cm="1">
        <f t="array" ref="P58">MAX(IF((OutputTable[GroupByKey]=OutputTable[[#This Row],[GroupByKey]]),(OutputTable[GroupByKey]=OutputTable[[#This Row],[GroupByKey]])*OutputTable[RecordedValue]))</f>
        <v>65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43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54.43333333333333</v>
      </c>
      <c r="L59" cm="1">
        <f t="array" ref="L59">IFERROR(_xlfn.STDEV.S(IF((OutputTable[GroupByKey]=OutputTable[[#This Row],[GroupByKey]]),(OutputTable[GroupByKey]=OutputTable[[#This Row],[GroupByKey]])*OutputTable[RecordedValue])),0)</f>
        <v>8.0587640591420477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59" cm="1">
        <f t="array" ref="O59">MIN(IF((OutputTable[GroupByKey]=OutputTable[[#This Row],[GroupByKey]]),(OutputTable[GroupByKey]=OutputTable[[#This Row],[GroupByKey]])*OutputTable[RecordedValue]))</f>
        <v>37</v>
      </c>
      <c r="P59" cm="1">
        <f t="array" ref="P59">MAX(IF((OutputTable[GroupByKey]=OutputTable[[#This Row],[GroupByKey]]),(OutputTable[GroupByKey]=OutputTable[[#This Row],[GroupByKey]])*OutputTable[RecordedValue]))</f>
        <v>67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0.18220951803083901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0.27413207792969679</v>
      </c>
      <c r="L60" cm="1">
        <f t="array" ref="L60">IFERROR(_xlfn.STDEV.S(IF((OutputTable[GroupByKey]=OutputTable[[#This Row],[GroupByKey]]),(OutputTable[GroupByKey]=OutputTable[[#This Row],[GroupByKey]])*OutputTable[RecordedValue])),0)</f>
        <v>5.6064597781178692E-2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60" cm="1">
        <f t="array" ref="O60">MIN(IF((OutputTable[GroupByKey]=OutputTable[[#This Row],[GroupByKey]]),(OutputTable[GroupByKey]=OutputTable[[#This Row],[GroupByKey]])*OutputTable[RecordedValue]))</f>
        <v>0.17429991311555901</v>
      </c>
      <c r="P60" cm="1">
        <f t="array" ref="P60">MAX(IF((OutputTable[GroupByKey]=OutputTable[[#This Row],[GroupByKey]]),(OutputTable[GroupByKey]=OutputTable[[#This Row],[GroupByKey]])*OutputTable[RecordedValue]))</f>
        <v>0.39832749227786501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43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53.7</v>
      </c>
      <c r="L61" cm="1">
        <f t="array" ref="L61">IFERROR(_xlfn.STDEV.S(IF((OutputTable[GroupByKey]=OutputTable[[#This Row],[GroupByKey]]),(OutputTable[GroupByKey]=OutputTable[[#This Row],[GroupByKey]])*OutputTable[RecordedValue])),0)</f>
        <v>8.0221675633081357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61" cm="1">
        <f t="array" ref="O61">MIN(IF((OutputTable[GroupByKey]=OutputTable[[#This Row],[GroupByKey]]),(OutputTable[GroupByKey]=OutputTable[[#This Row],[GroupByKey]])*OutputTable[RecordedValue]))</f>
        <v>37</v>
      </c>
      <c r="P61" cm="1">
        <f t="array" ref="P61">MAX(IF((OutputTable[GroupByKey]=OutputTable[[#This Row],[GroupByKey]]),(OutputTable[GroupByKey]=OutputTable[[#This Row],[GroupByKey]])*OutputTable[RecordedValue]))</f>
        <v>65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51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54.43333333333333</v>
      </c>
      <c r="L62" cm="1">
        <f t="array" ref="L62">IFERROR(_xlfn.STDEV.S(IF((OutputTable[GroupByKey]=OutputTable[[#This Row],[GroupByKey]]),(OutputTable[GroupByKey]=OutputTable[[#This Row],[GroupByKey]])*OutputTable[RecordedValue])),0)</f>
        <v>8.0587640591420477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62" cm="1">
        <f t="array" ref="O62">MIN(IF((OutputTable[GroupByKey]=OutputTable[[#This Row],[GroupByKey]]),(OutputTable[GroupByKey]=OutputTable[[#This Row],[GroupByKey]])*OutputTable[RecordedValue]))</f>
        <v>37</v>
      </c>
      <c r="P62" cm="1">
        <f t="array" ref="P62">MAX(IF((OutputTable[GroupByKey]=OutputTable[[#This Row],[GroupByKey]]),(OutputTable[GroupByKey]=OutputTable[[#This Row],[GroupByKey]])*OutputTable[RecordedValue]))</f>
        <v>67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48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53.7</v>
      </c>
      <c r="L63" cm="1">
        <f t="array" ref="L63">IFERROR(_xlfn.STDEV.S(IF((OutputTable[GroupByKey]=OutputTable[[#This Row],[GroupByKey]]),(OutputTable[GroupByKey]=OutputTable[[#This Row],[GroupByKey]])*OutputTable[RecordedValue])),0)</f>
        <v>8.0221675633081357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63" cm="1">
        <f t="array" ref="O63">MIN(IF((OutputTable[GroupByKey]=OutputTable[[#This Row],[GroupByKey]]),(OutputTable[GroupByKey]=OutputTable[[#This Row],[GroupByKey]])*OutputTable[RecordedValue]))</f>
        <v>37</v>
      </c>
      <c r="P63" cm="1">
        <f t="array" ref="P63">MAX(IF((OutputTable[GroupByKey]=OutputTable[[#This Row],[GroupByKey]]),(OutputTable[GroupByKey]=OutputTable[[#This Row],[GroupByKey]])*OutputTable[RecordedValue]))</f>
        <v>65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51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54.43333333333333</v>
      </c>
      <c r="L64" cm="1">
        <f t="array" ref="L64">IFERROR(_xlfn.STDEV.S(IF((OutputTable[GroupByKey]=OutputTable[[#This Row],[GroupByKey]]),(OutputTable[GroupByKey]=OutputTable[[#This Row],[GroupByKey]])*OutputTable[RecordedValue])),0)</f>
        <v>8.0587640591420477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64" cm="1">
        <f t="array" ref="O64">MIN(IF((OutputTable[GroupByKey]=OutputTable[[#This Row],[GroupByKey]]),(OutputTable[GroupByKey]=OutputTable[[#This Row],[GroupByKey]])*OutputTable[RecordedValue]))</f>
        <v>37</v>
      </c>
      <c r="P64" cm="1">
        <f t="array" ref="P64">MAX(IF((OutputTable[GroupByKey]=OutputTable[[#This Row],[GroupByKey]]),(OutputTable[GroupByKey]=OutputTable[[#This Row],[GroupByKey]])*OutputTable[RecordedValue]))</f>
        <v>67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0.235116679147405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0.27413207792969679</v>
      </c>
      <c r="L65" cm="1">
        <f t="array" ref="L65">IFERROR(_xlfn.STDEV.S(IF((OutputTable[GroupByKey]=OutputTable[[#This Row],[GroupByKey]]),(OutputTable[GroupByKey]=OutputTable[[#This Row],[GroupByKey]])*OutputTable[RecordedValue])),0)</f>
        <v>5.6064597781178692E-2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65" cm="1">
        <f t="array" ref="O65">MIN(IF((OutputTable[GroupByKey]=OutputTable[[#This Row],[GroupByKey]]),(OutputTable[GroupByKey]=OutputTable[[#This Row],[GroupByKey]])*OutputTable[RecordedValue]))</f>
        <v>0.17429991311555901</v>
      </c>
      <c r="P65" cm="1">
        <f t="array" ref="P65">MAX(IF((OutputTable[GroupByKey]=OutputTable[[#This Row],[GroupByKey]]),(OutputTable[GroupByKey]=OutputTable[[#This Row],[GroupByKey]])*OutputTable[RecordedValue]))</f>
        <v>0.39832749227786501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48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53.7</v>
      </c>
      <c r="L66" cm="1">
        <f t="array" ref="L66">IFERROR(_xlfn.STDEV.S(IF((OutputTable[GroupByKey]=OutputTable[[#This Row],[GroupByKey]]),(OutputTable[GroupByKey]=OutputTable[[#This Row],[GroupByKey]])*OutputTable[RecordedValue])),0)</f>
        <v>8.0221675633081357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66" cm="1">
        <f t="array" ref="O66">MIN(IF((OutputTable[GroupByKey]=OutputTable[[#This Row],[GroupByKey]]),(OutputTable[GroupByKey]=OutputTable[[#This Row],[GroupByKey]])*OutputTable[RecordedValue]))</f>
        <v>37</v>
      </c>
      <c r="P66" cm="1">
        <f t="array" ref="P66">MAX(IF((OutputTable[GroupByKey]=OutputTable[[#This Row],[GroupByKey]]),(OutputTable[GroupByKey]=OutputTable[[#This Row],[GroupByKey]])*OutputTable[RecordedValue]))</f>
        <v>65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62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54.43333333333333</v>
      </c>
      <c r="L67" cm="1">
        <f t="array" ref="L67">IFERROR(_xlfn.STDEV.S(IF((OutputTable[GroupByKey]=OutputTable[[#This Row],[GroupByKey]]),(OutputTable[GroupByKey]=OutputTable[[#This Row],[GroupByKey]])*OutputTable[RecordedValue])),0)</f>
        <v>8.0587640591420477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67" cm="1">
        <f t="array" ref="O67">MIN(IF((OutputTable[GroupByKey]=OutputTable[[#This Row],[GroupByKey]]),(OutputTable[GroupByKey]=OutputTable[[#This Row],[GroupByKey]])*OutputTable[RecordedValue]))</f>
        <v>37</v>
      </c>
      <c r="P67" cm="1">
        <f t="array" ref="P67">MAX(IF((OutputTable[GroupByKey]=OutputTable[[#This Row],[GroupByKey]]),(OutputTable[GroupByKey]=OutputTable[[#This Row],[GroupByKey]])*OutputTable[RecordedValue]))</f>
        <v>67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61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53.7</v>
      </c>
      <c r="L68" cm="1">
        <f t="array" ref="L68">IFERROR(_xlfn.STDEV.S(IF((OutputTable[GroupByKey]=OutputTable[[#This Row],[GroupByKey]]),(OutputTable[GroupByKey]=OutputTable[[#This Row],[GroupByKey]])*OutputTable[RecordedValue])),0)</f>
        <v>8.0221675633081357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68" cm="1">
        <f t="array" ref="O68">MIN(IF((OutputTable[GroupByKey]=OutputTable[[#This Row],[GroupByKey]]),(OutputTable[GroupByKey]=OutputTable[[#This Row],[GroupByKey]])*OutputTable[RecordedValue]))</f>
        <v>37</v>
      </c>
      <c r="P68" cm="1">
        <f t="array" ref="P68">MAX(IF((OutputTable[GroupByKey]=OutputTable[[#This Row],[GroupByKey]]),(OutputTable[GroupByKey]=OutputTable[[#This Row],[GroupByKey]])*OutputTable[RecordedValue]))</f>
        <v>65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62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54.43333333333333</v>
      </c>
      <c r="L69" cm="1">
        <f t="array" ref="L69">IFERROR(_xlfn.STDEV.S(IF((OutputTable[GroupByKey]=OutputTable[[#This Row],[GroupByKey]]),(OutputTable[GroupByKey]=OutputTable[[#This Row],[GroupByKey]])*OutputTable[RecordedValue])),0)</f>
        <v>8.0587640591420477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69" cm="1">
        <f t="array" ref="O69">MIN(IF((OutputTable[GroupByKey]=OutputTable[[#This Row],[GroupByKey]]),(OutputTable[GroupByKey]=OutputTable[[#This Row],[GroupByKey]])*OutputTable[RecordedValue]))</f>
        <v>37</v>
      </c>
      <c r="P69" cm="1">
        <f t="array" ref="P69">MAX(IF((OutputTable[GroupByKey]=OutputTable[[#This Row],[GroupByKey]]),(OutputTable[GroupByKey]=OutputTable[[#This Row],[GroupByKey]])*OutputTable[RecordedValue]))</f>
        <v>67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0.26643202112061798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0.27413207792969679</v>
      </c>
      <c r="L70" cm="1">
        <f t="array" ref="L70">IFERROR(_xlfn.STDEV.S(IF((OutputTable[GroupByKey]=OutputTable[[#This Row],[GroupByKey]]),(OutputTable[GroupByKey]=OutputTable[[#This Row],[GroupByKey]])*OutputTable[RecordedValue])),0)</f>
        <v>5.6064597781178692E-2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70" cm="1">
        <f t="array" ref="O70">MIN(IF((OutputTable[GroupByKey]=OutputTable[[#This Row],[GroupByKey]]),(OutputTable[GroupByKey]=OutputTable[[#This Row],[GroupByKey]])*OutputTable[RecordedValue]))</f>
        <v>0.17429991311555901</v>
      </c>
      <c r="P70" cm="1">
        <f t="array" ref="P70">MAX(IF((OutputTable[GroupByKey]=OutputTable[[#This Row],[GroupByKey]]),(OutputTable[GroupByKey]=OutputTable[[#This Row],[GroupByKey]])*OutputTable[RecordedValue]))</f>
        <v>0.39832749227786501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61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53.7</v>
      </c>
      <c r="L71" cm="1">
        <f t="array" ref="L71">IFERROR(_xlfn.STDEV.S(IF((OutputTable[GroupByKey]=OutputTable[[#This Row],[GroupByKey]]),(OutputTable[GroupByKey]=OutputTable[[#This Row],[GroupByKey]])*OutputTable[RecordedValue])),0)</f>
        <v>8.0221675633081357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71" cm="1">
        <f t="array" ref="O71">MIN(IF((OutputTable[GroupByKey]=OutputTable[[#This Row],[GroupByKey]]),(OutputTable[GroupByKey]=OutputTable[[#This Row],[GroupByKey]])*OutputTable[RecordedValue]))</f>
        <v>37</v>
      </c>
      <c r="P71" cm="1">
        <f t="array" ref="P71">MAX(IF((OutputTable[GroupByKey]=OutputTable[[#This Row],[GroupByKey]]),(OutputTable[GroupByKey]=OutputTable[[#This Row],[GroupByKey]])*OutputTable[RecordedValue]))</f>
        <v>65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54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54.43333333333333</v>
      </c>
      <c r="L72" cm="1">
        <f t="array" ref="L72">IFERROR(_xlfn.STDEV.S(IF((OutputTable[GroupByKey]=OutputTable[[#This Row],[GroupByKey]]),(OutputTable[GroupByKey]=OutputTable[[#This Row],[GroupByKey]])*OutputTable[RecordedValue])),0)</f>
        <v>8.0587640591420477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72" cm="1">
        <f t="array" ref="O72">MIN(IF((OutputTable[GroupByKey]=OutputTable[[#This Row],[GroupByKey]]),(OutputTable[GroupByKey]=OutputTable[[#This Row],[GroupByKey]])*OutputTable[RecordedValue]))</f>
        <v>37</v>
      </c>
      <c r="P72" cm="1">
        <f t="array" ref="P72">MAX(IF((OutputTable[GroupByKey]=OutputTable[[#This Row],[GroupByKey]]),(OutputTable[GroupByKey]=OutputTable[[#This Row],[GroupByKey]])*OutputTable[RecordedValue]))</f>
        <v>67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53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53.7</v>
      </c>
      <c r="L73" cm="1">
        <f t="array" ref="L73">IFERROR(_xlfn.STDEV.S(IF((OutputTable[GroupByKey]=OutputTable[[#This Row],[GroupByKey]]),(OutputTable[GroupByKey]=OutputTable[[#This Row],[GroupByKey]])*OutputTable[RecordedValue])),0)</f>
        <v>8.0221675633081357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73" cm="1">
        <f t="array" ref="O73">MIN(IF((OutputTable[GroupByKey]=OutputTable[[#This Row],[GroupByKey]]),(OutputTable[GroupByKey]=OutputTable[[#This Row],[GroupByKey]])*OutputTable[RecordedValue]))</f>
        <v>37</v>
      </c>
      <c r="P73" cm="1">
        <f t="array" ref="P73">MAX(IF((OutputTable[GroupByKey]=OutputTable[[#This Row],[GroupByKey]]),(OutputTable[GroupByKey]=OutputTable[[#This Row],[GroupByKey]])*OutputTable[RecordedValue]))</f>
        <v>65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54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54.43333333333333</v>
      </c>
      <c r="L74" cm="1">
        <f t="array" ref="L74">IFERROR(_xlfn.STDEV.S(IF((OutputTable[GroupByKey]=OutputTable[[#This Row],[GroupByKey]]),(OutputTable[GroupByKey]=OutputTable[[#This Row],[GroupByKey]])*OutputTable[RecordedValue])),0)</f>
        <v>8.0587640591420477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74" cm="1">
        <f t="array" ref="O74">MIN(IF((OutputTable[GroupByKey]=OutputTable[[#This Row],[GroupByKey]]),(OutputTable[GroupByKey]=OutputTable[[#This Row],[GroupByKey]])*OutputTable[RecordedValue]))</f>
        <v>37</v>
      </c>
      <c r="P74" cm="1">
        <f t="array" ref="P74">MAX(IF((OutputTable[GroupByKey]=OutputTable[[#This Row],[GroupByKey]]),(OutputTable[GroupByKey]=OutputTable[[#This Row],[GroupByKey]])*OutputTable[RecordedValue]))</f>
        <v>67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0.23466760122233199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0.27413207792969679</v>
      </c>
      <c r="L75" cm="1">
        <f t="array" ref="L75">IFERROR(_xlfn.STDEV.S(IF((OutputTable[GroupByKey]=OutputTable[[#This Row],[GroupByKey]]),(OutputTable[GroupByKey]=OutputTable[[#This Row],[GroupByKey]])*OutputTable[RecordedValue])),0)</f>
        <v>5.6064597781178692E-2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75" cm="1">
        <f t="array" ref="O75">MIN(IF((OutputTable[GroupByKey]=OutputTable[[#This Row],[GroupByKey]]),(OutputTable[GroupByKey]=OutputTable[[#This Row],[GroupByKey]])*OutputTable[RecordedValue]))</f>
        <v>0.17429991311555901</v>
      </c>
      <c r="P75" cm="1">
        <f t="array" ref="P75">MAX(IF((OutputTable[GroupByKey]=OutputTable[[#This Row],[GroupByKey]]),(OutputTable[GroupByKey]=OutputTable[[#This Row],[GroupByKey]])*OutputTable[RecordedValue]))</f>
        <v>0.39832749227786501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53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53.7</v>
      </c>
      <c r="L76" cm="1">
        <f t="array" ref="L76">IFERROR(_xlfn.STDEV.S(IF((OutputTable[GroupByKey]=OutputTable[[#This Row],[GroupByKey]]),(OutputTable[GroupByKey]=OutputTable[[#This Row],[GroupByKey]])*OutputTable[RecordedValue])),0)</f>
        <v>8.0221675633081357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76" cm="1">
        <f t="array" ref="O76">MIN(IF((OutputTable[GroupByKey]=OutputTable[[#This Row],[GroupByKey]]),(OutputTable[GroupByKey]=OutputTable[[#This Row],[GroupByKey]])*OutputTable[RecordedValue]))</f>
        <v>37</v>
      </c>
      <c r="P76" cm="1">
        <f t="array" ref="P76">MAX(IF((OutputTable[GroupByKey]=OutputTable[[#This Row],[GroupByKey]]),(OutputTable[GroupByKey]=OutputTable[[#This Row],[GroupByKey]])*OutputTable[RecordedValue]))</f>
        <v>65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61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54.43333333333333</v>
      </c>
      <c r="L77" cm="1">
        <f t="array" ref="L77">IFERROR(_xlfn.STDEV.S(IF((OutputTable[GroupByKey]=OutputTable[[#This Row],[GroupByKey]]),(OutputTable[GroupByKey]=OutputTable[[#This Row],[GroupByKey]])*OutputTable[RecordedValue])),0)</f>
        <v>8.0587640591420477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77" cm="1">
        <f t="array" ref="O77">MIN(IF((OutputTable[GroupByKey]=OutputTable[[#This Row],[GroupByKey]]),(OutputTable[GroupByKey]=OutputTable[[#This Row],[GroupByKey]])*OutputTable[RecordedValue]))</f>
        <v>37</v>
      </c>
      <c r="P77" cm="1">
        <f t="array" ref="P77">MAX(IF((OutputTable[GroupByKey]=OutputTable[[#This Row],[GroupByKey]]),(OutputTable[GroupByKey]=OutputTable[[#This Row],[GroupByKey]])*OutputTable[RecordedValue]))</f>
        <v>67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60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53.7</v>
      </c>
      <c r="L78" cm="1">
        <f t="array" ref="L78">IFERROR(_xlfn.STDEV.S(IF((OutputTable[GroupByKey]=OutputTable[[#This Row],[GroupByKey]]),(OutputTable[GroupByKey]=OutputTable[[#This Row],[GroupByKey]])*OutputTable[RecordedValue])),0)</f>
        <v>8.0221675633081357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78" cm="1">
        <f t="array" ref="O78">MIN(IF((OutputTable[GroupByKey]=OutputTable[[#This Row],[GroupByKey]]),(OutputTable[GroupByKey]=OutputTable[[#This Row],[GroupByKey]])*OutputTable[RecordedValue]))</f>
        <v>37</v>
      </c>
      <c r="P78" cm="1">
        <f t="array" ref="P78">MAX(IF((OutputTable[GroupByKey]=OutputTable[[#This Row],[GroupByKey]]),(OutputTable[GroupByKey]=OutputTable[[#This Row],[GroupByKey]])*OutputTable[RecordedValue]))</f>
        <v>65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61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54.43333333333333</v>
      </c>
      <c r="L79" cm="1">
        <f t="array" ref="L79">IFERROR(_xlfn.STDEV.S(IF((OutputTable[GroupByKey]=OutputTable[[#This Row],[GroupByKey]]),(OutputTable[GroupByKey]=OutputTable[[#This Row],[GroupByKey]])*OutputTable[RecordedValue])),0)</f>
        <v>8.0587640591420477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79" cm="1">
        <f t="array" ref="O79">MIN(IF((OutputTable[GroupByKey]=OutputTable[[#This Row],[GroupByKey]]),(OutputTable[GroupByKey]=OutputTable[[#This Row],[GroupByKey]])*OutputTable[RecordedValue]))</f>
        <v>37</v>
      </c>
      <c r="P79" cm="1">
        <f t="array" ref="P79">MAX(IF((OutputTable[GroupByKey]=OutputTable[[#This Row],[GroupByKey]]),(OutputTable[GroupByKey]=OutputTable[[#This Row],[GroupByKey]])*OutputTable[RecordedValue]))</f>
        <v>67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0.39832749227786501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0.27413207792969679</v>
      </c>
      <c r="L80" cm="1">
        <f t="array" ref="L80">IFERROR(_xlfn.STDEV.S(IF((OutputTable[GroupByKey]=OutputTable[[#This Row],[GroupByKey]]),(OutputTable[GroupByKey]=OutputTable[[#This Row],[GroupByKey]])*OutputTable[RecordedValue])),0)</f>
        <v>5.6064597781178692E-2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80" cm="1">
        <f t="array" ref="O80">MIN(IF((OutputTable[GroupByKey]=OutputTable[[#This Row],[GroupByKey]]),(OutputTable[GroupByKey]=OutputTable[[#This Row],[GroupByKey]])*OutputTable[RecordedValue]))</f>
        <v>0.17429991311555901</v>
      </c>
      <c r="P80" cm="1">
        <f t="array" ref="P80">MAX(IF((OutputTable[GroupByKey]=OutputTable[[#This Row],[GroupByKey]]),(OutputTable[GroupByKey]=OutputTable[[#This Row],[GroupByKey]])*OutputTable[RecordedValue]))</f>
        <v>0.39832749227786501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60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53.7</v>
      </c>
      <c r="L81" cm="1">
        <f t="array" ref="L81">IFERROR(_xlfn.STDEV.S(IF((OutputTable[GroupByKey]=OutputTable[[#This Row],[GroupByKey]]),(OutputTable[GroupByKey]=OutputTable[[#This Row],[GroupByKey]])*OutputTable[RecordedValue])),0)</f>
        <v>8.0221675633081357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81" cm="1">
        <f t="array" ref="O81">MIN(IF((OutputTable[GroupByKey]=OutputTable[[#This Row],[GroupByKey]]),(OutputTable[GroupByKey]=OutputTable[[#This Row],[GroupByKey]])*OutputTable[RecordedValue]))</f>
        <v>37</v>
      </c>
      <c r="P81" cm="1">
        <f t="array" ref="P81">MAX(IF((OutputTable[GroupByKey]=OutputTable[[#This Row],[GroupByKey]]),(OutputTable[GroupByKey]=OutputTable[[#This Row],[GroupByKey]])*OutputTable[RecordedValue]))</f>
        <v>65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37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54.43333333333333</v>
      </c>
      <c r="L82" cm="1">
        <f t="array" ref="L82">IFERROR(_xlfn.STDEV.S(IF((OutputTable[GroupByKey]=OutputTable[[#This Row],[GroupByKey]]),(OutputTable[GroupByKey]=OutputTable[[#This Row],[GroupByKey]])*OutputTable[RecordedValue])),0)</f>
        <v>8.0587640591420477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82" cm="1">
        <f t="array" ref="O82">MIN(IF((OutputTable[GroupByKey]=OutputTable[[#This Row],[GroupByKey]]),(OutputTable[GroupByKey]=OutputTable[[#This Row],[GroupByKey]])*OutputTable[RecordedValue]))</f>
        <v>37</v>
      </c>
      <c r="P82" cm="1">
        <f t="array" ref="P82">MAX(IF((OutputTable[GroupByKey]=OutputTable[[#This Row],[GroupByKey]]),(OutputTable[GroupByKey]=OutputTable[[#This Row],[GroupByKey]])*OutputTable[RecordedValue]))</f>
        <v>67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37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53.7</v>
      </c>
      <c r="L83" cm="1">
        <f t="array" ref="L83">IFERROR(_xlfn.STDEV.S(IF((OutputTable[GroupByKey]=OutputTable[[#This Row],[GroupByKey]]),(OutputTable[GroupByKey]=OutputTable[[#This Row],[GroupByKey]])*OutputTable[RecordedValue])),0)</f>
        <v>8.0221675633081357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83" cm="1">
        <f t="array" ref="O83">MIN(IF((OutputTable[GroupByKey]=OutputTable[[#This Row],[GroupByKey]]),(OutputTable[GroupByKey]=OutputTable[[#This Row],[GroupByKey]])*OutputTable[RecordedValue]))</f>
        <v>37</v>
      </c>
      <c r="P83" cm="1">
        <f t="array" ref="P83">MAX(IF((OutputTable[GroupByKey]=OutputTable[[#This Row],[GroupByKey]]),(OutputTable[GroupByKey]=OutputTable[[#This Row],[GroupByKey]])*OutputTable[RecordedValue]))</f>
        <v>65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37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54.43333333333333</v>
      </c>
      <c r="L84" cm="1">
        <f t="array" ref="L84">IFERROR(_xlfn.STDEV.S(IF((OutputTable[GroupByKey]=OutputTable[[#This Row],[GroupByKey]]),(OutputTable[GroupByKey]=OutputTable[[#This Row],[GroupByKey]])*OutputTable[RecordedValue])),0)</f>
        <v>8.0587640591420477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84" cm="1">
        <f t="array" ref="O84">MIN(IF((OutputTable[GroupByKey]=OutputTable[[#This Row],[GroupByKey]]),(OutputTable[GroupByKey]=OutputTable[[#This Row],[GroupByKey]])*OutputTable[RecordedValue]))</f>
        <v>37</v>
      </c>
      <c r="P84" cm="1">
        <f t="array" ref="P84">MAX(IF((OutputTable[GroupByKey]=OutputTable[[#This Row],[GroupByKey]]),(OutputTable[GroupByKey]=OutputTable[[#This Row],[GroupByKey]])*OutputTable[RecordedValue]))</f>
        <v>67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0.17429991311555901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0.27413207792969679</v>
      </c>
      <c r="L85" cm="1">
        <f t="array" ref="L85">IFERROR(_xlfn.STDEV.S(IF((OutputTable[GroupByKey]=OutputTable[[#This Row],[GroupByKey]]),(OutputTable[GroupByKey]=OutputTable[[#This Row],[GroupByKey]])*OutputTable[RecordedValue])),0)</f>
        <v>5.6064597781178692E-2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85" cm="1">
        <f t="array" ref="O85">MIN(IF((OutputTable[GroupByKey]=OutputTable[[#This Row],[GroupByKey]]),(OutputTable[GroupByKey]=OutputTable[[#This Row],[GroupByKey]])*OutputTable[RecordedValue]))</f>
        <v>0.17429991311555901</v>
      </c>
      <c r="P85" cm="1">
        <f t="array" ref="P85">MAX(IF((OutputTable[GroupByKey]=OutputTable[[#This Row],[GroupByKey]]),(OutputTable[GroupByKey]=OutputTable[[#This Row],[GroupByKey]])*OutputTable[RecordedValue]))</f>
        <v>0.39832749227786501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37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53.7</v>
      </c>
      <c r="L86" cm="1">
        <f t="array" ref="L86">IFERROR(_xlfn.STDEV.S(IF((OutputTable[GroupByKey]=OutputTable[[#This Row],[GroupByKey]]),(OutputTable[GroupByKey]=OutputTable[[#This Row],[GroupByKey]])*OutputTable[RecordedValue])),0)</f>
        <v>8.0221675633081357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86" cm="1">
        <f t="array" ref="O86">MIN(IF((OutputTable[GroupByKey]=OutputTable[[#This Row],[GroupByKey]]),(OutputTable[GroupByKey]=OutputTable[[#This Row],[GroupByKey]])*OutputTable[RecordedValue]))</f>
        <v>37</v>
      </c>
      <c r="P86" cm="1">
        <f t="array" ref="P86">MAX(IF((OutputTable[GroupByKey]=OutputTable[[#This Row],[GroupByKey]]),(OutputTable[GroupByKey]=OutputTable[[#This Row],[GroupByKey]])*OutputTable[RecordedValue]))</f>
        <v>65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63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54.43333333333333</v>
      </c>
      <c r="L87" cm="1">
        <f t="array" ref="L87">IFERROR(_xlfn.STDEV.S(IF((OutputTable[GroupByKey]=OutputTable[[#This Row],[GroupByKey]]),(OutputTable[GroupByKey]=OutputTable[[#This Row],[GroupByKey]])*OutputTable[RecordedValue])),0)</f>
        <v>8.0587640591420477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87" cm="1">
        <f t="array" ref="O87">MIN(IF((OutputTable[GroupByKey]=OutputTable[[#This Row],[GroupByKey]]),(OutputTable[GroupByKey]=OutputTable[[#This Row],[GroupByKey]])*OutputTable[RecordedValue]))</f>
        <v>37</v>
      </c>
      <c r="P87" cm="1">
        <f t="array" ref="P87">MAX(IF((OutputTable[GroupByKey]=OutputTable[[#This Row],[GroupByKey]]),(OutputTable[GroupByKey]=OutputTable[[#This Row],[GroupByKey]])*OutputTable[RecordedValue]))</f>
        <v>67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62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53.7</v>
      </c>
      <c r="L88" cm="1">
        <f t="array" ref="L88">IFERROR(_xlfn.STDEV.S(IF((OutputTable[GroupByKey]=OutputTable[[#This Row],[GroupByKey]]),(OutputTable[GroupByKey]=OutputTable[[#This Row],[GroupByKey]])*OutputTable[RecordedValue])),0)</f>
        <v>8.0221675633081357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88" cm="1">
        <f t="array" ref="O88">MIN(IF((OutputTable[GroupByKey]=OutputTable[[#This Row],[GroupByKey]]),(OutputTable[GroupByKey]=OutputTable[[#This Row],[GroupByKey]])*OutputTable[RecordedValue]))</f>
        <v>37</v>
      </c>
      <c r="P88" cm="1">
        <f t="array" ref="P88">MAX(IF((OutputTable[GroupByKey]=OutputTable[[#This Row],[GroupByKey]]),(OutputTable[GroupByKey]=OutputTable[[#This Row],[GroupByKey]])*OutputTable[RecordedValue]))</f>
        <v>65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63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54.43333333333333</v>
      </c>
      <c r="L89" cm="1">
        <f t="array" ref="L89">IFERROR(_xlfn.STDEV.S(IF((OutputTable[GroupByKey]=OutputTable[[#This Row],[GroupByKey]]),(OutputTable[GroupByKey]=OutputTable[[#This Row],[GroupByKey]])*OutputTable[RecordedValue])),0)</f>
        <v>8.0587640591420477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89" cm="1">
        <f t="array" ref="O89">MIN(IF((OutputTable[GroupByKey]=OutputTable[[#This Row],[GroupByKey]]),(OutputTable[GroupByKey]=OutputTable[[#This Row],[GroupByKey]])*OutputTable[RecordedValue]))</f>
        <v>37</v>
      </c>
      <c r="P89" cm="1">
        <f t="array" ref="P89">MAX(IF((OutputTable[GroupByKey]=OutputTable[[#This Row],[GroupByKey]]),(OutputTable[GroupByKey]=OutputTable[[#This Row],[GroupByKey]])*OutputTable[RecordedValue]))</f>
        <v>67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0.39640459086014601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0.27413207792969679</v>
      </c>
      <c r="L90" cm="1">
        <f t="array" ref="L90">IFERROR(_xlfn.STDEV.S(IF((OutputTable[GroupByKey]=OutputTable[[#This Row],[GroupByKey]]),(OutputTable[GroupByKey]=OutputTable[[#This Row],[GroupByKey]])*OutputTable[RecordedValue])),0)</f>
        <v>5.6064597781178692E-2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90" cm="1">
        <f t="array" ref="O90">MIN(IF((OutputTable[GroupByKey]=OutputTable[[#This Row],[GroupByKey]]),(OutputTable[GroupByKey]=OutputTable[[#This Row],[GroupByKey]])*OutputTable[RecordedValue]))</f>
        <v>0.17429991311555901</v>
      </c>
      <c r="P90" cm="1">
        <f t="array" ref="P90">MAX(IF((OutputTable[GroupByKey]=OutputTable[[#This Row],[GroupByKey]]),(OutputTable[GroupByKey]=OutputTable[[#This Row],[GroupByKey]])*OutputTable[RecordedValue]))</f>
        <v>0.39832749227786501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62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53.7</v>
      </c>
      <c r="L91" cm="1">
        <f t="array" ref="L91">IFERROR(_xlfn.STDEV.S(IF((OutputTable[GroupByKey]=OutputTable[[#This Row],[GroupByKey]]),(OutputTable[GroupByKey]=OutputTable[[#This Row],[GroupByKey]])*OutputTable[RecordedValue])),0)</f>
        <v>8.0221675633081357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91" cm="1">
        <f t="array" ref="O91">MIN(IF((OutputTable[GroupByKey]=OutputTable[[#This Row],[GroupByKey]]),(OutputTable[GroupByKey]=OutputTable[[#This Row],[GroupByKey]])*OutputTable[RecordedValue]))</f>
        <v>37</v>
      </c>
      <c r="P91" cm="1">
        <f t="array" ref="P91">MAX(IF((OutputTable[GroupByKey]=OutputTable[[#This Row],[GroupByKey]]),(OutputTable[GroupByKey]=OutputTable[[#This Row],[GroupByKey]])*OutputTable[RecordedValue]))</f>
        <v>65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53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54.43333333333333</v>
      </c>
      <c r="L92" cm="1">
        <f t="array" ref="L92">IFERROR(_xlfn.STDEV.S(IF((OutputTable[GroupByKey]=OutputTable[[#This Row],[GroupByKey]]),(OutputTable[GroupByKey]=OutputTable[[#This Row],[GroupByKey]])*OutputTable[RecordedValue])),0)</f>
        <v>8.0587640591420477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92" cm="1">
        <f t="array" ref="O92">MIN(IF((OutputTable[GroupByKey]=OutputTable[[#This Row],[GroupByKey]]),(OutputTable[GroupByKey]=OutputTable[[#This Row],[GroupByKey]])*OutputTable[RecordedValue]))</f>
        <v>37</v>
      </c>
      <c r="P92" cm="1">
        <f t="array" ref="P92">MAX(IF((OutputTable[GroupByKey]=OutputTable[[#This Row],[GroupByKey]]),(OutputTable[GroupByKey]=OutputTable[[#This Row],[GroupByKey]])*OutputTable[RecordedValue]))</f>
        <v>67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50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53.7</v>
      </c>
      <c r="L93" cm="1">
        <f t="array" ref="L93">IFERROR(_xlfn.STDEV.S(IF((OutputTable[GroupByKey]=OutputTable[[#This Row],[GroupByKey]]),(OutputTable[GroupByKey]=OutputTable[[#This Row],[GroupByKey]])*OutputTable[RecordedValue])),0)</f>
        <v>8.0221675633081357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93" cm="1">
        <f t="array" ref="O93">MIN(IF((OutputTable[GroupByKey]=OutputTable[[#This Row],[GroupByKey]]),(OutputTable[GroupByKey]=OutputTable[[#This Row],[GroupByKey]])*OutputTable[RecordedValue]))</f>
        <v>37</v>
      </c>
      <c r="P93" cm="1">
        <f t="array" ref="P93">MAX(IF((OutputTable[GroupByKey]=OutputTable[[#This Row],[GroupByKey]]),(OutputTable[GroupByKey]=OutputTable[[#This Row],[GroupByKey]])*OutputTable[RecordedValue]))</f>
        <v>65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53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54.43333333333333</v>
      </c>
      <c r="L94" cm="1">
        <f t="array" ref="L94">IFERROR(_xlfn.STDEV.S(IF((OutputTable[GroupByKey]=OutputTable[[#This Row],[GroupByKey]]),(OutputTable[GroupByKey]=OutputTable[[#This Row],[GroupByKey]])*OutputTable[RecordedValue])),0)</f>
        <v>8.0587640591420477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94" cm="1">
        <f t="array" ref="O94">MIN(IF((OutputTable[GroupByKey]=OutputTable[[#This Row],[GroupByKey]]),(OutputTable[GroupByKey]=OutputTable[[#This Row],[GroupByKey]])*OutputTable[RecordedValue]))</f>
        <v>37</v>
      </c>
      <c r="P94" cm="1">
        <f t="array" ref="P94">MAX(IF((OutputTable[GroupByKey]=OutputTable[[#This Row],[GroupByKey]]),(OutputTable[GroupByKey]=OutputTable[[#This Row],[GroupByKey]])*OutputTable[RecordedValue]))</f>
        <v>67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0.24816372450950999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0.27413207792969679</v>
      </c>
      <c r="L95" cm="1">
        <f t="array" ref="L95">IFERROR(_xlfn.STDEV.S(IF((OutputTable[GroupByKey]=OutputTable[[#This Row],[GroupByKey]]),(OutputTable[GroupByKey]=OutputTable[[#This Row],[GroupByKey]])*OutputTable[RecordedValue])),0)</f>
        <v>5.6064597781178692E-2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95" cm="1">
        <f t="array" ref="O95">MIN(IF((OutputTable[GroupByKey]=OutputTable[[#This Row],[GroupByKey]]),(OutputTable[GroupByKey]=OutputTable[[#This Row],[GroupByKey]])*OutputTable[RecordedValue]))</f>
        <v>0.17429991311555901</v>
      </c>
      <c r="P95" cm="1">
        <f t="array" ref="P95">MAX(IF((OutputTable[GroupByKey]=OutputTable[[#This Row],[GroupByKey]]),(OutputTable[GroupByKey]=OutputTable[[#This Row],[GroupByKey]])*OutputTable[RecordedValue]))</f>
        <v>0.39832749227786501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50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53.7</v>
      </c>
      <c r="L96" cm="1">
        <f t="array" ref="L96">IFERROR(_xlfn.STDEV.S(IF((OutputTable[GroupByKey]=OutputTable[[#This Row],[GroupByKey]]),(OutputTable[GroupByKey]=OutputTable[[#This Row],[GroupByKey]])*OutputTable[RecordedValue])),0)</f>
        <v>8.0221675633081357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96" cm="1">
        <f t="array" ref="O96">MIN(IF((OutputTable[GroupByKey]=OutputTable[[#This Row],[GroupByKey]]),(OutputTable[GroupByKey]=OutputTable[[#This Row],[GroupByKey]])*OutputTable[RecordedValue]))</f>
        <v>37</v>
      </c>
      <c r="P96" cm="1">
        <f t="array" ref="P96">MAX(IF((OutputTable[GroupByKey]=OutputTable[[#This Row],[GroupByKey]]),(OutputTable[GroupByKey]=OutputTable[[#This Row],[GroupByKey]])*OutputTable[RecordedValue]))</f>
        <v>65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55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54.43333333333333</v>
      </c>
      <c r="L97" cm="1">
        <f t="array" ref="L97">IFERROR(_xlfn.STDEV.S(IF((OutputTable[GroupByKey]=OutputTable[[#This Row],[GroupByKey]]),(OutputTable[GroupByKey]=OutputTable[[#This Row],[GroupByKey]])*OutputTable[RecordedValue])),0)</f>
        <v>8.0587640591420477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97" cm="1">
        <f t="array" ref="O97">MIN(IF((OutputTable[GroupByKey]=OutputTable[[#This Row],[GroupByKey]]),(OutputTable[GroupByKey]=OutputTable[[#This Row],[GroupByKey]])*OutputTable[RecordedValue]))</f>
        <v>37</v>
      </c>
      <c r="P97" cm="1">
        <f t="array" ref="P97">MAX(IF((OutputTable[GroupByKey]=OutputTable[[#This Row],[GroupByKey]]),(OutputTable[GroupByKey]=OutputTable[[#This Row],[GroupByKey]])*OutputTable[RecordedValue]))</f>
        <v>67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55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53.7</v>
      </c>
      <c r="L98" cm="1">
        <f t="array" ref="L98">IFERROR(_xlfn.STDEV.S(IF((OutputTable[GroupByKey]=OutputTable[[#This Row],[GroupByKey]]),(OutputTable[GroupByKey]=OutputTable[[#This Row],[GroupByKey]])*OutputTable[RecordedValue])),0)</f>
        <v>8.0221675633081357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98" cm="1">
        <f t="array" ref="O98">MIN(IF((OutputTable[GroupByKey]=OutputTable[[#This Row],[GroupByKey]]),(OutputTable[GroupByKey]=OutputTable[[#This Row],[GroupByKey]])*OutputTable[RecordedValue]))</f>
        <v>37</v>
      </c>
      <c r="P98" cm="1">
        <f t="array" ref="P98">MAX(IF((OutputTable[GroupByKey]=OutputTable[[#This Row],[GroupByKey]]),(OutputTable[GroupByKey]=OutputTable[[#This Row],[GroupByKey]])*OutputTable[RecordedValue]))</f>
        <v>65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55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54.43333333333333</v>
      </c>
      <c r="L99" cm="1">
        <f t="array" ref="L99">IFERROR(_xlfn.STDEV.S(IF((OutputTable[GroupByKey]=OutputTable[[#This Row],[GroupByKey]]),(OutputTable[GroupByKey]=OutputTable[[#This Row],[GroupByKey]])*OutputTable[RecordedValue])),0)</f>
        <v>8.0587640591420477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99" cm="1">
        <f t="array" ref="O99">MIN(IF((OutputTable[GroupByKey]=OutputTable[[#This Row],[GroupByKey]]),(OutputTable[GroupByKey]=OutputTable[[#This Row],[GroupByKey]])*OutputTable[RecordedValue]))</f>
        <v>37</v>
      </c>
      <c r="P99" cm="1">
        <f t="array" ref="P99">MAX(IF((OutputTable[GroupByKey]=OutputTable[[#This Row],[GroupByKey]]),(OutputTable[GroupByKey]=OutputTable[[#This Row],[GroupByKey]])*OutputTable[RecordedValue]))</f>
        <v>67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0.267138930594635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0.27413207792969679</v>
      </c>
      <c r="L100" cm="1">
        <f t="array" ref="L100">IFERROR(_xlfn.STDEV.S(IF((OutputTable[GroupByKey]=OutputTable[[#This Row],[GroupByKey]]),(OutputTable[GroupByKey]=OutputTable[[#This Row],[GroupByKey]])*OutputTable[RecordedValue])),0)</f>
        <v>5.6064597781178692E-2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00" cm="1">
        <f t="array" ref="O100">MIN(IF((OutputTable[GroupByKey]=OutputTable[[#This Row],[GroupByKey]]),(OutputTable[GroupByKey]=OutputTable[[#This Row],[GroupByKey]])*OutputTable[RecordedValue]))</f>
        <v>0.17429991311555901</v>
      </c>
      <c r="P100" cm="1">
        <f t="array" ref="P100">MAX(IF((OutputTable[GroupByKey]=OutputTable[[#This Row],[GroupByKey]]),(OutputTable[GroupByKey]=OutputTable[[#This Row],[GroupByKey]])*OutputTable[RecordedValue]))</f>
        <v>0.39832749227786501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55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53.7</v>
      </c>
      <c r="L101" cm="1">
        <f t="array" ref="L101">IFERROR(_xlfn.STDEV.S(IF((OutputTable[GroupByKey]=OutputTable[[#This Row],[GroupByKey]]),(OutputTable[GroupByKey]=OutputTable[[#This Row],[GroupByKey]])*OutputTable[RecordedValue])),0)</f>
        <v>8.0221675633081357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01" cm="1">
        <f t="array" ref="O101">MIN(IF((OutputTable[GroupByKey]=OutputTable[[#This Row],[GroupByKey]]),(OutputTable[GroupByKey]=OutputTable[[#This Row],[GroupByKey]])*OutputTable[RecordedValue]))</f>
        <v>37</v>
      </c>
      <c r="P101" cm="1">
        <f t="array" ref="P101">MAX(IF((OutputTable[GroupByKey]=OutputTable[[#This Row],[GroupByKey]]),(OutputTable[GroupByKey]=OutputTable[[#This Row],[GroupByKey]])*OutputTable[RecordedValue]))</f>
        <v>65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64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54.43333333333333</v>
      </c>
      <c r="L102" cm="1">
        <f t="array" ref="L102">IFERROR(_xlfn.STDEV.S(IF((OutputTable[GroupByKey]=OutputTable[[#This Row],[GroupByKey]]),(OutputTable[GroupByKey]=OutputTable[[#This Row],[GroupByKey]])*OutputTable[RecordedValue])),0)</f>
        <v>8.0587640591420477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02" cm="1">
        <f t="array" ref="O102">MIN(IF((OutputTable[GroupByKey]=OutputTable[[#This Row],[GroupByKey]]),(OutputTable[GroupByKey]=OutputTable[[#This Row],[GroupByKey]])*OutputTable[RecordedValue]))</f>
        <v>37</v>
      </c>
      <c r="P102" cm="1">
        <f t="array" ref="P102">MAX(IF((OutputTable[GroupByKey]=OutputTable[[#This Row],[GroupByKey]]),(OutputTable[GroupByKey]=OutputTable[[#This Row],[GroupByKey]])*OutputTable[RecordedValue]))</f>
        <v>67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64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53.7</v>
      </c>
      <c r="L103" cm="1">
        <f t="array" ref="L103">IFERROR(_xlfn.STDEV.S(IF((OutputTable[GroupByKey]=OutputTable[[#This Row],[GroupByKey]]),(OutputTable[GroupByKey]=OutputTable[[#This Row],[GroupByKey]])*OutputTable[RecordedValue])),0)</f>
        <v>8.0221675633081357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03" cm="1">
        <f t="array" ref="O103">MIN(IF((OutputTable[GroupByKey]=OutputTable[[#This Row],[GroupByKey]]),(OutputTable[GroupByKey]=OutputTable[[#This Row],[GroupByKey]])*OutputTable[RecordedValue]))</f>
        <v>37</v>
      </c>
      <c r="P103" cm="1">
        <f t="array" ref="P103">MAX(IF((OutputTable[GroupByKey]=OutputTable[[#This Row],[GroupByKey]]),(OutputTable[GroupByKey]=OutputTable[[#This Row],[GroupByKey]])*OutputTable[RecordedValue]))</f>
        <v>65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64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54.43333333333333</v>
      </c>
      <c r="L104" cm="1">
        <f t="array" ref="L104">IFERROR(_xlfn.STDEV.S(IF((OutputTable[GroupByKey]=OutputTable[[#This Row],[GroupByKey]]),(OutputTable[GroupByKey]=OutputTable[[#This Row],[GroupByKey]])*OutputTable[RecordedValue])),0)</f>
        <v>8.0587640591420477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04" cm="1">
        <f t="array" ref="O104">MIN(IF((OutputTable[GroupByKey]=OutputTable[[#This Row],[GroupByKey]]),(OutputTable[GroupByKey]=OutputTable[[#This Row],[GroupByKey]])*OutputTable[RecordedValue]))</f>
        <v>37</v>
      </c>
      <c r="P104" cm="1">
        <f t="array" ref="P104">MAX(IF((OutputTable[GroupByKey]=OutputTable[[#This Row],[GroupByKey]]),(OutputTable[GroupByKey]=OutputTable[[#This Row],[GroupByKey]])*OutputTable[RecordedValue]))</f>
        <v>67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0.28792265455138799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0.27413207792969679</v>
      </c>
      <c r="L105" cm="1">
        <f t="array" ref="L105">IFERROR(_xlfn.STDEV.S(IF((OutputTable[GroupByKey]=OutputTable[[#This Row],[GroupByKey]]),(OutputTable[GroupByKey]=OutputTable[[#This Row],[GroupByKey]])*OutputTable[RecordedValue])),0)</f>
        <v>5.6064597781178692E-2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05" cm="1">
        <f t="array" ref="O105">MIN(IF((OutputTable[GroupByKey]=OutputTable[[#This Row],[GroupByKey]]),(OutputTable[GroupByKey]=OutputTable[[#This Row],[GroupByKey]])*OutputTable[RecordedValue]))</f>
        <v>0.17429991311555901</v>
      </c>
      <c r="P105" cm="1">
        <f t="array" ref="P105">MAX(IF((OutputTable[GroupByKey]=OutputTable[[#This Row],[GroupByKey]]),(OutputTable[GroupByKey]=OutputTable[[#This Row],[GroupByKey]])*OutputTable[RecordedValue]))</f>
        <v>0.39832749227786501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64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53.7</v>
      </c>
      <c r="L106" cm="1">
        <f t="array" ref="L106">IFERROR(_xlfn.STDEV.S(IF((OutputTable[GroupByKey]=OutputTable[[#This Row],[GroupByKey]]),(OutputTable[GroupByKey]=OutputTable[[#This Row],[GroupByKey]])*OutputTable[RecordedValue])),0)</f>
        <v>8.0221675633081357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06" cm="1">
        <f t="array" ref="O106">MIN(IF((OutputTable[GroupByKey]=OutputTable[[#This Row],[GroupByKey]]),(OutputTable[GroupByKey]=OutputTable[[#This Row],[GroupByKey]])*OutputTable[RecordedValue]))</f>
        <v>37</v>
      </c>
      <c r="P106" cm="1">
        <f t="array" ref="P106">MAX(IF((OutputTable[GroupByKey]=OutputTable[[#This Row],[GroupByKey]]),(OutputTable[GroupByKey]=OutputTable[[#This Row],[GroupByKey]])*OutputTable[RecordedValue]))</f>
        <v>65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54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54.43333333333333</v>
      </c>
      <c r="L107" cm="1">
        <f t="array" ref="L107">IFERROR(_xlfn.STDEV.S(IF((OutputTable[GroupByKey]=OutputTable[[#This Row],[GroupByKey]]),(OutputTable[GroupByKey]=OutputTable[[#This Row],[GroupByKey]])*OutputTable[RecordedValue])),0)</f>
        <v>8.0587640591420477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07" cm="1">
        <f t="array" ref="O107">MIN(IF((OutputTable[GroupByKey]=OutputTable[[#This Row],[GroupByKey]]),(OutputTable[GroupByKey]=OutputTable[[#This Row],[GroupByKey]])*OutputTable[RecordedValue]))</f>
        <v>37</v>
      </c>
      <c r="P107" cm="1">
        <f t="array" ref="P107">MAX(IF((OutputTable[GroupByKey]=OutputTable[[#This Row],[GroupByKey]]),(OutputTable[GroupByKey]=OutputTable[[#This Row],[GroupByKey]])*OutputTable[RecordedValue]))</f>
        <v>67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52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53.7</v>
      </c>
      <c r="L108" cm="1">
        <f t="array" ref="L108">IFERROR(_xlfn.STDEV.S(IF((OutputTable[GroupByKey]=OutputTable[[#This Row],[GroupByKey]]),(OutputTable[GroupByKey]=OutputTable[[#This Row],[GroupByKey]])*OutputTable[RecordedValue])),0)</f>
        <v>8.0221675633081357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08" cm="1">
        <f t="array" ref="O108">MIN(IF((OutputTable[GroupByKey]=OutputTable[[#This Row],[GroupByKey]]),(OutputTable[GroupByKey]=OutputTable[[#This Row],[GroupByKey]])*OutputTable[RecordedValue]))</f>
        <v>37</v>
      </c>
      <c r="P108" cm="1">
        <f t="array" ref="P108">MAX(IF((OutputTable[GroupByKey]=OutputTable[[#This Row],[GroupByKey]]),(OutputTable[GroupByKey]=OutputTable[[#This Row],[GroupByKey]])*OutputTable[RecordedValue]))</f>
        <v>65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54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54.43333333333333</v>
      </c>
      <c r="L109" cm="1">
        <f t="array" ref="L109">IFERROR(_xlfn.STDEV.S(IF((OutputTable[GroupByKey]=OutputTable[[#This Row],[GroupByKey]]),(OutputTable[GroupByKey]=OutputTable[[#This Row],[GroupByKey]])*OutputTable[RecordedValue])),0)</f>
        <v>8.0587640591420477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09" cm="1">
        <f t="array" ref="O109">MIN(IF((OutputTable[GroupByKey]=OutputTable[[#This Row],[GroupByKey]]),(OutputTable[GroupByKey]=OutputTable[[#This Row],[GroupByKey]])*OutputTable[RecordedValue]))</f>
        <v>37</v>
      </c>
      <c r="P109" cm="1">
        <f t="array" ref="P109">MAX(IF((OutputTable[GroupByKey]=OutputTable[[#This Row],[GroupByKey]]),(OutputTable[GroupByKey]=OutputTable[[#This Row],[GroupByKey]])*OutputTable[RecordedValue]))</f>
        <v>67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0.30069447079282802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0.27413207792969679</v>
      </c>
      <c r="L110" cm="1">
        <f t="array" ref="L110">IFERROR(_xlfn.STDEV.S(IF((OutputTable[GroupByKey]=OutputTable[[#This Row],[GroupByKey]]),(OutputTable[GroupByKey]=OutputTable[[#This Row],[GroupByKey]])*OutputTable[RecordedValue])),0)</f>
        <v>5.6064597781178692E-2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10" cm="1">
        <f t="array" ref="O110">MIN(IF((OutputTable[GroupByKey]=OutputTable[[#This Row],[GroupByKey]]),(OutputTable[GroupByKey]=OutputTable[[#This Row],[GroupByKey]])*OutputTable[RecordedValue]))</f>
        <v>0.17429991311555901</v>
      </c>
      <c r="P110" cm="1">
        <f t="array" ref="P110">MAX(IF((OutputTable[GroupByKey]=OutputTable[[#This Row],[GroupByKey]]),(OutputTable[GroupByKey]=OutputTable[[#This Row],[GroupByKey]])*OutputTable[RecordedValue]))</f>
        <v>0.39832749227786501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52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53.7</v>
      </c>
      <c r="L111" cm="1">
        <f t="array" ref="L111">IFERROR(_xlfn.STDEV.S(IF((OutputTable[GroupByKey]=OutputTable[[#This Row],[GroupByKey]]),(OutputTable[GroupByKey]=OutputTable[[#This Row],[GroupByKey]])*OutputTable[RecordedValue])),0)</f>
        <v>8.0221675633081357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11" cm="1">
        <f t="array" ref="O111">MIN(IF((OutputTable[GroupByKey]=OutputTable[[#This Row],[GroupByKey]]),(OutputTable[GroupByKey]=OutputTable[[#This Row],[GroupByKey]])*OutputTable[RecordedValue]))</f>
        <v>37</v>
      </c>
      <c r="P111" cm="1">
        <f t="array" ref="P111">MAX(IF((OutputTable[GroupByKey]=OutputTable[[#This Row],[GroupByKey]]),(OutputTable[GroupByKey]=OutputTable[[#This Row],[GroupByKey]])*OutputTable[RecordedValue]))</f>
        <v>65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61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54.43333333333333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8.0587640591420477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12" s="5" cm="1">
        <f t="array" ref="O112">MIN(IF((OutputTable[GroupByKey]=OutputTable[[#This Row],[GroupByKey]]),(OutputTable[GroupByKey]=OutputTable[[#This Row],[GroupByKey]])*OutputTable[RecordedValue]))</f>
        <v>37</v>
      </c>
      <c r="P112" s="5" cm="1">
        <f t="array" ref="P112">MAX(IF((OutputTable[GroupByKey]=OutputTable[[#This Row],[GroupByKey]]),(OutputTable[GroupByKey]=OutputTable[[#This Row],[GroupByKey]])*OutputTable[RecordedValue]))</f>
        <v>67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61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53.7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8.0221675633081357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13" s="5" cm="1">
        <f t="array" ref="O113">MIN(IF((OutputTable[GroupByKey]=OutputTable[[#This Row],[GroupByKey]]),(OutputTable[GroupByKey]=OutputTable[[#This Row],[GroupByKey]])*OutputTable[RecordedValue]))</f>
        <v>37</v>
      </c>
      <c r="P113" s="5" cm="1">
        <f t="array" ref="P113">MAX(IF((OutputTable[GroupByKey]=OutputTable[[#This Row],[GroupByKey]]),(OutputTable[GroupByKey]=OutputTable[[#This Row],[GroupByKey]])*OutputTable[RecordedValue]))</f>
        <v>65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61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54.43333333333333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8.0587640591420477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14" s="5" cm="1">
        <f t="array" ref="O114">MIN(IF((OutputTable[GroupByKey]=OutputTable[[#This Row],[GroupByKey]]),(OutputTable[GroupByKey]=OutputTable[[#This Row],[GroupByKey]])*OutputTable[RecordedValue]))</f>
        <v>37</v>
      </c>
      <c r="P114" s="5" cm="1">
        <f t="array" ref="P114">MAX(IF((OutputTable[GroupByKey]=OutputTable[[#This Row],[GroupByKey]]),(OutputTable[GroupByKey]=OutputTable[[#This Row],[GroupByKey]])*OutputTable[RecordedValue]))</f>
        <v>67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0.28336527055612698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0.27413207792969679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5.6064597781178692E-2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15" s="5" cm="1">
        <f t="array" ref="O115">MIN(IF((OutputTable[GroupByKey]=OutputTable[[#This Row],[GroupByKey]]),(OutputTable[GroupByKey]=OutputTable[[#This Row],[GroupByKey]])*OutputTable[RecordedValue]))</f>
        <v>0.17429991311555901</v>
      </c>
      <c r="P115" s="5" cm="1">
        <f t="array" ref="P115">MAX(IF((OutputTable[GroupByKey]=OutputTable[[#This Row],[GroupByKey]]),(OutputTable[GroupByKey]=OutputTable[[#This Row],[GroupByKey]])*OutputTable[RecordedValue]))</f>
        <v>0.39832749227786501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61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53.7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8.0221675633081357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16" s="5" cm="1">
        <f t="array" ref="O116">MIN(IF((OutputTable[GroupByKey]=OutputTable[[#This Row],[GroupByKey]]),(OutputTable[GroupByKey]=OutputTable[[#This Row],[GroupByKey]])*OutputTable[RecordedValue]))</f>
        <v>37</v>
      </c>
      <c r="P116" s="5" cm="1">
        <f t="array" ref="P116">MAX(IF((OutputTable[GroupByKey]=OutputTable[[#This Row],[GroupByKey]]),(OutputTable[GroupByKey]=OutputTable[[#This Row],[GroupByKey]])*OutputTable[RecordedValue]))</f>
        <v>65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42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54.43333333333333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8.0587640591420477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17" s="5" cm="1">
        <f t="array" ref="O117">MIN(IF((OutputTable[GroupByKey]=OutputTable[[#This Row],[GroupByKey]]),(OutputTable[GroupByKey]=OutputTable[[#This Row],[GroupByKey]])*OutputTable[RecordedValue]))</f>
        <v>37</v>
      </c>
      <c r="P117" s="5" cm="1">
        <f t="array" ref="P117">MAX(IF((OutputTable[GroupByKey]=OutputTable[[#This Row],[GroupByKey]]),(OutputTable[GroupByKey]=OutputTable[[#This Row],[GroupByKey]])*OutputTable[RecordedValue]))</f>
        <v>67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53.7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8.0221675633081357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18" s="5" cm="1">
        <f t="array" ref="O118">MIN(IF((OutputTable[GroupByKey]=OutputTable[[#This Row],[GroupByKey]]),(OutputTable[GroupByKey]=OutputTable[[#This Row],[GroupByKey]])*OutputTable[RecordedValue]))</f>
        <v>37</v>
      </c>
      <c r="P118" s="5" cm="1">
        <f t="array" ref="P118">MAX(IF((OutputTable[GroupByKey]=OutputTable[[#This Row],[GroupByKey]]),(OutputTable[GroupByKey]=OutputTable[[#This Row],[GroupByKey]])*OutputTable[RecordedValue]))</f>
        <v>65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42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54.43333333333333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8.0587640591420477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19" s="5" cm="1">
        <f t="array" ref="O119">MIN(IF((OutputTable[GroupByKey]=OutputTable[[#This Row],[GroupByKey]]),(OutputTable[GroupByKey]=OutputTable[[#This Row],[GroupByKey]])*OutputTable[RecordedValue]))</f>
        <v>37</v>
      </c>
      <c r="P119" s="5" cm="1">
        <f t="array" ref="P119">MAX(IF((OutputTable[GroupByKey]=OutputTable[[#This Row],[GroupByKey]]),(OutputTable[GroupByKey]=OutputTable[[#This Row],[GroupByKey]])*OutputTable[RecordedValue]))</f>
        <v>67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0.18478023462363399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0.27413207792969679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5.6064597781178692E-2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20" s="5" cm="1">
        <f t="array" ref="O120">MIN(IF((OutputTable[GroupByKey]=OutputTable[[#This Row],[GroupByKey]]),(OutputTable[GroupByKey]=OutputTable[[#This Row],[GroupByKey]])*OutputTable[RecordedValue]))</f>
        <v>0.17429991311555901</v>
      </c>
      <c r="P120" s="5" cm="1">
        <f t="array" ref="P120">MAX(IF((OutputTable[GroupByKey]=OutputTable[[#This Row],[GroupByKey]]),(OutputTable[GroupByKey]=OutputTable[[#This Row],[GroupByKey]])*OutputTable[RecordedValue]))</f>
        <v>0.39832749227786501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53.7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8.0221675633081357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21" s="5" cm="1">
        <f t="array" ref="O121">MIN(IF((OutputTable[GroupByKey]=OutputTable[[#This Row],[GroupByKey]]),(OutputTable[GroupByKey]=OutputTable[[#This Row],[GroupByKey]])*OutputTable[RecordedValue]))</f>
        <v>37</v>
      </c>
      <c r="P121" s="5" cm="1">
        <f t="array" ref="P121">MAX(IF((OutputTable[GroupByKey]=OutputTable[[#This Row],[GroupByKey]]),(OutputTable[GroupByKey]=OutputTable[[#This Row],[GroupByKey]])*OutputTable[RecordedValue]))</f>
        <v>65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57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54.43333333333333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8.0587640591420477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22" s="5" cm="1">
        <f t="array" ref="O122">MIN(IF((OutputTable[GroupByKey]=OutputTable[[#This Row],[GroupByKey]]),(OutputTable[GroupByKey]=OutputTable[[#This Row],[GroupByKey]])*OutputTable[RecordedValue]))</f>
        <v>37</v>
      </c>
      <c r="P122" s="5" cm="1">
        <f t="array" ref="P122">MAX(IF((OutputTable[GroupByKey]=OutputTable[[#This Row],[GroupByKey]]),(OutputTable[GroupByKey]=OutputTable[[#This Row],[GroupByKey]])*OutputTable[RecordedValue]))</f>
        <v>67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57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53.7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8.0221675633081357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23" s="5" cm="1">
        <f t="array" ref="O123">MIN(IF((OutputTable[GroupByKey]=OutputTable[[#This Row],[GroupByKey]]),(OutputTable[GroupByKey]=OutputTable[[#This Row],[GroupByKey]])*OutputTable[RecordedValue]))</f>
        <v>37</v>
      </c>
      <c r="P123" s="5" cm="1">
        <f t="array" ref="P123">MAX(IF((OutputTable[GroupByKey]=OutputTable[[#This Row],[GroupByKey]]),(OutputTable[GroupByKey]=OutputTable[[#This Row],[GroupByKey]])*OutputTable[RecordedValue]))</f>
        <v>65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57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54.43333333333333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8.0587640591420477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24" s="5" cm="1">
        <f t="array" ref="O124">MIN(IF((OutputTable[GroupByKey]=OutputTable[[#This Row],[GroupByKey]]),(OutputTable[GroupByKey]=OutputTable[[#This Row],[GroupByKey]])*OutputTable[RecordedValue]))</f>
        <v>37</v>
      </c>
      <c r="P124" s="5" cm="1">
        <f t="array" ref="P124">MAX(IF((OutputTable[GroupByKey]=OutputTable[[#This Row],[GroupByKey]]),(OutputTable[GroupByKey]=OutputTable[[#This Row],[GroupByKey]])*OutputTable[RecordedValue]))</f>
        <v>67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0.29131508525064498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0.27413207792969679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5.6064597781178692E-2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25" s="5" cm="1">
        <f t="array" ref="O125">MIN(IF((OutputTable[GroupByKey]=OutputTable[[#This Row],[GroupByKey]]),(OutputTable[GroupByKey]=OutputTable[[#This Row],[GroupByKey]])*OutputTable[RecordedValue]))</f>
        <v>0.17429991311555901</v>
      </c>
      <c r="P125" s="5" cm="1">
        <f t="array" ref="P125">MAX(IF((OutputTable[GroupByKey]=OutputTable[[#This Row],[GroupByKey]]),(OutputTable[GroupByKey]=OutputTable[[#This Row],[GroupByKey]])*OutputTable[RecordedValue]))</f>
        <v>0.39832749227786501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57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53.7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8.0221675633081357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26" s="5" cm="1">
        <f t="array" ref="O126">MIN(IF((OutputTable[GroupByKey]=OutputTable[[#This Row],[GroupByKey]]),(OutputTable[GroupByKey]=OutputTable[[#This Row],[GroupByKey]])*OutputTable[RecordedValue]))</f>
        <v>37</v>
      </c>
      <c r="P126" s="5" cm="1">
        <f t="array" ref="P126">MAX(IF((OutputTable[GroupByKey]=OutputTable[[#This Row],[GroupByKey]]),(OutputTable[GroupByKey]=OutputTable[[#This Row],[GroupByKey]])*OutputTable[RecordedValue]))</f>
        <v>65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47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54.43333333333333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8.0587640591420477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27" s="5" cm="1">
        <f t="array" ref="O127">MIN(IF((OutputTable[GroupByKey]=OutputTable[[#This Row],[GroupByKey]]),(OutputTable[GroupByKey]=OutputTable[[#This Row],[GroupByKey]])*OutputTable[RecordedValue]))</f>
        <v>37</v>
      </c>
      <c r="P127" s="5" cm="1">
        <f t="array" ref="P127">MAX(IF((OutputTable[GroupByKey]=OutputTable[[#This Row],[GroupByKey]]),(OutputTable[GroupByKey]=OutputTable[[#This Row],[GroupByKey]])*OutputTable[RecordedValue]))</f>
        <v>67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47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53.7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8.0221675633081357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28" s="5" cm="1">
        <f t="array" ref="O128">MIN(IF((OutputTable[GroupByKey]=OutputTable[[#This Row],[GroupByKey]]),(OutputTable[GroupByKey]=OutputTable[[#This Row],[GroupByKey]])*OutputTable[RecordedValue]))</f>
        <v>37</v>
      </c>
      <c r="P128" s="5" cm="1">
        <f t="array" ref="P128">MAX(IF((OutputTable[GroupByKey]=OutputTable[[#This Row],[GroupByKey]]),(OutputTable[GroupByKey]=OutputTable[[#This Row],[GroupByKey]])*OutputTable[RecordedValue]))</f>
        <v>65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47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54.43333333333333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8.0587640591420477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29" s="5" cm="1">
        <f t="array" ref="O129">MIN(IF((OutputTable[GroupByKey]=OutputTable[[#This Row],[GroupByKey]]),(OutputTable[GroupByKey]=OutputTable[[#This Row],[GroupByKey]])*OutputTable[RecordedValue]))</f>
        <v>37</v>
      </c>
      <c r="P129" s="5" cm="1">
        <f t="array" ref="P129">MAX(IF((OutputTable[GroupByKey]=OutputTable[[#This Row],[GroupByKey]]),(OutputTable[GroupByKey]=OutputTable[[#This Row],[GroupByKey]])*OutputTable[RecordedValue]))</f>
        <v>67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0.25274918729232698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0.27413207792969679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5.6064597781178692E-2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30" s="5" cm="1">
        <f t="array" ref="O130">MIN(IF((OutputTable[GroupByKey]=OutputTable[[#This Row],[GroupByKey]]),(OutputTable[GroupByKey]=OutputTable[[#This Row],[GroupByKey]])*OutputTable[RecordedValue]))</f>
        <v>0.17429991311555901</v>
      </c>
      <c r="P130" s="5" cm="1">
        <f t="array" ref="P130">MAX(IF((OutputTable[GroupByKey]=OutputTable[[#This Row],[GroupByKey]]),(OutputTable[GroupByKey]=OutputTable[[#This Row],[GroupByKey]])*OutputTable[RecordedValue]))</f>
        <v>0.39832749227786501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47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53.7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8.0221675633081357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31" s="5" cm="1">
        <f t="array" ref="O131">MIN(IF((OutputTable[GroupByKey]=OutputTable[[#This Row],[GroupByKey]]),(OutputTable[GroupByKey]=OutputTable[[#This Row],[GroupByKey]])*OutputTable[RecordedValue]))</f>
        <v>37</v>
      </c>
      <c r="P131" s="5" cm="1">
        <f t="array" ref="P131">MAX(IF((OutputTable[GroupByKey]=OutputTable[[#This Row],[GroupByKey]]),(OutputTable[GroupByKey]=OutputTable[[#This Row],[GroupByKey]])*OutputTable[RecordedValue]))</f>
        <v>65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46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54.43333333333333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8.0587640591420477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32" s="5" cm="1">
        <f t="array" ref="O132">MIN(IF((OutputTable[GroupByKey]=OutputTable[[#This Row],[GroupByKey]]),(OutputTable[GroupByKey]=OutputTable[[#This Row],[GroupByKey]])*OutputTable[RecordedValue]))</f>
        <v>37</v>
      </c>
      <c r="P132" s="5" cm="1">
        <f t="array" ref="P132">MAX(IF((OutputTable[GroupByKey]=OutputTable[[#This Row],[GroupByKey]]),(OutputTable[GroupByKey]=OutputTable[[#This Row],[GroupByKey]])*OutputTable[RecordedValue]))</f>
        <v>67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46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53.7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8.0221675633081357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33" s="5" cm="1">
        <f t="array" ref="O133">MIN(IF((OutputTable[GroupByKey]=OutputTable[[#This Row],[GroupByKey]]),(OutputTable[GroupByKey]=OutputTable[[#This Row],[GroupByKey]])*OutputTable[RecordedValue]))</f>
        <v>37</v>
      </c>
      <c r="P133" s="5" cm="1">
        <f t="array" ref="P133">MAX(IF((OutputTable[GroupByKey]=OutputTable[[#This Row],[GroupByKey]]),(OutputTable[GroupByKey]=OutputTable[[#This Row],[GroupByKey]])*OutputTable[RecordedValue]))</f>
        <v>65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46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54.43333333333333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8.0587640591420477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34" s="5" cm="1">
        <f t="array" ref="O134">MIN(IF((OutputTable[GroupByKey]=OutputTable[[#This Row],[GroupByKey]]),(OutputTable[GroupByKey]=OutputTable[[#This Row],[GroupByKey]])*OutputTable[RecordedValue]))</f>
        <v>37</v>
      </c>
      <c r="P134" s="5" cm="1">
        <f t="array" ref="P134">MAX(IF((OutputTable[GroupByKey]=OutputTable[[#This Row],[GroupByKey]]),(OutputTable[GroupByKey]=OutputTable[[#This Row],[GroupByKey]])*OutputTable[RecordedValue]))</f>
        <v>67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0.28535214419104199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0.27413207792969679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5.6064597781178692E-2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35" s="5" cm="1">
        <f t="array" ref="O135">MIN(IF((OutputTable[GroupByKey]=OutputTable[[#This Row],[GroupByKey]]),(OutputTable[GroupByKey]=OutputTable[[#This Row],[GroupByKey]])*OutputTable[RecordedValue]))</f>
        <v>0.17429991311555901</v>
      </c>
      <c r="P135" s="5" cm="1">
        <f t="array" ref="P135">MAX(IF((OutputTable[GroupByKey]=OutputTable[[#This Row],[GroupByKey]]),(OutputTable[GroupByKey]=OutputTable[[#This Row],[GroupByKey]])*OutputTable[RecordedValue]))</f>
        <v>0.39832749227786501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46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53.7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8.0221675633081357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36" s="5" cm="1">
        <f t="array" ref="O136">MIN(IF((OutputTable[GroupByKey]=OutputTable[[#This Row],[GroupByKey]]),(OutputTable[GroupByKey]=OutputTable[[#This Row],[GroupByKey]])*OutputTable[RecordedValue]))</f>
        <v>37</v>
      </c>
      <c r="P136" s="5" cm="1">
        <f t="array" ref="P136">MAX(IF((OutputTable[GroupByKey]=OutputTable[[#This Row],[GroupByKey]]),(OutputTable[GroupByKey]=OutputTable[[#This Row],[GroupByKey]])*OutputTable[RecordedValue]))</f>
        <v>65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60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54.43333333333333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8.0587640591420477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37" s="5" cm="1">
        <f t="array" ref="O137">MIN(IF((OutputTable[GroupByKey]=OutputTable[[#This Row],[GroupByKey]]),(OutputTable[GroupByKey]=OutputTable[[#This Row],[GroupByKey]])*OutputTable[RecordedValue]))</f>
        <v>37</v>
      </c>
      <c r="P137" s="5" cm="1">
        <f t="array" ref="P137">MAX(IF((OutputTable[GroupByKey]=OutputTable[[#This Row],[GroupByKey]]),(OutputTable[GroupByKey]=OutputTable[[#This Row],[GroupByKey]])*OutputTable[RecordedValue]))</f>
        <v>67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59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53.7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8.0221675633081357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38" s="5" cm="1">
        <f t="array" ref="O138">MIN(IF((OutputTable[GroupByKey]=OutputTable[[#This Row],[GroupByKey]]),(OutputTable[GroupByKey]=OutputTable[[#This Row],[GroupByKey]])*OutputTable[RecordedValue]))</f>
        <v>37</v>
      </c>
      <c r="P138" s="5" cm="1">
        <f t="array" ref="P138">MAX(IF((OutputTable[GroupByKey]=OutputTable[[#This Row],[GroupByKey]]),(OutputTable[GroupByKey]=OutputTable[[#This Row],[GroupByKey]])*OutputTable[RecordedValue]))</f>
        <v>65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60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54.43333333333333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8.0587640591420477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39" s="5" cm="1">
        <f t="array" ref="O139">MIN(IF((OutputTable[GroupByKey]=OutputTable[[#This Row],[GroupByKey]]),(OutputTable[GroupByKey]=OutputTable[[#This Row],[GroupByKey]])*OutputTable[RecordedValue]))</f>
        <v>37</v>
      </c>
      <c r="P139" s="5" cm="1">
        <f t="array" ref="P139">MAX(IF((OutputTable[GroupByKey]=OutputTable[[#This Row],[GroupByKey]]),(OutputTable[GroupByKey]=OutputTable[[#This Row],[GroupByKey]])*OutputTable[RecordedValue]))</f>
        <v>67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0.345225122832161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0.27413207792969679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5.6064597781178692E-2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40" s="5" cm="1">
        <f t="array" ref="O140">MIN(IF((OutputTable[GroupByKey]=OutputTable[[#This Row],[GroupByKey]]),(OutputTable[GroupByKey]=OutputTable[[#This Row],[GroupByKey]])*OutputTable[RecordedValue]))</f>
        <v>0.17429991311555901</v>
      </c>
      <c r="P140" s="5" cm="1">
        <f t="array" ref="P140">MAX(IF((OutputTable[GroupByKey]=OutputTable[[#This Row],[GroupByKey]]),(OutputTable[GroupByKey]=OutputTable[[#This Row],[GroupByKey]])*OutputTable[RecordedValue]))</f>
        <v>0.39832749227786501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59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53.7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8.0221675633081357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41" s="5" cm="1">
        <f t="array" ref="O141">MIN(IF((OutputTable[GroupByKey]=OutputTable[[#This Row],[GroupByKey]]),(OutputTable[GroupByKey]=OutputTable[[#This Row],[GroupByKey]])*OutputTable[RecordedValue]))</f>
        <v>37</v>
      </c>
      <c r="P141" s="5" cm="1">
        <f t="array" ref="P141">MAX(IF((OutputTable[GroupByKey]=OutputTable[[#This Row],[GroupByKey]]),(OutputTable[GroupByKey]=OutputTable[[#This Row],[GroupByKey]])*OutputTable[RecordedValue]))</f>
        <v>65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54.43333333333333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8.0587640591420477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42" s="5" cm="1">
        <f t="array" ref="O142">MIN(IF((OutputTable[GroupByKey]=OutputTable[[#This Row],[GroupByKey]]),(OutputTable[GroupByKey]=OutputTable[[#This Row],[GroupByKey]])*OutputTable[RecordedValue]))</f>
        <v>37</v>
      </c>
      <c r="P142" s="5" cm="1">
        <f t="array" ref="P142">MAX(IF((OutputTable[GroupByKey]=OutputTable[[#This Row],[GroupByKey]]),(OutputTable[GroupByKey]=OutputTable[[#This Row],[GroupByKey]])*OutputTable[RecordedValue]))</f>
        <v>67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57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53.7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8.0221675633081357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43" s="5" cm="1">
        <f t="array" ref="O143">MIN(IF((OutputTable[GroupByKey]=OutputTable[[#This Row],[GroupByKey]]),(OutputTable[GroupByKey]=OutputTable[[#This Row],[GroupByKey]])*OutputTable[RecordedValue]))</f>
        <v>37</v>
      </c>
      <c r="P143" s="5" cm="1">
        <f t="array" ref="P143">MAX(IF((OutputTable[GroupByKey]=OutputTable[[#This Row],[GroupByKey]]),(OutputTable[GroupByKey]=OutputTable[[#This Row],[GroupByKey]])*OutputTable[RecordedValue]))</f>
        <v>65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54.43333333333333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8.0587640591420477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44" s="5" cm="1">
        <f t="array" ref="O144">MIN(IF((OutputTable[GroupByKey]=OutputTable[[#This Row],[GroupByKey]]),(OutputTable[GroupByKey]=OutputTable[[#This Row],[GroupByKey]])*OutputTable[RecordedValue]))</f>
        <v>37</v>
      </c>
      <c r="P144" s="5" cm="1">
        <f t="array" ref="P144">MAX(IF((OutputTable[GroupByKey]=OutputTable[[#This Row],[GroupByKey]]),(OutputTable[GroupByKey]=OutputTable[[#This Row],[GroupByKey]])*OutputTable[RecordedValue]))</f>
        <v>67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0.27768375310946303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0.27413207792969679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5.6064597781178692E-2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45" s="5" cm="1">
        <f t="array" ref="O145">MIN(IF((OutputTable[GroupByKey]=OutputTable[[#This Row],[GroupByKey]]),(OutputTable[GroupByKey]=OutputTable[[#This Row],[GroupByKey]])*OutputTable[RecordedValue]))</f>
        <v>0.17429991311555901</v>
      </c>
      <c r="P145" s="5" cm="1">
        <f t="array" ref="P145">MAX(IF((OutputTable[GroupByKey]=OutputTable[[#This Row],[GroupByKey]]),(OutputTable[GroupByKey]=OutputTable[[#This Row],[GroupByKey]])*OutputTable[RecordedValue]))</f>
        <v>0.39832749227786501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57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53.7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8.0221675633081357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46" s="5" cm="1">
        <f t="array" ref="O146">MIN(IF((OutputTable[GroupByKey]=OutputTable[[#This Row],[GroupByKey]]),(OutputTable[GroupByKey]=OutputTable[[#This Row],[GroupByKey]])*OutputTable[RecordedValue]))</f>
        <v>37</v>
      </c>
      <c r="P146" s="5" cm="1">
        <f t="array" ref="P146">MAX(IF((OutputTable[GroupByKey]=OutputTable[[#This Row],[GroupByKey]]),(OutputTable[GroupByKey]=OutputTable[[#This Row],[GroupByKey]])*OutputTable[RecordedValue]))</f>
        <v>65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61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54.43333333333333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8.0587640591420477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47" s="5" cm="1">
        <f t="array" ref="O147">MIN(IF((OutputTable[GroupByKey]=OutputTable[[#This Row],[GroupByKey]]),(OutputTable[GroupByKey]=OutputTable[[#This Row],[GroupByKey]])*OutputTable[RecordedValue]))</f>
        <v>37</v>
      </c>
      <c r="P147" s="5" cm="1">
        <f t="array" ref="P147">MAX(IF((OutputTable[GroupByKey]=OutputTable[[#This Row],[GroupByKey]]),(OutputTable[GroupByKey]=OutputTable[[#This Row],[GroupByKey]])*OutputTable[RecordedValue]))</f>
        <v>67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61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53.7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8.0221675633081357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48" s="5" cm="1">
        <f t="array" ref="O148">MIN(IF((OutputTable[GroupByKey]=OutputTable[[#This Row],[GroupByKey]]),(OutputTable[GroupByKey]=OutputTable[[#This Row],[GroupByKey]])*OutputTable[RecordedValue]))</f>
        <v>37</v>
      </c>
      <c r="P148" s="5" cm="1">
        <f t="array" ref="P148">MAX(IF((OutputTable[GroupByKey]=OutputTable[[#This Row],[GroupByKey]]),(OutputTable[GroupByKey]=OutputTable[[#This Row],[GroupByKey]])*OutputTable[RecordedValue]))</f>
        <v>65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61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54.43333333333333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8.0587640591420477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3.009191954369256</v>
      </c>
      <c r="O149" s="5" cm="1">
        <f t="array" ref="O149">MIN(IF((OutputTable[GroupByKey]=OutputTable[[#This Row],[GroupByKey]]),(OutputTable[GroupByKey]=OutputTable[[#This Row],[GroupByKey]])*OutputTable[RecordedValue]))</f>
        <v>37</v>
      </c>
      <c r="P149" s="5" cm="1">
        <f t="array" ref="P149">MAX(IF((OutputTable[GroupByKey]=OutputTable[[#This Row],[GroupByKey]]),(OutputTable[GroupByKey]=OutputTable[[#This Row],[GroupByKey]])*OutputTable[RecordedValue]))</f>
        <v>67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0.296032065555551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0.27413207792969679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5.6064597781178692E-2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2.0934864866366681E-2</v>
      </c>
      <c r="O150" s="5" cm="1">
        <f t="array" ref="O150">MIN(IF((OutputTable[GroupByKey]=OutputTable[[#This Row],[GroupByKey]]),(OutputTable[GroupByKey]=OutputTable[[#This Row],[GroupByKey]])*OutputTable[RecordedValue]))</f>
        <v>0.17429991311555901</v>
      </c>
      <c r="P150" s="5" cm="1">
        <f t="array" ref="P150">MAX(IF((OutputTable[GroupByKey]=OutputTable[[#This Row],[GroupByKey]]),(OutputTable[GroupByKey]=OutputTable[[#This Row],[GroupByKey]])*OutputTable[RecordedValue]))</f>
        <v>0.39832749227786501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61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53.7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8.0221675633081357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2.9955265982410313</v>
      </c>
      <c r="O151" s="5" cm="1">
        <f t="array" ref="O151">MIN(IF((OutputTable[GroupByKey]=OutputTable[[#This Row],[GroupByKey]]),(OutputTable[GroupByKey]=OutputTable[[#This Row],[GroupByKey]])*OutputTable[RecordedValue]))</f>
        <v>37</v>
      </c>
      <c r="P151" s="5" cm="1">
        <f t="array" ref="P151">MAX(IF((OutputTable[GroupByKey]=OutputTable[[#This Row],[GroupByKey]]),(OutputTable[GroupByKey]=OutputTable[[#This Row],[GroupByKey]])*OutputTable[RecordedValue]))</f>
        <v>65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2025-02-11T15:48:36Z</dcterms:modified>
</cp:coreProperties>
</file>